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71" documentId="13_ncr:1_{936B0042-8450-41A4-8580-C81B8ED064B4}" xr6:coauthVersionLast="47" xr6:coauthVersionMax="47" xr10:uidLastSave="{0860E8F5-ECDE-4DD5-BBB9-D809DAD0DF8D}"/>
  <bookViews>
    <workbookView xWindow="-110" yWindow="-110" windowWidth="19420" windowHeight="10300" tabRatio="831" firstSheet="6" activeTab="6" xr2:uid="{5ADE5E38-8C15-4A1D-BC21-AF3E8C7499E2}"/>
  </bookViews>
  <sheets>
    <sheet name="F0-Segmentation rules" sheetId="14" r:id="rId1"/>
    <sheet name="F1-Mapping fields Non Retail" sheetId="1" r:id="rId2"/>
    <sheet name="F1-Mapping fields Retail S1S2" sheetId="15" r:id="rId3"/>
    <sheet name="F1-Mapping fields Retail S3" sheetId="16" r:id="rId4"/>
    <sheet name="F2-Mapping time steps" sheetId="2" r:id="rId5"/>
    <sheet name="F3-Mapping Segment SICR" sheetId="3" r:id="rId6"/>
    <sheet name="F4-Histo PD Multi Non Retail" sheetId="4" r:id="rId7"/>
    <sheet name="Histo PD Multi Retail" sheetId="5" r:id="rId8"/>
    <sheet name="Perimeters Segmentation" sheetId="6" r:id="rId9"/>
    <sheet name="F6-PD S1S2 Non Retail" sheetId="7" r:id="rId10"/>
    <sheet name="PD S1S2 Retail" sheetId="8" r:id="rId11"/>
    <sheet name="F8-LGD S1S2 Non Retail" sheetId="9" r:id="rId12"/>
    <sheet name="LGD S1S2 Retail" sheetId="10" r:id="rId13"/>
    <sheet name="LGD S3 Retail" sheetId="11" r:id="rId14"/>
    <sheet name="CCF Retail" sheetId="12" r:id="rId15"/>
    <sheet name="F12-CCF Non Retail" sheetId="1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0" l="1"/>
  <c r="E10" i="10"/>
  <c r="E11" i="10" s="1"/>
  <c r="F10" i="10"/>
  <c r="G10" i="10"/>
  <c r="H10" i="10" s="1"/>
  <c r="I10" i="10" s="1"/>
  <c r="J10" i="10" s="1"/>
  <c r="K10" i="10" s="1"/>
  <c r="L10" i="10" s="1"/>
  <c r="M10" i="10" s="1"/>
  <c r="E9" i="10"/>
  <c r="F9" i="10" s="1"/>
  <c r="G9" i="10" s="1"/>
  <c r="H9" i="10" s="1"/>
  <c r="I9" i="10" s="1"/>
  <c r="J9" i="10" s="1"/>
  <c r="K9" i="10" s="1"/>
  <c r="L9" i="10" s="1"/>
  <c r="M9" i="10" s="1"/>
  <c r="E7" i="10"/>
  <c r="F6" i="10"/>
  <c r="G6" i="10" s="1"/>
  <c r="H6" i="10" s="1"/>
  <c r="I6" i="10" s="1"/>
  <c r="J6" i="10" s="1"/>
  <c r="K6" i="10" s="1"/>
  <c r="L6" i="10" s="1"/>
  <c r="M6" i="10" s="1"/>
  <c r="Z3" i="4"/>
  <c r="E10" i="9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E18" i="10" l="1"/>
  <c r="F17" i="10"/>
  <c r="G17" i="10" s="1"/>
  <c r="H17" i="10" s="1"/>
  <c r="I17" i="10" s="1"/>
  <c r="J17" i="10" s="1"/>
  <c r="K17" i="10" s="1"/>
  <c r="L17" i="10" s="1"/>
  <c r="M17" i="10" s="1"/>
  <c r="E12" i="10"/>
  <c r="F11" i="10"/>
  <c r="G11" i="10" s="1"/>
  <c r="H11" i="10" s="1"/>
  <c r="I11" i="10" s="1"/>
  <c r="J11" i="10" s="1"/>
  <c r="K11" i="10" s="1"/>
  <c r="L11" i="10" s="1"/>
  <c r="M11" i="10" s="1"/>
  <c r="E8" i="10"/>
  <c r="F8" i="10" s="1"/>
  <c r="G8" i="10" s="1"/>
  <c r="H8" i="10" s="1"/>
  <c r="I8" i="10" s="1"/>
  <c r="J8" i="10" s="1"/>
  <c r="K8" i="10" s="1"/>
  <c r="L8" i="10" s="1"/>
  <c r="M8" i="10" s="1"/>
  <c r="F7" i="10"/>
  <c r="G7" i="10" s="1"/>
  <c r="H7" i="10" s="1"/>
  <c r="I7" i="10" s="1"/>
  <c r="J7" i="10" s="1"/>
  <c r="K7" i="10" s="1"/>
  <c r="L7" i="10" s="1"/>
  <c r="M7" i="10" s="1"/>
  <c r="AA3" i="4"/>
  <c r="D25" i="7"/>
  <c r="D63" i="7"/>
  <c r="E6" i="7"/>
  <c r="AH3" i="7"/>
  <c r="AI3" i="7" s="1"/>
  <c r="AJ3" i="7" s="1"/>
  <c r="D7" i="7"/>
  <c r="F18" i="10" l="1"/>
  <c r="G18" i="10" s="1"/>
  <c r="H18" i="10" s="1"/>
  <c r="I18" i="10" s="1"/>
  <c r="J18" i="10" s="1"/>
  <c r="K18" i="10" s="1"/>
  <c r="L18" i="10" s="1"/>
  <c r="M18" i="10" s="1"/>
  <c r="E19" i="10"/>
  <c r="F19" i="10" s="1"/>
  <c r="G19" i="10" s="1"/>
  <c r="H19" i="10" s="1"/>
  <c r="I19" i="10" s="1"/>
  <c r="J19" i="10" s="1"/>
  <c r="K19" i="10" s="1"/>
  <c r="L19" i="10" s="1"/>
  <c r="M19" i="10" s="1"/>
  <c r="E13" i="10"/>
  <c r="F12" i="10"/>
  <c r="G12" i="10" s="1"/>
  <c r="H12" i="10" s="1"/>
  <c r="I12" i="10" s="1"/>
  <c r="J12" i="10" s="1"/>
  <c r="K12" i="10" s="1"/>
  <c r="L12" i="10" s="1"/>
  <c r="M12" i="10" s="1"/>
  <c r="AB3" i="4"/>
  <c r="E25" i="7"/>
  <c r="E63" i="7"/>
  <c r="D44" i="7"/>
  <c r="D101" i="7" s="1"/>
  <c r="D82" i="7"/>
  <c r="D26" i="7"/>
  <c r="D64" i="7"/>
  <c r="D8" i="7"/>
  <c r="F6" i="7"/>
  <c r="E7" i="7"/>
  <c r="E14" i="10" l="1"/>
  <c r="F13" i="10"/>
  <c r="G13" i="10" s="1"/>
  <c r="H13" i="10" s="1"/>
  <c r="I13" i="10" s="1"/>
  <c r="J13" i="10" s="1"/>
  <c r="K13" i="10" s="1"/>
  <c r="L13" i="10" s="1"/>
  <c r="M13" i="10" s="1"/>
  <c r="AC3" i="4"/>
  <c r="E82" i="7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E15" i="10" l="1"/>
  <c r="F14" i="10"/>
  <c r="G14" i="10" s="1"/>
  <c r="H14" i="10" s="1"/>
  <c r="I14" i="10" s="1"/>
  <c r="J14" i="10" s="1"/>
  <c r="K14" i="10" s="1"/>
  <c r="L14" i="10" s="1"/>
  <c r="M14" i="10" s="1"/>
  <c r="AD3" i="4"/>
  <c r="F82" i="7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E16" i="10" l="1"/>
  <c r="F16" i="10" s="1"/>
  <c r="G16" i="10" s="1"/>
  <c r="H16" i="10" s="1"/>
  <c r="I16" i="10" s="1"/>
  <c r="J16" i="10" s="1"/>
  <c r="K16" i="10" s="1"/>
  <c r="L16" i="10" s="1"/>
  <c r="M16" i="10" s="1"/>
  <c r="F15" i="10"/>
  <c r="G15" i="10" s="1"/>
  <c r="H15" i="10" s="1"/>
  <c r="I15" i="10" s="1"/>
  <c r="J15" i="10" s="1"/>
  <c r="K15" i="10" s="1"/>
  <c r="L15" i="10" s="1"/>
  <c r="M15" i="10" s="1"/>
  <c r="AE3" i="4"/>
  <c r="F83" i="7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AF3" i="4" l="1"/>
  <c r="F84" i="7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AG3" i="4" l="1"/>
  <c r="F85" i="7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AH3" i="4" l="1"/>
  <c r="F86" i="7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AI3" i="4" l="1"/>
  <c r="F87" i="7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AJ3" i="4" l="1"/>
  <c r="F88" i="7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AK3" i="4" l="1"/>
  <c r="F89" i="7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AL3" i="4" l="1"/>
  <c r="F90" i="7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<sst xmlns="http://schemas.openxmlformats.org/spreadsheetml/2006/main" count="954" uniqueCount="220">
  <si>
    <t>Obligor_RCT</t>
  </si>
  <si>
    <t>Rating_origination_obligor_FC</t>
  </si>
  <si>
    <t>Rating_origination_obligor_LC</t>
  </si>
  <si>
    <t>Rating_obligor_FC</t>
  </si>
  <si>
    <t>Rating_obligor_LC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</si>
  <si>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</si>
  <si>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</si>
  <si>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</si>
  <si>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</si>
  <si>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</si>
  <si>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</si>
  <si>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</si>
  <si>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</si>
  <si>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</si>
  <si>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</si>
  <si>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</si>
  <si>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</si>
  <si>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</si>
  <si>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</si>
  <si>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</si>
  <si>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</si>
  <si>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</si>
  <si>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</si>
  <si>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</si>
  <si>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</si>
  <si>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</si>
  <si>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</si>
  <si>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</si>
  <si>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</si>
  <si>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</si>
  <si>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</si>
  <si>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</si>
  <si>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</si>
  <si>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</si>
  <si>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</si>
  <si>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</si>
  <si>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</si>
  <si>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</si>
  <si>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</si>
  <si>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</si>
  <si>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</si>
  <si>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</si>
  <si>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</si>
  <si>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</si>
  <si>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</si>
  <si>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</si>
  <si>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</si>
  <si>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</si>
  <si>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</si>
  <si>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</si>
  <si>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</si>
  <si>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</si>
  <si>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</si>
  <si>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</si>
  <si>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</si>
  <si>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</si>
  <si>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</si>
  <si>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</si>
  <si>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</si>
  <si>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</si>
  <si>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</si>
  <si>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</si>
  <si>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</si>
  <si>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</si>
  <si>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</si>
  <si>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</si>
  <si>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</si>
  <si>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</si>
  <si>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</si>
  <si>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</si>
  <si>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</si>
  <si>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</si>
  <si>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</si>
  <si>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</si>
  <si>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</si>
  <si>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</si>
  <si>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</si>
  <si>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</si>
  <si>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</si>
  <si>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</si>
  <si>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</si>
  <si>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</si>
  <si>
    <t>OBLIGOR_RCT</t>
  </si>
  <si>
    <t>RATING_ORIGINATION_OBLIGOR_FOREIGN_CURRENCY</t>
  </si>
  <si>
    <t>RATING_ORIGINATION_OBLIGOR_LOCAL_CURRENCY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</si>
  <si>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</si>
  <si>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</si>
  <si>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</si>
  <si>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</si>
  <si>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</si>
  <si>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</si>
  <si>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</si>
  <si>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IFRS9_BUCKET</t>
  </si>
  <si>
    <t>IFRS9_BUCKET_REASON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</si>
  <si>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</si>
  <si>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</si>
  <si>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</si>
  <si>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</si>
  <si>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</si>
  <si>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</si>
  <si>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</si>
  <si>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</si>
  <si>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</si>
  <si>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</si>
  <si>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</si>
  <si>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</si>
  <si>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</si>
  <si>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Description, how to</t>
  </si>
  <si>
    <t>Column name</t>
  </si>
  <si>
    <t>Example</t>
  </si>
  <si>
    <t>A1B</t>
  </si>
  <si>
    <t>A2B</t>
  </si>
  <si>
    <t>A5B</t>
  </si>
  <si>
    <t>A6B</t>
  </si>
  <si>
    <t>A7B</t>
  </si>
  <si>
    <t>START_DATE_VALIDITY</t>
  </si>
  <si>
    <t>END_DATE_VALIDITY</t>
  </si>
  <si>
    <t>Calculation_Rating</t>
  </si>
  <si>
    <t>CCF_WITHOUT_TIME</t>
  </si>
  <si>
    <t>NB_MONTHS</t>
  </si>
  <si>
    <t>STEP</t>
  </si>
  <si>
    <t>CALCULATOR_COLUMN_NAME</t>
  </si>
  <si>
    <t>SIMULATION_DATA_COLUMN_NAME</t>
  </si>
  <si>
    <t>MEANING</t>
  </si>
  <si>
    <t>FORMAT</t>
  </si>
  <si>
    <t>RATING_CALCULATION</t>
  </si>
  <si>
    <t>IFRS9_PD_MODEL_CODE</t>
  </si>
  <si>
    <t>PD_1</t>
  </si>
  <si>
    <t>PD_2</t>
  </si>
  <si>
    <t>PD_3</t>
  </si>
  <si>
    <t>PD_4</t>
  </si>
  <si>
    <t>PD_5</t>
  </si>
  <si>
    <t>PD_6</t>
  </si>
  <si>
    <t>PD_7</t>
  </si>
  <si>
    <t>PD_8</t>
  </si>
  <si>
    <t>PD_9</t>
  </si>
  <si>
    <t>PD_10</t>
  </si>
  <si>
    <t>PD_11</t>
  </si>
  <si>
    <t>PD_12</t>
  </si>
  <si>
    <t>PD_13</t>
  </si>
  <si>
    <t>PD_14</t>
  </si>
  <si>
    <t>PD_15</t>
  </si>
  <si>
    <t>PD_16</t>
  </si>
  <si>
    <t>PD_17</t>
  </si>
  <si>
    <t>PD_18</t>
  </si>
  <si>
    <t>PD_19</t>
  </si>
  <si>
    <t>PD_20</t>
  </si>
  <si>
    <t>PD_21</t>
  </si>
  <si>
    <t>PD_22</t>
  </si>
  <si>
    <t>PD_23</t>
  </si>
  <si>
    <t>PD_24</t>
  </si>
  <si>
    <t>PD_25</t>
  </si>
  <si>
    <t>PD_26</t>
  </si>
  <si>
    <t>PD_27</t>
  </si>
  <si>
    <t>PD_28</t>
  </si>
  <si>
    <t>PD_29</t>
  </si>
  <si>
    <t>PD_30</t>
  </si>
  <si>
    <t>PD_31</t>
  </si>
  <si>
    <t>PD_32</t>
  </si>
  <si>
    <t>PD_33</t>
  </si>
  <si>
    <t>LGD_1</t>
  </si>
  <si>
    <t>LGD_2</t>
  </si>
  <si>
    <t>LGD_3</t>
  </si>
  <si>
    <t>LGD_4</t>
  </si>
  <si>
    <t>LGD_5</t>
  </si>
  <si>
    <t>LGD_6</t>
  </si>
  <si>
    <t>LGD_7</t>
  </si>
  <si>
    <t>LGD_8</t>
  </si>
  <si>
    <t>LGD_9</t>
  </si>
  <si>
    <t>LGD_10</t>
  </si>
  <si>
    <t>LGD_11</t>
  </si>
  <si>
    <t>LGD_12</t>
  </si>
  <si>
    <t>LGD_13</t>
  </si>
  <si>
    <t>LGD_14</t>
  </si>
  <si>
    <t>LGD_15</t>
  </si>
  <si>
    <t>LGD_16</t>
  </si>
  <si>
    <t>LGD_17</t>
  </si>
  <si>
    <t>LGD_18</t>
  </si>
  <si>
    <t>LGD_19</t>
  </si>
  <si>
    <t>LGD_20</t>
  </si>
  <si>
    <t>LGD_21</t>
  </si>
  <si>
    <t>LGD_22</t>
  </si>
  <si>
    <t>LGD_23</t>
  </si>
  <si>
    <t>LGD_24</t>
  </si>
  <si>
    <t>LGD_25</t>
  </si>
  <si>
    <t>LGD_26</t>
  </si>
  <si>
    <t>LGD_27</t>
  </si>
  <si>
    <t>LGD_28</t>
  </si>
  <si>
    <t>LGD_29</t>
  </si>
  <si>
    <t>LGD_30</t>
  </si>
  <si>
    <t>LGD_31</t>
  </si>
  <si>
    <t>LGD_32</t>
  </si>
  <si>
    <t>LGD_33</t>
  </si>
  <si>
    <t>IFRS9_LGD_MODEL_CODE</t>
  </si>
  <si>
    <t>PRODUCT</t>
  </si>
  <si>
    <t>MATURITY_MAX</t>
  </si>
  <si>
    <t>PRI_CRELOG</t>
  </si>
  <si>
    <t>SCI_PPI</t>
  </si>
  <si>
    <t>PRI_CAV</t>
  </si>
  <si>
    <t>MODEL_CODE</t>
  </si>
  <si>
    <t>Basel_portfolio_after_CRM</t>
  </si>
  <si>
    <t>*</t>
  </si>
  <si>
    <t>LGD_SME</t>
  </si>
  <si>
    <t>LGD_LC</t>
  </si>
  <si>
    <t>IN (MA9, NA0, NA1)</t>
  </si>
  <si>
    <t>NOT IN (BV7, EA3)</t>
  </si>
  <si>
    <t>IFRS9_PD_MODEL_CODE_REPORTING</t>
  </si>
  <si>
    <t>IFRS9_PD_MODEL_NAME_REPORTING</t>
  </si>
  <si>
    <t>IFRS9_PD_MODEL_NAME_ORIGINATION</t>
  </si>
  <si>
    <t>ABSOLUTE_THRESHOLD_SICR</t>
  </si>
  <si>
    <t>RELATIVE_THRESHOLD_SICR</t>
  </si>
  <si>
    <t>SOV</t>
  </si>
  <si>
    <t>COT</t>
  </si>
  <si>
    <t>FI</t>
  </si>
  <si>
    <t>SME</t>
  </si>
  <si>
    <t>LC</t>
  </si>
  <si>
    <t>VLC</t>
  </si>
  <si>
    <t>LRSL</t>
  </si>
  <si>
    <t>VINTAGE_QUARTER</t>
  </si>
  <si>
    <t>Q1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</si>
</sst>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285D-6D44-4E02-BCE2-F5370F6241A5}">
  <dimension ref="A1"/>
  <sheetViews>
    <sheetView workbookViewId="0">
      <selection activeCell="D18" sqref="D18"/>
    </sheetView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sheetPr>
    <tabColor theme="4"/>
  </sheetPr>
  <dimension ref="A1:D30"/>
  <sheetViews>
    <sheetView topLeftCell="A5" zoomScale="85" zoomScaleNormal="85" workbookViewId="0">
      <selection activeCell="A23" sqref="A23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121</v>
      </c>
      <c r="B4" s="2" t="s">
        <v>122</v>
      </c>
      <c r="C4" s="2" t="s">
        <v>124</v>
      </c>
      <c r="D4" s="2" t="s">
        <v>123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125</v>
      </c>
      <c r="B10" s="1" t="s">
        <v>117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/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9076-857F-40CF-B87B-B4284B7D0024}">
  <sheetPr>
    <tabColor theme="4"/>
  </sheetPr>
  <dimension ref="A1:D30"/>
  <sheetViews>
    <sheetView topLeftCell="K11" zoomScale="85" zoomScaleNormal="85" workbookViewId="0">
      <selection activeCell="A31" sqref="A31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121</v>
      </c>
      <c r="B4" s="2" t="s">
        <v>122</v>
      </c>
      <c r="C4" s="2" t="s">
        <v>124</v>
      </c>
      <c r="D4" s="2" t="s">
        <v>123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117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 t="s">
        <v>22</v>
      </c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686DF-1A67-4137-83F8-AC49BF7AB317}">
  <sheetPr>
    <tabColor theme="4"/>
  </sheetPr>
  <dimension ref="A1:D30"/>
  <sheetViews>
    <sheetView topLeftCell="A13" zoomScale="85" zoomScaleNormal="85" workbookViewId="0">
      <selection activeCell="D30" sqref="D30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121</v>
      </c>
      <c r="B4" s="2" t="s">
        <v>122</v>
      </c>
      <c r="C4" s="2" t="s">
        <v>124</v>
      </c>
      <c r="D4" s="2" t="s">
        <v>123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117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sheetPr>
    <tabColor theme="4"/>
  </sheetPr>
  <dimension ref="A1:B37"/>
  <sheetViews>
    <sheetView zoomScale="85" zoomScaleNormal="85" workbookViewId="0">
      <selection activeCell="G17" sqref="G17"/>
    </sheetView>
  </sheetViews>
  <sheetFormatPr baseColWidth="10" defaultRowHeight="14.5" x14ac:dyDescent="0.35"/>
  <cols>
    <col min="1" max="1" width="16.453125" bestFit="1" customWidth="1"/>
    <col min="2" max="2" width="17.72656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120</v>
      </c>
      <c r="B4" s="2" t="s">
        <v>119</v>
      </c>
    </row>
    <row r="5" spans="1:2" x14ac:dyDescent="0.35">
      <c r="A5">
        <v>1</v>
      </c>
      <c r="B5">
        <v>3</v>
      </c>
    </row>
    <row r="6" spans="1:2" x14ac:dyDescent="0.35">
      <c r="A6">
        <v>2</v>
      </c>
      <c r="B6">
        <v>6</v>
      </c>
    </row>
    <row r="7" spans="1:2" x14ac:dyDescent="0.35">
      <c r="A7">
        <v>3</v>
      </c>
      <c r="B7">
        <v>9</v>
      </c>
    </row>
    <row r="8" spans="1:2" x14ac:dyDescent="0.35">
      <c r="A8">
        <v>4</v>
      </c>
      <c r="B8">
        <v>12</v>
      </c>
    </row>
    <row r="9" spans="1:2" x14ac:dyDescent="0.35">
      <c r="A9">
        <v>5</v>
      </c>
      <c r="B9">
        <v>15</v>
      </c>
    </row>
    <row r="10" spans="1:2" x14ac:dyDescent="0.35">
      <c r="A10">
        <v>6</v>
      </c>
      <c r="B10">
        <v>18</v>
      </c>
    </row>
    <row r="11" spans="1:2" x14ac:dyDescent="0.35">
      <c r="A11">
        <v>7</v>
      </c>
      <c r="B11">
        <v>21</v>
      </c>
    </row>
    <row r="12" spans="1:2" x14ac:dyDescent="0.35">
      <c r="A12">
        <v>8</v>
      </c>
      <c r="B12">
        <v>24</v>
      </c>
    </row>
    <row r="13" spans="1:2" x14ac:dyDescent="0.35">
      <c r="A13">
        <v>9</v>
      </c>
      <c r="B13">
        <v>27</v>
      </c>
    </row>
    <row r="14" spans="1:2" x14ac:dyDescent="0.35">
      <c r="A14">
        <v>10</v>
      </c>
      <c r="B14">
        <v>30</v>
      </c>
    </row>
    <row r="15" spans="1:2" x14ac:dyDescent="0.35">
      <c r="A15">
        <v>11</v>
      </c>
      <c r="B15">
        <v>33</v>
      </c>
    </row>
    <row r="16" spans="1:2" x14ac:dyDescent="0.35">
      <c r="A16">
        <v>12</v>
      </c>
      <c r="B16">
        <v>36</v>
      </c>
    </row>
    <row r="17" spans="1:2" x14ac:dyDescent="0.35">
      <c r="A17">
        <v>13</v>
      </c>
      <c r="B17">
        <v>39</v>
      </c>
    </row>
    <row r="18" spans="1:2" x14ac:dyDescent="0.35">
      <c r="A18">
        <v>14</v>
      </c>
      <c r="B18">
        <v>42</v>
      </c>
    </row>
    <row r="19" spans="1:2" x14ac:dyDescent="0.35">
      <c r="A19">
        <v>15</v>
      </c>
      <c r="B19">
        <v>45</v>
      </c>
    </row>
    <row r="20" spans="1:2" x14ac:dyDescent="0.35">
      <c r="A20">
        <v>16</v>
      </c>
      <c r="B20">
        <v>48</v>
      </c>
    </row>
    <row r="21" spans="1:2" x14ac:dyDescent="0.35">
      <c r="A21">
        <v>17</v>
      </c>
      <c r="B21">
        <v>51</v>
      </c>
    </row>
    <row r="22" spans="1:2" x14ac:dyDescent="0.35">
      <c r="A22">
        <v>18</v>
      </c>
      <c r="B22">
        <v>54</v>
      </c>
    </row>
    <row r="23" spans="1:2" x14ac:dyDescent="0.35">
      <c r="A23">
        <v>19</v>
      </c>
      <c r="B23">
        <v>57</v>
      </c>
    </row>
    <row r="24" spans="1:2" x14ac:dyDescent="0.35">
      <c r="A24">
        <v>20</v>
      </c>
      <c r="B24">
        <v>60</v>
      </c>
    </row>
    <row r="25" spans="1:2" x14ac:dyDescent="0.35">
      <c r="A25">
        <v>21</v>
      </c>
      <c r="B25">
        <v>72</v>
      </c>
    </row>
    <row r="26" spans="1:2" x14ac:dyDescent="0.35">
      <c r="A26">
        <v>22</v>
      </c>
      <c r="B26">
        <v>84</v>
      </c>
    </row>
    <row r="27" spans="1:2" x14ac:dyDescent="0.35">
      <c r="A27">
        <v>23</v>
      </c>
      <c r="B27">
        <v>96</v>
      </c>
    </row>
    <row r="28" spans="1:2" x14ac:dyDescent="0.35">
      <c r="A28">
        <v>24</v>
      </c>
      <c r="B28">
        <v>108</v>
      </c>
    </row>
    <row r="29" spans="1:2" x14ac:dyDescent="0.35">
      <c r="A29">
        <v>25</v>
      </c>
      <c r="B29">
        <v>120</v>
      </c>
    </row>
    <row r="30" spans="1:2" x14ac:dyDescent="0.35">
      <c r="A30">
        <v>26</v>
      </c>
      <c r="B30">
        <v>132</v>
      </c>
    </row>
    <row r="31" spans="1:2" x14ac:dyDescent="0.35">
      <c r="A31">
        <v>27</v>
      </c>
      <c r="B31">
        <v>144</v>
      </c>
    </row>
    <row r="32" spans="1:2" x14ac:dyDescent="0.35">
      <c r="A32">
        <v>28</v>
      </c>
      <c r="B32">
        <v>156</v>
      </c>
    </row>
    <row r="33" spans="1:2" x14ac:dyDescent="0.35">
      <c r="A33">
        <v>29</v>
      </c>
      <c r="B33">
        <v>168</v>
      </c>
    </row>
    <row r="34" spans="1:2" x14ac:dyDescent="0.35">
      <c r="A34">
        <v>30</v>
      </c>
      <c r="B34">
        <v>180</v>
      </c>
    </row>
    <row r="35" spans="1:2" x14ac:dyDescent="0.35">
      <c r="A35">
        <v>31</v>
      </c>
      <c r="B35">
        <v>240</v>
      </c>
    </row>
    <row r="36" spans="1:2" x14ac:dyDescent="0.35">
      <c r="A36">
        <v>32</v>
      </c>
      <c r="B36">
        <v>300</v>
      </c>
    </row>
    <row r="37" spans="1:2" x14ac:dyDescent="0.35">
      <c r="A37">
        <v>33</v>
      </c>
      <c r="B37">
        <v>360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sheetPr>
    <tabColor theme="4"/>
  </sheetPr>
  <dimension ref="A1:E11"/>
  <sheetViews>
    <sheetView zoomScale="83" workbookViewId="0">
      <selection activeCell="C17" sqref="C17"/>
    </sheetView>
  </sheetViews>
  <sheetFormatPr baseColWidth="10" defaultRowHeight="14.5" x14ac:dyDescent="0.35"/>
  <cols>
    <col min="1" max="2" width="32.08984375" bestFit="1" customWidth="1"/>
    <col min="3" max="3" width="33.1796875" bestFit="1" customWidth="1"/>
    <col min="4" max="4" width="25.1796875" bestFit="1" customWidth="1"/>
    <col min="5" max="5" width="24.6328125" bestFit="1" customWidth="1"/>
  </cols>
  <sheetData>
    <row r="1" spans="1:5" x14ac:dyDescent="0.35">
      <c r="A1" t="s">
        <v>107</v>
      </c>
    </row>
    <row r="2" spans="1:5" x14ac:dyDescent="0.35">
      <c r="A2" t="s">
        <v>108</v>
      </c>
    </row>
    <row r="3" spans="1:5" x14ac:dyDescent="0.35">
      <c r="A3" t="s">
        <v>109</v>
      </c>
    </row>
    <row r="4" spans="1:5" x14ac:dyDescent="0.35">
      <c r="A4" s="2" t="s">
        <v>206</v>
      </c>
      <c r="B4" s="2" t="s">
        <v>207</v>
      </c>
      <c r="C4" s="2" t="s">
        <v>208</v>
      </c>
      <c r="D4" s="2" t="s">
        <v>209</v>
      </c>
      <c r="E4" s="2" t="s">
        <v>210</v>
      </c>
    </row>
    <row r="5" spans="1:5" x14ac:dyDescent="0.35">
      <c r="A5" t="s">
        <v>110</v>
      </c>
      <c r="B5" t="s">
        <v>211</v>
      </c>
      <c r="C5" t="s">
        <v>211</v>
      </c>
      <c r="D5">
        <v>0.02</v>
      </c>
      <c r="E5">
        <v>3</v>
      </c>
    </row>
    <row r="6" spans="1:5" x14ac:dyDescent="0.35">
      <c r="A6" t="s">
        <v>111</v>
      </c>
      <c r="B6" t="s">
        <v>212</v>
      </c>
      <c r="C6" t="s">
        <v>212</v>
      </c>
      <c r="D6">
        <v>0.03</v>
      </c>
      <c r="E6">
        <v>3</v>
      </c>
    </row>
    <row r="7" spans="1:5" x14ac:dyDescent="0.35">
      <c r="A7" t="s">
        <v>63</v>
      </c>
      <c r="B7" t="s">
        <v>213</v>
      </c>
      <c r="C7" t="s">
        <v>213</v>
      </c>
      <c r="D7">
        <v>0.02</v>
      </c>
      <c r="E7">
        <v>3</v>
      </c>
    </row>
    <row r="8" spans="1:5" x14ac:dyDescent="0.35">
      <c r="A8" t="s">
        <v>77</v>
      </c>
      <c r="B8" t="s">
        <v>214</v>
      </c>
      <c r="C8" t="s">
        <v>214</v>
      </c>
      <c r="D8">
        <v>2.33333333333333E-2</v>
      </c>
      <c r="E8">
        <v>3</v>
      </c>
    </row>
    <row r="9" spans="1:5" x14ac:dyDescent="0.35">
      <c r="A9" t="s">
        <v>112</v>
      </c>
      <c r="B9" t="s">
        <v>215</v>
      </c>
      <c r="C9" t="s">
        <v>215</v>
      </c>
      <c r="D9">
        <v>2.33333333333333E-2</v>
      </c>
      <c r="E9">
        <v>3</v>
      </c>
    </row>
    <row r="10" spans="1:5" x14ac:dyDescent="0.35">
      <c r="A10" t="s">
        <v>113</v>
      </c>
      <c r="B10" t="s">
        <v>216</v>
      </c>
      <c r="C10" t="s">
        <v>216</v>
      </c>
      <c r="D10">
        <v>2.33333333333333E-2</v>
      </c>
      <c r="E10">
        <v>3</v>
      </c>
    </row>
    <row r="11" spans="1:5" x14ac:dyDescent="0.35">
      <c r="A11" t="s">
        <v>114</v>
      </c>
      <c r="B11" t="s">
        <v>217</v>
      </c>
      <c r="C11" t="s">
        <v>217</v>
      </c>
      <c r="D11">
        <v>2.33333333333333E-2</v>
      </c>
      <c r="E1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sheetPr>
    <tabColor theme="4"/>
  </sheetPr>
  <dimension ref="A1:AL81"/>
  <sheetViews>
    <sheetView tabSelected="1" topLeftCell="U1" zoomScale="70" zoomScaleNormal="70" workbookViewId="0">
      <selection activeCell="AJ10" sqref="AJ10"/>
    </sheetView>
  </sheetViews>
  <sheetFormatPr baseColWidth="10" defaultRowHeight="14.5" x14ac:dyDescent="0.35"/>
  <cols>
    <col min="1" max="1" width="19" bestFit="1" customWidth="1"/>
    <col min="2" max="2" width="17.54296875" bestFit="1" customWidth="1"/>
    <col min="3" max="3" width="17.54296875" customWidth="1"/>
    <col min="6" max="14" width="11.453125" bestFit="1" customWidth="1"/>
    <col min="15" max="38" width="12.453125" bestFit="1" customWidth="1"/>
  </cols>
  <sheetData>
    <row r="1" spans="1:38" x14ac:dyDescent="0.35">
      <c r="A1" t="s">
        <v>107</v>
      </c>
      <c r="B1" t="s">
        <v>107</v>
      </c>
    </row>
    <row r="2" spans="1:38" x14ac:dyDescent="0.35">
      <c r="A2" t="s">
        <v>108</v>
      </c>
      <c r="B2" t="s">
        <v>108</v>
      </c>
    </row>
    <row r="3" spans="1:38" x14ac:dyDescent="0.35">
      <c r="B3" t="s">
        <v>109</v>
      </c>
      <c r="E3">
        <v>8.9999999999999998E-4</v>
      </c>
      <c r="F3">
        <v>1E-3</v>
      </c>
      <c r="G3">
        <v>3.0000000000000001E-3</v>
      </c>
      <c r="H3">
        <v>5.0000000000000001E-3</v>
      </c>
      <c r="I3">
        <v>7.0000000000000001E-3</v>
      </c>
      <c r="J3">
        <v>8.9999999999999993E-3</v>
      </c>
      <c r="K3">
        <v>1.0999999999999999E-2</v>
      </c>
      <c r="L3">
        <v>1.2999999999999999E-2</v>
      </c>
      <c r="M3">
        <v>1.4999999999999999E-2</v>
      </c>
      <c r="N3">
        <v>1.7000000000000001E-2</v>
      </c>
      <c r="O3">
        <v>1.9E-2</v>
      </c>
      <c r="P3">
        <v>2.1000000000000001E-2</v>
      </c>
      <c r="Q3">
        <v>2.3E-2</v>
      </c>
      <c r="R3">
        <v>2.5000000000000001E-2</v>
      </c>
      <c r="S3">
        <v>2.7E-2</v>
      </c>
      <c r="T3">
        <v>2.9000000000000001E-2</v>
      </c>
      <c r="U3">
        <v>3.1E-2</v>
      </c>
      <c r="V3">
        <v>3.3000000000000002E-2</v>
      </c>
      <c r="W3">
        <v>3.5000000000000003E-2</v>
      </c>
      <c r="X3">
        <v>3.6999999999999998E-2</v>
      </c>
      <c r="Y3">
        <v>3.9E-2</v>
      </c>
      <c r="Z3">
        <f>$Y$3-$U$3+$Y$3</f>
        <v>4.7E-2</v>
      </c>
      <c r="AA3">
        <f t="shared" ref="AA3:AI3" si="0">$Y$3-$U$3+Z3</f>
        <v>5.5E-2</v>
      </c>
      <c r="AB3">
        <f t="shared" si="0"/>
        <v>6.3E-2</v>
      </c>
      <c r="AC3">
        <f t="shared" si="0"/>
        <v>7.1000000000000008E-2</v>
      </c>
      <c r="AD3">
        <f t="shared" si="0"/>
        <v>7.9000000000000015E-2</v>
      </c>
      <c r="AE3">
        <f t="shared" si="0"/>
        <v>8.7000000000000022E-2</v>
      </c>
      <c r="AF3">
        <f t="shared" si="0"/>
        <v>9.5000000000000029E-2</v>
      </c>
      <c r="AG3">
        <f t="shared" si="0"/>
        <v>0.10300000000000004</v>
      </c>
      <c r="AH3">
        <f t="shared" si="0"/>
        <v>0.11100000000000004</v>
      </c>
      <c r="AI3">
        <f t="shared" si="0"/>
        <v>0.11900000000000005</v>
      </c>
      <c r="AJ3">
        <f>AI3+($AI$3-$AD$3)</f>
        <v>0.15900000000000009</v>
      </c>
      <c r="AK3">
        <f t="shared" ref="AK3:AL3" si="1">AJ3+($AI$3-$AD$3)</f>
        <v>0.19900000000000012</v>
      </c>
      <c r="AL3">
        <f t="shared" si="1"/>
        <v>0.23900000000000016</v>
      </c>
    </row>
    <row r="4" spans="1:38" x14ac:dyDescent="0.35">
      <c r="A4" t="s">
        <v>109</v>
      </c>
      <c r="F4">
        <v>3</v>
      </c>
      <c r="G4">
        <v>6</v>
      </c>
      <c r="H4">
        <v>9</v>
      </c>
      <c r="I4">
        <v>12</v>
      </c>
      <c r="J4">
        <v>15</v>
      </c>
      <c r="K4">
        <v>18</v>
      </c>
      <c r="L4">
        <v>21</v>
      </c>
      <c r="M4">
        <v>24</v>
      </c>
      <c r="N4">
        <v>27</v>
      </c>
      <c r="O4">
        <v>30</v>
      </c>
      <c r="P4">
        <v>33</v>
      </c>
      <c r="Q4">
        <v>36</v>
      </c>
      <c r="R4">
        <v>39</v>
      </c>
      <c r="S4">
        <v>42</v>
      </c>
      <c r="T4">
        <v>45</v>
      </c>
      <c r="U4">
        <v>48</v>
      </c>
      <c r="V4">
        <v>51</v>
      </c>
      <c r="W4">
        <v>54</v>
      </c>
      <c r="X4">
        <v>57</v>
      </c>
      <c r="Y4">
        <v>60</v>
      </c>
      <c r="Z4">
        <v>72</v>
      </c>
      <c r="AA4">
        <v>84</v>
      </c>
      <c r="AB4">
        <v>96</v>
      </c>
      <c r="AC4">
        <v>108</v>
      </c>
      <c r="AD4">
        <v>120</v>
      </c>
      <c r="AE4">
        <v>132</v>
      </c>
      <c r="AF4">
        <v>144</v>
      </c>
      <c r="AG4">
        <v>156</v>
      </c>
      <c r="AH4">
        <v>168</v>
      </c>
      <c r="AI4">
        <v>180</v>
      </c>
      <c r="AJ4">
        <v>240</v>
      </c>
      <c r="AK4">
        <v>300</v>
      </c>
      <c r="AL4">
        <v>360</v>
      </c>
    </row>
    <row r="5" spans="1:38" x14ac:dyDescent="0.35">
      <c r="A5" s="2" t="s">
        <v>115</v>
      </c>
      <c r="B5" s="2" t="s">
        <v>116</v>
      </c>
      <c r="C5" s="2" t="s">
        <v>218</v>
      </c>
      <c r="D5" s="2" t="s">
        <v>25</v>
      </c>
      <c r="E5" s="2" t="s">
        <v>27</v>
      </c>
      <c r="F5" s="2" t="s">
        <v>127</v>
      </c>
      <c r="G5" s="2" t="s">
        <v>128</v>
      </c>
      <c r="H5" s="2" t="s">
        <v>129</v>
      </c>
      <c r="I5" s="2" t="s">
        <v>130</v>
      </c>
      <c r="J5" s="2" t="s">
        <v>131</v>
      </c>
      <c r="K5" s="2" t="s">
        <v>132</v>
      </c>
      <c r="L5" s="2" t="s">
        <v>133</v>
      </c>
      <c r="M5" s="2" t="s">
        <v>134</v>
      </c>
      <c r="N5" s="2" t="s">
        <v>135</v>
      </c>
      <c r="O5" s="2" t="s">
        <v>136</v>
      </c>
      <c r="P5" s="2" t="s">
        <v>137</v>
      </c>
      <c r="Q5" s="2" t="s">
        <v>138</v>
      </c>
      <c r="R5" s="2" t="s">
        <v>139</v>
      </c>
      <c r="S5" s="2" t="s">
        <v>140</v>
      </c>
      <c r="T5" s="2" t="s">
        <v>141</v>
      </c>
      <c r="U5" s="2" t="s">
        <v>142</v>
      </c>
      <c r="V5" s="2" t="s">
        <v>143</v>
      </c>
      <c r="W5" s="2" t="s">
        <v>144</v>
      </c>
      <c r="X5" s="2" t="s">
        <v>145</v>
      </c>
      <c r="Y5" s="2" t="s">
        <v>146</v>
      </c>
      <c r="Z5" s="2" t="s">
        <v>147</v>
      </c>
      <c r="AA5" s="2" t="s">
        <v>148</v>
      </c>
      <c r="AB5" s="2" t="s">
        <v>149</v>
      </c>
      <c r="AC5" s="2" t="s">
        <v>150</v>
      </c>
      <c r="AD5" s="2" t="s">
        <v>151</v>
      </c>
      <c r="AE5" s="2" t="s">
        <v>152</v>
      </c>
      <c r="AF5" s="2" t="s">
        <v>153</v>
      </c>
      <c r="AG5" s="2" t="s">
        <v>154</v>
      </c>
      <c r="AH5" s="2" t="s">
        <v>155</v>
      </c>
      <c r="AI5" s="2" t="s">
        <v>156</v>
      </c>
      <c r="AJ5" s="2" t="s">
        <v>157</v>
      </c>
      <c r="AK5" s="2" t="s">
        <v>158</v>
      </c>
      <c r="AL5" s="2" t="s">
        <v>159</v>
      </c>
    </row>
    <row r="6" spans="1:38" x14ac:dyDescent="0.35">
      <c r="A6" s="7">
        <v>43101</v>
      </c>
      <c r="B6" s="7">
        <v>43190</v>
      </c>
      <c r="C6" s="7" t="s">
        <v>219</v>
      </c>
      <c r="D6" t="s">
        <v>213</v>
      </c>
      <c r="E6" s="4">
        <v>1</v>
      </c>
      <c r="F6" s="3">
        <v>9.8723541508006661E-4</v>
      </c>
      <c r="G6" s="3">
        <v>5.2233634294956239E-4</v>
      </c>
      <c r="H6" s="3">
        <v>3.9046312301412385E-3</v>
      </c>
      <c r="I6" s="3">
        <v>2.0590517717537526E-3</v>
      </c>
      <c r="J6" s="3">
        <v>5.2149314083110593E-3</v>
      </c>
      <c r="K6" s="3">
        <v>5.2654462670556571E-3</v>
      </c>
      <c r="L6" s="3">
        <v>6.9821971437631896E-3</v>
      </c>
      <c r="M6" s="3">
        <v>6.3750225391471602E-3</v>
      </c>
      <c r="N6" s="3">
        <v>1.0507892750587852E-2</v>
      </c>
      <c r="O6" s="3">
        <v>6.7065150130467804E-3</v>
      </c>
      <c r="P6" s="3">
        <v>1.3154611745470947E-2</v>
      </c>
      <c r="Q6" s="3">
        <v>8.0682340944428794E-3</v>
      </c>
      <c r="R6" s="3">
        <v>1.5456126253836607E-2</v>
      </c>
      <c r="S6" s="3">
        <v>1.0142726163996979E-2</v>
      </c>
      <c r="T6" s="3">
        <v>1.6907674061615849E-2</v>
      </c>
      <c r="U6" s="3">
        <v>1.2823319048479054E-2</v>
      </c>
      <c r="V6" s="3">
        <v>1.904753562160251E-2</v>
      </c>
      <c r="W6" s="3">
        <v>1.3978029939151655E-2</v>
      </c>
      <c r="X6" s="3">
        <v>2.2194112106792327E-2</v>
      </c>
      <c r="Y6" s="3">
        <v>1.6541921398612769E-2</v>
      </c>
      <c r="Z6" s="3">
        <v>2.5720350031989594E-2</v>
      </c>
      <c r="AA6" s="3">
        <v>2.6938659601285303E-2</v>
      </c>
      <c r="AB6" s="3">
        <v>3.22208891354583E-2</v>
      </c>
      <c r="AC6" s="3">
        <v>3.5598276343003582E-2</v>
      </c>
      <c r="AD6" s="3">
        <v>3.7975244868088717E-2</v>
      </c>
      <c r="AE6" s="3">
        <v>4.5630307613935217E-2</v>
      </c>
      <c r="AF6" s="3">
        <v>4.853026052880377E-2</v>
      </c>
      <c r="AG6" s="3">
        <v>4.7821994417673777E-2</v>
      </c>
      <c r="AH6" s="3">
        <v>6.1201092314036615E-2</v>
      </c>
      <c r="AI6" s="3">
        <v>5.0923580014799824E-2</v>
      </c>
      <c r="AJ6" s="3">
        <v>8.2188999629773274E-2</v>
      </c>
      <c r="AK6" s="3">
        <v>0.11588203667397348</v>
      </c>
      <c r="AL6" s="3">
        <v>8.3382830424295451E-2</v>
      </c>
    </row>
    <row r="7" spans="1:38" x14ac:dyDescent="0.35">
      <c r="A7" s="7">
        <v>43101</v>
      </c>
      <c r="B7" s="7">
        <v>43190</v>
      </c>
      <c r="C7" s="7" t="s">
        <v>219</v>
      </c>
      <c r="D7" t="s">
        <v>213</v>
      </c>
      <c r="E7" s="4" t="s">
        <v>64</v>
      </c>
      <c r="F7" s="3">
        <v>1.9555046283066726E-3</v>
      </c>
      <c r="G7" s="3">
        <v>1.4444817733707499E-3</v>
      </c>
      <c r="H7" s="3">
        <v>4.8506266060747323E-3</v>
      </c>
      <c r="I7" s="3">
        <v>2.9689251011853386E-3</v>
      </c>
      <c r="J7" s="3">
        <v>6.1332831557499856E-3</v>
      </c>
      <c r="K7" s="3">
        <v>6.2230620024443378E-3</v>
      </c>
      <c r="L7" s="3">
        <v>7.9341159321329683E-3</v>
      </c>
      <c r="M7" s="3">
        <v>7.2808199776805086E-3</v>
      </c>
      <c r="N7" s="3">
        <v>1.1450059642861695E-2</v>
      </c>
      <c r="O7" s="3">
        <v>7.642785468758395E-3</v>
      </c>
      <c r="P7" s="3">
        <v>1.4118841964526537E-2</v>
      </c>
      <c r="Q7" s="3">
        <v>8.979868013520546E-3</v>
      </c>
      <c r="R7" s="3">
        <v>1.6439336595061631E-2</v>
      </c>
      <c r="S7" s="3">
        <v>1.1073364823084355E-2</v>
      </c>
      <c r="T7" s="3">
        <v>1.7881617977735499E-2</v>
      </c>
      <c r="U7" s="3">
        <v>1.373890625363945E-2</v>
      </c>
      <c r="V7" s="3">
        <v>2.0018330733574292E-2</v>
      </c>
      <c r="W7" s="3">
        <v>1.4924668227140765E-2</v>
      </c>
      <c r="X7" s="3">
        <v>2.3173292504344783E-2</v>
      </c>
      <c r="Y7" s="3">
        <v>1.7464646138943565E-2</v>
      </c>
      <c r="Z7" s="3">
        <v>2.6663966833701071E-2</v>
      </c>
      <c r="AA7" s="3">
        <v>2.7893391600233453E-2</v>
      </c>
      <c r="AB7" s="3">
        <v>3.3139843977245197E-2</v>
      </c>
      <c r="AC7" s="3">
        <v>3.6548496431847793E-2</v>
      </c>
      <c r="AD7" s="3">
        <v>3.8929948312430664E-2</v>
      </c>
      <c r="AE7" s="3">
        <v>4.6537761203292317E-2</v>
      </c>
      <c r="AF7" s="3">
        <v>4.9498060155195492E-2</v>
      </c>
      <c r="AG7" s="3">
        <v>4.8743308851667146E-2</v>
      </c>
      <c r="AH7" s="3">
        <v>6.2159836721572548E-2</v>
      </c>
      <c r="AI7" s="3">
        <v>5.1836736383455005E-2</v>
      </c>
      <c r="AJ7" s="3">
        <v>8.3118740122663751E-2</v>
      </c>
      <c r="AK7" s="3">
        <v>0.1168205734558888</v>
      </c>
      <c r="AL7" s="3">
        <v>8.4284808505095662E-2</v>
      </c>
    </row>
    <row r="8" spans="1:38" x14ac:dyDescent="0.35">
      <c r="A8" s="7">
        <v>43101</v>
      </c>
      <c r="B8" s="7">
        <v>43190</v>
      </c>
      <c r="C8" s="7" t="s">
        <v>219</v>
      </c>
      <c r="D8" t="s">
        <v>213</v>
      </c>
      <c r="E8" s="4">
        <v>2</v>
      </c>
      <c r="F8" s="3">
        <v>2.8970218996252142E-3</v>
      </c>
      <c r="G8" s="3">
        <v>2.3689152749164387E-3</v>
      </c>
      <c r="H8" s="3">
        <v>5.8484518920303586E-3</v>
      </c>
      <c r="I8" s="3">
        <v>3.9556911621240762E-3</v>
      </c>
      <c r="J8" s="3">
        <v>7.0601310643130044E-3</v>
      </c>
      <c r="K8" s="3">
        <v>7.1981062270383362E-3</v>
      </c>
      <c r="L8" s="3">
        <v>8.8450446295011212E-3</v>
      </c>
      <c r="M8" s="3">
        <v>8.2346432484778458E-3</v>
      </c>
      <c r="N8" s="3">
        <v>1.238232419933108E-2</v>
      </c>
      <c r="O8" s="3">
        <v>8.5946840775588326E-3</v>
      </c>
      <c r="P8" s="3">
        <v>1.504054701935875E-2</v>
      </c>
      <c r="Q8" s="3">
        <v>9.9192192002095156E-3</v>
      </c>
      <c r="R8" s="3">
        <v>1.7371166603959768E-2</v>
      </c>
      <c r="S8" s="3">
        <v>1.2041012010300826E-2</v>
      </c>
      <c r="T8" s="3">
        <v>1.8831479692354037E-2</v>
      </c>
      <c r="U8" s="3">
        <v>1.4687198648127538E-2</v>
      </c>
      <c r="V8" s="3">
        <v>2.0993338675699427E-2</v>
      </c>
      <c r="W8" s="3">
        <v>1.5890880083179657E-2</v>
      </c>
      <c r="X8" s="3">
        <v>2.414075459663979E-2</v>
      </c>
      <c r="Y8" s="3">
        <v>1.8458963417643245E-2</v>
      </c>
      <c r="Z8" s="3">
        <v>2.7599887843882988E-2</v>
      </c>
      <c r="AA8" s="3">
        <v>2.8867198078455506E-2</v>
      </c>
      <c r="AB8" s="3">
        <v>3.4078492929563477E-2</v>
      </c>
      <c r="AC8" s="3">
        <v>3.7451398081860633E-2</v>
      </c>
      <c r="AD8" s="3">
        <v>3.984576144832034E-2</v>
      </c>
      <c r="AE8" s="3">
        <v>4.744267502963543E-2</v>
      </c>
      <c r="AF8" s="3">
        <v>5.0471262341356134E-2</v>
      </c>
      <c r="AG8" s="3">
        <v>4.9721406261892226E-2</v>
      </c>
      <c r="AH8" s="3">
        <v>6.3088969605302594E-2</v>
      </c>
      <c r="AI8" s="3">
        <v>5.2827014311840927E-2</v>
      </c>
      <c r="AJ8" s="3">
        <v>8.4050826477839929E-2</v>
      </c>
      <c r="AK8" s="3">
        <v>0.11776338686442323</v>
      </c>
      <c r="AL8" s="3">
        <v>8.5187624453367236E-2</v>
      </c>
    </row>
    <row r="9" spans="1:38" x14ac:dyDescent="0.35">
      <c r="A9" s="7">
        <v>43101</v>
      </c>
      <c r="B9" s="7">
        <v>43190</v>
      </c>
      <c r="C9" s="7" t="s">
        <v>219</v>
      </c>
      <c r="D9" t="s">
        <v>213</v>
      </c>
      <c r="E9" s="4" t="s">
        <v>65</v>
      </c>
      <c r="F9" s="3">
        <v>3.8925880436026291E-3</v>
      </c>
      <c r="G9" s="3">
        <v>3.3293087884667567E-3</v>
      </c>
      <c r="H9" s="3">
        <v>6.8196563712744074E-3</v>
      </c>
      <c r="I9" s="3">
        <v>4.8932082139034102E-3</v>
      </c>
      <c r="J9" s="3">
        <v>8.0132646367332746E-3</v>
      </c>
      <c r="K9" s="3">
        <v>8.1358307951268742E-3</v>
      </c>
      <c r="L9" s="3">
        <v>9.7746624752325668E-3</v>
      </c>
      <c r="M9" s="3">
        <v>9.1797473929750139E-3</v>
      </c>
      <c r="N9" s="3">
        <v>1.3293207543458285E-2</v>
      </c>
      <c r="O9" s="3">
        <v>9.5448669156472064E-3</v>
      </c>
      <c r="P9" s="3">
        <v>1.6028482383182132E-2</v>
      </c>
      <c r="Q9" s="3">
        <v>1.0902780731733957E-2</v>
      </c>
      <c r="R9" s="3">
        <v>1.8290724980076223E-2</v>
      </c>
      <c r="S9" s="3">
        <v>1.2959929011024785E-2</v>
      </c>
      <c r="T9" s="3">
        <v>1.9744417994947586E-2</v>
      </c>
      <c r="U9" s="3">
        <v>1.5652317576269625E-2</v>
      </c>
      <c r="V9" s="3">
        <v>2.1913480248590571E-2</v>
      </c>
      <c r="W9" s="3">
        <v>1.6850251791674657E-2</v>
      </c>
      <c r="X9" s="3">
        <v>2.5122262773781382E-2</v>
      </c>
      <c r="Y9" s="3">
        <v>1.9373228437165709E-2</v>
      </c>
      <c r="Z9" s="3">
        <v>2.8590145397651652E-2</v>
      </c>
      <c r="AA9" s="3">
        <v>2.9820686831295171E-2</v>
      </c>
      <c r="AB9" s="3">
        <v>3.5042504808221867E-2</v>
      </c>
      <c r="AC9" s="3">
        <v>3.8366638261812719E-2</v>
      </c>
      <c r="AD9" s="3">
        <v>4.0762272908770117E-2</v>
      </c>
      <c r="AE9" s="3">
        <v>4.8423160064546077E-2</v>
      </c>
      <c r="AF9" s="3">
        <v>5.1429679229339921E-2</v>
      </c>
      <c r="AG9" s="3">
        <v>5.0661021251319487E-2</v>
      </c>
      <c r="AH9" s="3">
        <v>6.4006290793609949E-2</v>
      </c>
      <c r="AI9" s="3">
        <v>5.3762463089604771E-2</v>
      </c>
      <c r="AJ9" s="3">
        <v>8.4999678600142931E-2</v>
      </c>
      <c r="AK9" s="3">
        <v>0.11869337850398419</v>
      </c>
      <c r="AL9" s="3">
        <v>8.6170594043826487E-2</v>
      </c>
    </row>
    <row r="10" spans="1:38" x14ac:dyDescent="0.35">
      <c r="A10" s="7">
        <v>43101</v>
      </c>
      <c r="B10" s="7">
        <v>43190</v>
      </c>
      <c r="C10" s="7" t="s">
        <v>219</v>
      </c>
      <c r="D10" t="s">
        <v>213</v>
      </c>
      <c r="E10" s="4" t="s">
        <v>66</v>
      </c>
      <c r="F10" s="3">
        <v>4.8164316239651976E-3</v>
      </c>
      <c r="G10" s="3">
        <v>4.2797589194579228E-3</v>
      </c>
      <c r="H10" s="3">
        <v>7.8081053091731585E-3</v>
      </c>
      <c r="I10" s="3">
        <v>5.8671138528759836E-3</v>
      </c>
      <c r="J10" s="3">
        <v>8.9852878840056237E-3</v>
      </c>
      <c r="K10" s="3">
        <v>9.0839267564754595E-3</v>
      </c>
      <c r="L10" s="3">
        <v>1.0760408681570018E-2</v>
      </c>
      <c r="M10" s="3">
        <v>1.0139345117331524E-2</v>
      </c>
      <c r="N10" s="3">
        <v>1.4274630476066415E-2</v>
      </c>
      <c r="O10" s="3">
        <v>1.0495680412953486E-2</v>
      </c>
      <c r="P10" s="3">
        <v>1.6990447680038118E-2</v>
      </c>
      <c r="Q10" s="3">
        <v>1.1867473360407806E-2</v>
      </c>
      <c r="R10" s="3">
        <v>1.9253792917843317E-2</v>
      </c>
      <c r="S10" s="3">
        <v>1.393208750331036E-2</v>
      </c>
      <c r="T10" s="3">
        <v>2.0668036280152662E-2</v>
      </c>
      <c r="U10" s="3">
        <v>1.6594488698087415E-2</v>
      </c>
      <c r="V10" s="3">
        <v>2.2858979945907135E-2</v>
      </c>
      <c r="W10" s="3">
        <v>1.7841963462791443E-2</v>
      </c>
      <c r="X10" s="3">
        <v>2.6025110373458438E-2</v>
      </c>
      <c r="Y10" s="3">
        <v>2.0349523078769728E-2</v>
      </c>
      <c r="Z10" s="3">
        <v>2.9543861718213046E-2</v>
      </c>
      <c r="AA10" s="3">
        <v>3.0733705693309476E-2</v>
      </c>
      <c r="AB10" s="3">
        <v>3.5989763352759906E-2</v>
      </c>
      <c r="AC10" s="3">
        <v>3.9327036642431687E-2</v>
      </c>
      <c r="AD10" s="3">
        <v>4.1690749612420919E-2</v>
      </c>
      <c r="AE10" s="3">
        <v>4.9419860058073889E-2</v>
      </c>
      <c r="AF10" s="3">
        <v>5.2365926051764183E-2</v>
      </c>
      <c r="AG10" s="3">
        <v>5.1587901413566957E-2</v>
      </c>
      <c r="AH10" s="3">
        <v>6.4992861093754614E-2</v>
      </c>
      <c r="AI10" s="3">
        <v>5.473896489795009E-2</v>
      </c>
      <c r="AJ10" s="3">
        <v>8.5927084835442799E-2</v>
      </c>
      <c r="AK10" s="3">
        <v>0.11969048553650631</v>
      </c>
      <c r="AL10" s="3">
        <v>8.7084027690595589E-2</v>
      </c>
    </row>
    <row r="11" spans="1:38" x14ac:dyDescent="0.35">
      <c r="A11" s="7">
        <v>43101</v>
      </c>
      <c r="B11" s="7">
        <v>43190</v>
      </c>
      <c r="C11" s="7" t="s">
        <v>219</v>
      </c>
      <c r="D11" t="s">
        <v>213</v>
      </c>
      <c r="E11" s="4">
        <v>3</v>
      </c>
      <c r="F11" s="3">
        <v>5.8093132293695927E-3</v>
      </c>
      <c r="G11" s="3">
        <v>5.2059708113497121E-3</v>
      </c>
      <c r="H11" s="3">
        <v>8.7994041119458764E-3</v>
      </c>
      <c r="I11" s="3">
        <v>6.7806188390019022E-3</v>
      </c>
      <c r="J11" s="3">
        <v>9.9273131857093039E-3</v>
      </c>
      <c r="K11" s="3">
        <v>1.0058551719849628E-2</v>
      </c>
      <c r="L11" s="3">
        <v>1.1707387777530491E-2</v>
      </c>
      <c r="M11" s="3">
        <v>1.1118831932959119E-2</v>
      </c>
      <c r="N11" s="3">
        <v>1.519713920879525E-2</v>
      </c>
      <c r="O11" s="3">
        <v>1.1479170774394741E-2</v>
      </c>
      <c r="P11" s="3">
        <v>1.7981297683726239E-2</v>
      </c>
      <c r="Q11" s="3">
        <v>1.2781588451177517E-2</v>
      </c>
      <c r="R11" s="3">
        <v>2.0192268792738499E-2</v>
      </c>
      <c r="S11" s="3">
        <v>1.4930679296247284E-2</v>
      </c>
      <c r="T11" s="3">
        <v>2.1601194914300653E-2</v>
      </c>
      <c r="U11" s="3">
        <v>1.749763379652771E-2</v>
      </c>
      <c r="V11" s="3">
        <v>2.3767134065234195E-2</v>
      </c>
      <c r="W11" s="3">
        <v>1.8762297852789871E-2</v>
      </c>
      <c r="X11" s="3">
        <v>2.6956300324280601E-2</v>
      </c>
      <c r="Y11" s="3">
        <v>2.129224629278198E-2</v>
      </c>
      <c r="Z11" s="3">
        <v>3.0504517540770239E-2</v>
      </c>
      <c r="AA11" s="3">
        <v>3.173032040789113E-2</v>
      </c>
      <c r="AB11" s="3">
        <v>3.6903407085099336E-2</v>
      </c>
      <c r="AC11" s="3">
        <v>4.0289714971796502E-2</v>
      </c>
      <c r="AD11" s="3">
        <v>4.2671491768077573E-2</v>
      </c>
      <c r="AE11" s="3">
        <v>5.0325299562678429E-2</v>
      </c>
      <c r="AF11" s="3">
        <v>5.3270462377958912E-2</v>
      </c>
      <c r="AG11" s="3">
        <v>5.2507018551669837E-2</v>
      </c>
      <c r="AH11" s="3">
        <v>6.5920201824883395E-2</v>
      </c>
      <c r="AI11" s="3">
        <v>5.5656346334527179E-2</v>
      </c>
      <c r="AJ11" s="3">
        <v>8.6834155019339318E-2</v>
      </c>
      <c r="AK11" s="3">
        <v>0.1206366766033987</v>
      </c>
      <c r="AL11" s="3">
        <v>8.7987526266215171E-2</v>
      </c>
    </row>
    <row r="12" spans="1:38" x14ac:dyDescent="0.35">
      <c r="A12" s="7">
        <v>43101</v>
      </c>
      <c r="B12" s="7">
        <v>43190</v>
      </c>
      <c r="C12" s="7" t="s">
        <v>219</v>
      </c>
      <c r="D12" t="s">
        <v>213</v>
      </c>
      <c r="E12" s="4" t="s">
        <v>67</v>
      </c>
      <c r="F12" s="3">
        <v>6.7583386736877332E-3</v>
      </c>
      <c r="G12" s="3">
        <v>6.1140668603792189E-3</v>
      </c>
      <c r="H12" s="3">
        <v>9.7349615351173327E-3</v>
      </c>
      <c r="I12" s="3">
        <v>7.7164836331189762E-3</v>
      </c>
      <c r="J12" s="3">
        <v>1.084636742679331E-2</v>
      </c>
      <c r="K12" s="3">
        <v>1.1010486371479274E-2</v>
      </c>
      <c r="L12" s="3">
        <v>1.2665024302281877E-2</v>
      </c>
      <c r="M12" s="3">
        <v>1.2085829953676566E-2</v>
      </c>
      <c r="N12" s="3">
        <v>1.6100322924584062E-2</v>
      </c>
      <c r="O12" s="3">
        <v>1.2446438544002566E-2</v>
      </c>
      <c r="P12" s="3">
        <v>1.8887358319701071E-2</v>
      </c>
      <c r="Q12" s="3">
        <v>1.3705992518516546E-2</v>
      </c>
      <c r="R12" s="3">
        <v>2.1104972754014864E-2</v>
      </c>
      <c r="S12" s="3">
        <v>1.5890796136354191E-2</v>
      </c>
      <c r="T12" s="3">
        <v>2.2517306360080137E-2</v>
      </c>
      <c r="U12" s="3">
        <v>1.8481023873773615E-2</v>
      </c>
      <c r="V12" s="3">
        <v>2.4733842563750844E-2</v>
      </c>
      <c r="W12" s="3">
        <v>1.9669938527937057E-2</v>
      </c>
      <c r="X12" s="3">
        <v>2.7875780282546468E-2</v>
      </c>
      <c r="Y12" s="3">
        <v>2.2260285664062861E-2</v>
      </c>
      <c r="Z12" s="3">
        <v>3.1447037965201673E-2</v>
      </c>
      <c r="AA12" s="3">
        <v>3.2681929848966049E-2</v>
      </c>
      <c r="AB12" s="3">
        <v>3.7820791014653327E-2</v>
      </c>
      <c r="AC12" s="3">
        <v>4.1225848263291689E-2</v>
      </c>
      <c r="AD12" s="3">
        <v>4.3575165230735007E-2</v>
      </c>
      <c r="AE12" s="3">
        <v>5.1305686528439115E-2</v>
      </c>
      <c r="AF12" s="3">
        <v>5.4233725413743869E-2</v>
      </c>
      <c r="AG12" s="3">
        <v>5.3482815954358526E-2</v>
      </c>
      <c r="AH12" s="3">
        <v>6.6849924185783408E-2</v>
      </c>
      <c r="AI12" s="3">
        <v>5.6643603818231331E-2</v>
      </c>
      <c r="AJ12" s="3">
        <v>8.7792846378674474E-2</v>
      </c>
      <c r="AK12" s="3">
        <v>0.12163408093916621</v>
      </c>
      <c r="AL12" s="3">
        <v>8.8952963912685618E-2</v>
      </c>
    </row>
    <row r="13" spans="1:38" x14ac:dyDescent="0.35">
      <c r="A13" s="7">
        <v>43101</v>
      </c>
      <c r="B13" s="7">
        <v>43190</v>
      </c>
      <c r="C13" s="7" t="s">
        <v>219</v>
      </c>
      <c r="D13" t="s">
        <v>213</v>
      </c>
      <c r="E13" s="4" t="s">
        <v>68</v>
      </c>
      <c r="F13" s="3">
        <v>7.7391976220217767E-3</v>
      </c>
      <c r="G13" s="3">
        <v>7.0401123839988729E-3</v>
      </c>
      <c r="H13" s="3">
        <v>1.0642241261176211E-2</v>
      </c>
      <c r="I13" s="3">
        <v>8.7080170457777273E-3</v>
      </c>
      <c r="J13" s="3">
        <v>1.1757571708418508E-2</v>
      </c>
      <c r="K13" s="3">
        <v>1.1966037413180702E-2</v>
      </c>
      <c r="L13" s="3">
        <v>1.3653307044733314E-2</v>
      </c>
      <c r="M13" s="3">
        <v>1.3027658446906204E-2</v>
      </c>
      <c r="N13" s="3">
        <v>1.700772108729889E-2</v>
      </c>
      <c r="O13" s="3">
        <v>1.3405401536441366E-2</v>
      </c>
      <c r="P13" s="3">
        <v>1.9876462331655482E-2</v>
      </c>
      <c r="Q13" s="3">
        <v>1.4671343263786902E-2</v>
      </c>
      <c r="R13" s="3">
        <v>2.203438301816343E-2</v>
      </c>
      <c r="S13" s="3">
        <v>1.6820873196983933E-2</v>
      </c>
      <c r="T13" s="3">
        <v>2.3433727451292765E-2</v>
      </c>
      <c r="U13" s="3">
        <v>1.9477800013649862E-2</v>
      </c>
      <c r="V13" s="3">
        <v>2.5709102113335696E-2</v>
      </c>
      <c r="W13" s="3">
        <v>2.065798921465448E-2</v>
      </c>
      <c r="X13" s="3">
        <v>2.8801267945788959E-2</v>
      </c>
      <c r="Y13" s="3">
        <v>2.3207699194427795E-2</v>
      </c>
      <c r="Z13" s="3">
        <v>3.2390312450374541E-2</v>
      </c>
      <c r="AA13" s="3">
        <v>3.365309053550835E-2</v>
      </c>
      <c r="AB13" s="3">
        <v>3.8781201174315112E-2</v>
      </c>
      <c r="AC13" s="3">
        <v>4.2188469893734454E-2</v>
      </c>
      <c r="AD13" s="3">
        <v>4.448037654250861E-2</v>
      </c>
      <c r="AE13" s="3">
        <v>5.2223518133722273E-2</v>
      </c>
      <c r="AF13" s="3">
        <v>5.5186289388047011E-2</v>
      </c>
      <c r="AG13" s="3">
        <v>5.4406298040132625E-2</v>
      </c>
      <c r="AH13" s="3">
        <v>6.7754335980998129E-2</v>
      </c>
      <c r="AI13" s="3">
        <v>5.7604606311731983E-2</v>
      </c>
      <c r="AJ13" s="3">
        <v>8.8773460343661181E-2</v>
      </c>
      <c r="AK13" s="3">
        <v>0.12258290963650199</v>
      </c>
      <c r="AL13" s="3">
        <v>8.9900851408525939E-2</v>
      </c>
    </row>
    <row r="14" spans="1:38" x14ac:dyDescent="0.35">
      <c r="A14" s="7">
        <v>43101</v>
      </c>
      <c r="B14" s="7">
        <v>43190</v>
      </c>
      <c r="C14" s="7" t="s">
        <v>219</v>
      </c>
      <c r="D14" t="s">
        <v>213</v>
      </c>
      <c r="E14" s="4">
        <v>4</v>
      </c>
      <c r="F14" s="3">
        <v>8.6871118527651198E-3</v>
      </c>
      <c r="G14" s="3">
        <v>7.9551358344736259E-3</v>
      </c>
      <c r="H14" s="3">
        <v>1.1574657158047511E-2</v>
      </c>
      <c r="I14" s="3">
        <v>9.6494885959371116E-3</v>
      </c>
      <c r="J14" s="3">
        <v>1.2728649950114241E-2</v>
      </c>
      <c r="K14" s="3">
        <v>1.2933984380575959E-2</v>
      </c>
      <c r="L14" s="3">
        <v>1.460077636818825E-2</v>
      </c>
      <c r="M14" s="3">
        <v>1.3930131542778522E-2</v>
      </c>
      <c r="N14" s="3">
        <v>1.7946966069131612E-2</v>
      </c>
      <c r="O14" s="3">
        <v>1.4338873967426632E-2</v>
      </c>
      <c r="P14" s="3">
        <v>2.0856967046642347E-2</v>
      </c>
      <c r="Q14" s="3">
        <v>1.5664872848888501E-2</v>
      </c>
      <c r="R14" s="3">
        <v>2.2977525764767102E-2</v>
      </c>
      <c r="S14" s="3">
        <v>1.7791025093767298E-2</v>
      </c>
      <c r="T14" s="3">
        <v>2.4378022305578263E-2</v>
      </c>
      <c r="U14" s="3">
        <v>2.0468649631014298E-2</v>
      </c>
      <c r="V14" s="3">
        <v>2.6666048141618878E-2</v>
      </c>
      <c r="W14" s="3">
        <v>2.1580033371126336E-2</v>
      </c>
      <c r="X14" s="3">
        <v>2.9741895793428758E-2</v>
      </c>
      <c r="Y14" s="3">
        <v>2.4140618258473624E-2</v>
      </c>
      <c r="Z14" s="3">
        <v>3.3390188726632124E-2</v>
      </c>
      <c r="AA14" s="3">
        <v>3.4575139555686148E-2</v>
      </c>
      <c r="AB14" s="3">
        <v>3.9705172164359759E-2</v>
      </c>
      <c r="AC14" s="3">
        <v>4.3171971954915601E-2</v>
      </c>
      <c r="AD14" s="3">
        <v>4.5385210637260101E-2</v>
      </c>
      <c r="AE14" s="3">
        <v>5.3193441864314989E-2</v>
      </c>
      <c r="AF14" s="3">
        <v>5.6117816364555241E-2</v>
      </c>
      <c r="AG14" s="3">
        <v>5.5348939251239015E-2</v>
      </c>
      <c r="AH14" s="3">
        <v>6.8749052053499321E-2</v>
      </c>
      <c r="AI14" s="3">
        <v>5.8571938732369364E-2</v>
      </c>
      <c r="AJ14" s="3">
        <v>8.9715422799307734E-2</v>
      </c>
      <c r="AK14" s="3">
        <v>0.12356655400287085</v>
      </c>
      <c r="AL14" s="3">
        <v>9.0817861900126778E-2</v>
      </c>
    </row>
    <row r="15" spans="1:38" x14ac:dyDescent="0.35">
      <c r="A15" s="7">
        <v>43101</v>
      </c>
      <c r="B15" s="7">
        <v>43190</v>
      </c>
      <c r="C15" s="7" t="s">
        <v>219</v>
      </c>
      <c r="D15" t="s">
        <v>213</v>
      </c>
      <c r="E15" s="4" t="s">
        <v>69</v>
      </c>
      <c r="F15" s="3">
        <v>9.6633406642420705E-3</v>
      </c>
      <c r="G15" s="3">
        <v>8.8567841877101317E-3</v>
      </c>
      <c r="H15" s="3">
        <v>1.2516670482588144E-2</v>
      </c>
      <c r="I15" s="3">
        <v>1.0613877354440141E-2</v>
      </c>
      <c r="J15" s="3">
        <v>1.3665005216227521E-2</v>
      </c>
      <c r="K15" s="3">
        <v>1.3896986844783427E-2</v>
      </c>
      <c r="L15" s="3">
        <v>1.5517567647322292E-2</v>
      </c>
      <c r="M15" s="3">
        <v>1.4913898212994449E-2</v>
      </c>
      <c r="N15" s="3">
        <v>1.8902640946801167E-2</v>
      </c>
      <c r="O15" s="3">
        <v>1.5285534809126988E-2</v>
      </c>
      <c r="P15" s="3">
        <v>2.1782291759152264E-2</v>
      </c>
      <c r="Q15" s="3">
        <v>1.662869558926414E-2</v>
      </c>
      <c r="R15" s="3">
        <v>2.391445965152484E-2</v>
      </c>
      <c r="S15" s="3">
        <v>1.8763060110870457E-2</v>
      </c>
      <c r="T15" s="3">
        <v>2.5316843693128623E-2</v>
      </c>
      <c r="U15" s="3">
        <v>2.1445309033417466E-2</v>
      </c>
      <c r="V15" s="3">
        <v>2.7583538133656129E-2</v>
      </c>
      <c r="W15" s="3">
        <v>2.2500495259273386E-2</v>
      </c>
      <c r="X15" s="3">
        <v>3.0730557773519358E-2</v>
      </c>
      <c r="Y15" s="3">
        <v>2.5049873203161498E-2</v>
      </c>
      <c r="Z15" s="3">
        <v>3.4380516132835014E-2</v>
      </c>
      <c r="AA15" s="3">
        <v>3.5536616039588888E-2</v>
      </c>
      <c r="AB15" s="3">
        <v>4.0674492333930001E-2</v>
      </c>
      <c r="AC15" s="3">
        <v>4.4144902683848131E-2</v>
      </c>
      <c r="AD15" s="3">
        <v>4.6289604606180174E-2</v>
      </c>
      <c r="AE15" s="3">
        <v>5.4180960165628241E-2</v>
      </c>
      <c r="AF15" s="3">
        <v>5.7053919066883008E-2</v>
      </c>
      <c r="AG15" s="3">
        <v>5.6257482062810907E-2</v>
      </c>
      <c r="AH15" s="3">
        <v>6.9699819231343885E-2</v>
      </c>
      <c r="AI15" s="3">
        <v>5.9562776545488701E-2</v>
      </c>
      <c r="AJ15" s="3">
        <v>9.0707800169766276E-2</v>
      </c>
      <c r="AK15" s="3">
        <v>0.12451313615786119</v>
      </c>
      <c r="AL15" s="3">
        <v>9.1732767645065466E-2</v>
      </c>
    </row>
    <row r="16" spans="1:38" x14ac:dyDescent="0.35">
      <c r="A16" s="7">
        <v>43101</v>
      </c>
      <c r="B16" s="7">
        <v>43190</v>
      </c>
      <c r="C16" s="7" t="s">
        <v>219</v>
      </c>
      <c r="D16" t="s">
        <v>213</v>
      </c>
      <c r="E16" s="4" t="s">
        <v>70</v>
      </c>
      <c r="F16" s="3">
        <v>1.0615006950827514E-2</v>
      </c>
      <c r="G16" s="3">
        <v>9.7629176956889521E-3</v>
      </c>
      <c r="H16" s="3">
        <v>1.3502258168549955E-2</v>
      </c>
      <c r="I16" s="3">
        <v>1.1532143139689066E-2</v>
      </c>
      <c r="J16" s="3">
        <v>1.4610253000537966E-2</v>
      </c>
      <c r="K16" s="3">
        <v>1.4871243633954574E-2</v>
      </c>
      <c r="L16" s="3">
        <v>1.6506458227018361E-2</v>
      </c>
      <c r="M16" s="3">
        <v>1.5822139340595884E-2</v>
      </c>
      <c r="N16" s="3">
        <v>1.9879240678301116E-2</v>
      </c>
      <c r="O16" s="3">
        <v>1.6241603607676743E-2</v>
      </c>
      <c r="P16" s="3">
        <v>2.2699213581187008E-2</v>
      </c>
      <c r="Q16" s="3">
        <v>1.7624472251490889E-2</v>
      </c>
      <c r="R16" s="3">
        <v>2.4870656963362825E-2</v>
      </c>
      <c r="S16" s="3">
        <v>1.9729596604833866E-2</v>
      </c>
      <c r="T16" s="3">
        <v>2.6228818340475298E-2</v>
      </c>
      <c r="U16" s="3">
        <v>2.2352468210182243E-2</v>
      </c>
      <c r="V16" s="3">
        <v>2.8513458477405225E-2</v>
      </c>
      <c r="W16" s="3">
        <v>2.349646393134789E-2</v>
      </c>
      <c r="X16" s="3">
        <v>3.171025966002905E-2</v>
      </c>
      <c r="Y16" s="3">
        <v>2.6007331566039356E-2</v>
      </c>
      <c r="Z16" s="3">
        <v>3.5298731543727931E-2</v>
      </c>
      <c r="AA16" s="3">
        <v>3.6467788080590161E-2</v>
      </c>
      <c r="AB16" s="3">
        <v>4.1609447758682513E-2</v>
      </c>
      <c r="AC16" s="3">
        <v>4.506852192541988E-2</v>
      </c>
      <c r="AD16" s="3">
        <v>4.7195598965229249E-2</v>
      </c>
      <c r="AE16" s="3">
        <v>5.5159910045503073E-2</v>
      </c>
      <c r="AF16" s="3">
        <v>5.801261041153194E-2</v>
      </c>
      <c r="AG16" s="3">
        <v>5.7181077966933225E-2</v>
      </c>
      <c r="AH16" s="3">
        <v>7.068823897740123E-2</v>
      </c>
      <c r="AI16" s="3">
        <v>6.0478159208486031E-2</v>
      </c>
      <c r="AJ16" s="3">
        <v>9.161490997768823E-2</v>
      </c>
      <c r="AK16" s="3">
        <v>0.1254369045674463</v>
      </c>
      <c r="AL16" s="3">
        <v>9.27167941862439E-2</v>
      </c>
    </row>
    <row r="17" spans="1:38" x14ac:dyDescent="0.35">
      <c r="A17" s="7">
        <v>43101</v>
      </c>
      <c r="B17" s="7">
        <v>43190</v>
      </c>
      <c r="C17" s="7" t="s">
        <v>219</v>
      </c>
      <c r="D17" t="s">
        <v>213</v>
      </c>
      <c r="E17" s="4">
        <v>5</v>
      </c>
      <c r="F17" s="3">
        <v>1.153703461634195E-2</v>
      </c>
      <c r="G17" s="3">
        <v>1.0701871493965603E-2</v>
      </c>
      <c r="H17" s="3">
        <v>1.4445141600718848E-2</v>
      </c>
      <c r="I17" s="3">
        <v>1.2501354570931673E-2</v>
      </c>
      <c r="J17" s="3">
        <v>1.5587162076532107E-2</v>
      </c>
      <c r="K17" s="3">
        <v>1.5857435763598306E-2</v>
      </c>
      <c r="L17" s="3">
        <v>1.7430411032710386E-2</v>
      </c>
      <c r="M17" s="3">
        <v>1.6758382469180051E-2</v>
      </c>
      <c r="N17" s="3">
        <v>2.0798630295579261E-2</v>
      </c>
      <c r="O17" s="3">
        <v>1.72040035593766E-2</v>
      </c>
      <c r="P17" s="3">
        <v>2.360787218744272E-2</v>
      </c>
      <c r="Q17" s="3">
        <v>1.8617434133182263E-2</v>
      </c>
      <c r="R17" s="3">
        <v>2.5787960327398798E-2</v>
      </c>
      <c r="S17" s="3">
        <v>2.0703405383414305E-2</v>
      </c>
      <c r="T17" s="3">
        <v>2.7149752994239301E-2</v>
      </c>
      <c r="U17" s="3">
        <v>2.3294855162885611E-2</v>
      </c>
      <c r="V17" s="3">
        <v>2.9445158938770949E-2</v>
      </c>
      <c r="W17" s="3">
        <v>2.4435172399565139E-2</v>
      </c>
      <c r="X17" s="3">
        <v>3.2687938236702893E-2</v>
      </c>
      <c r="Y17" s="3">
        <v>2.6914191192636463E-2</v>
      </c>
      <c r="Z17" s="3">
        <v>3.6274350429703735E-2</v>
      </c>
      <c r="AA17" s="3">
        <v>3.7416623636127196E-2</v>
      </c>
      <c r="AB17" s="3">
        <v>4.2529849427629184E-2</v>
      </c>
      <c r="AC17" s="3">
        <v>4.6045960511612784E-2</v>
      </c>
      <c r="AD17" s="3">
        <v>4.8128988861040549E-2</v>
      </c>
      <c r="AE17" s="3">
        <v>5.6095845061382758E-2</v>
      </c>
      <c r="AF17" s="3">
        <v>5.8952002646676112E-2</v>
      </c>
      <c r="AG17" s="3">
        <v>5.8096016217194402E-2</v>
      </c>
      <c r="AH17" s="3">
        <v>7.1637865264380846E-2</v>
      </c>
      <c r="AI17" s="3">
        <v>6.1439136470290402E-2</v>
      </c>
      <c r="AJ17" s="3">
        <v>9.2555173913923219E-2</v>
      </c>
      <c r="AK17" s="3">
        <v>0.12637465627533181</v>
      </c>
      <c r="AL17" s="3">
        <v>9.3630237274814329E-2</v>
      </c>
    </row>
    <row r="18" spans="1:38" x14ac:dyDescent="0.35">
      <c r="A18" s="7">
        <v>43101</v>
      </c>
      <c r="B18" s="7">
        <v>43190</v>
      </c>
      <c r="C18" s="7" t="s">
        <v>219</v>
      </c>
      <c r="D18" t="s">
        <v>213</v>
      </c>
      <c r="E18" s="4" t="s">
        <v>71</v>
      </c>
      <c r="F18" s="3">
        <v>1.245224753299351E-2</v>
      </c>
      <c r="G18" s="3">
        <v>1.1654426749807153E-2</v>
      </c>
      <c r="H18" s="3">
        <v>1.5363432166752955E-2</v>
      </c>
      <c r="I18" s="3">
        <v>1.3483817499054614E-2</v>
      </c>
      <c r="J18" s="3">
        <v>1.6515522119146912E-2</v>
      </c>
      <c r="K18" s="3">
        <v>1.6823752741559953E-2</v>
      </c>
      <c r="L18" s="3">
        <v>1.8378703526991808E-2</v>
      </c>
      <c r="M18" s="3">
        <v>1.7729505019661453E-2</v>
      </c>
      <c r="N18" s="3">
        <v>2.1743765763705465E-2</v>
      </c>
      <c r="O18" s="3">
        <v>1.8147549646481919E-2</v>
      </c>
      <c r="P18" s="3">
        <v>2.4550369849464026E-2</v>
      </c>
      <c r="Q18" s="3">
        <v>1.9553807159928726E-2</v>
      </c>
      <c r="R18" s="3">
        <v>2.6760856877947638E-2</v>
      </c>
      <c r="S18" s="3">
        <v>2.16326614592347E-2</v>
      </c>
      <c r="T18" s="3">
        <v>2.814608545157446E-2</v>
      </c>
      <c r="U18" s="3">
        <v>2.4256183992917527E-2</v>
      </c>
      <c r="V18" s="3">
        <v>3.0377722287246611E-2</v>
      </c>
      <c r="W18" s="3">
        <v>2.5363475537645862E-2</v>
      </c>
      <c r="X18" s="3">
        <v>3.3639852635564363E-2</v>
      </c>
      <c r="Y18" s="3">
        <v>2.7890286602368895E-2</v>
      </c>
      <c r="Z18" s="3">
        <v>3.7238787352116498E-2</v>
      </c>
      <c r="AA18" s="3">
        <v>3.8342734437073867E-2</v>
      </c>
      <c r="AB18" s="3">
        <v>4.3497644430090965E-2</v>
      </c>
      <c r="AC18" s="3">
        <v>4.69918284991825E-2</v>
      </c>
      <c r="AD18" s="3">
        <v>4.9106986994260957E-2</v>
      </c>
      <c r="AE18" s="3">
        <v>5.6996109513219109E-2</v>
      </c>
      <c r="AF18" s="3">
        <v>5.9944347119404856E-2</v>
      </c>
      <c r="AG18" s="3">
        <v>5.9024576265395139E-2</v>
      </c>
      <c r="AH18" s="3">
        <v>7.2586131170948864E-2</v>
      </c>
      <c r="AI18" s="3">
        <v>6.2356007964590066E-2</v>
      </c>
      <c r="AJ18" s="3">
        <v>9.3491764138789096E-2</v>
      </c>
      <c r="AK18" s="3">
        <v>0.12733627909692014</v>
      </c>
      <c r="AL18" s="3">
        <v>9.4620321119172929E-2</v>
      </c>
    </row>
    <row r="19" spans="1:38" x14ac:dyDescent="0.35">
      <c r="A19" s="7">
        <v>43101</v>
      </c>
      <c r="B19" s="7">
        <v>43190</v>
      </c>
      <c r="C19" s="7" t="s">
        <v>219</v>
      </c>
      <c r="D19" t="s">
        <v>213</v>
      </c>
      <c r="E19" s="4" t="s">
        <v>72</v>
      </c>
      <c r="F19" s="3">
        <v>1.3450044671522951E-2</v>
      </c>
      <c r="G19" s="3">
        <v>1.2597382233771229E-2</v>
      </c>
      <c r="H19" s="3">
        <v>1.6342643582357916E-2</v>
      </c>
      <c r="I19" s="3">
        <v>1.4385083984993944E-2</v>
      </c>
      <c r="J19" s="3">
        <v>1.7439457241266824E-2</v>
      </c>
      <c r="K19" s="3">
        <v>1.7751167672111452E-2</v>
      </c>
      <c r="L19" s="3">
        <v>1.9302334066026029E-2</v>
      </c>
      <c r="M19" s="3">
        <v>1.8652328412065006E-2</v>
      </c>
      <c r="N19" s="3">
        <v>2.2725725299334882E-2</v>
      </c>
      <c r="O19" s="3">
        <v>1.9140423901663064E-2</v>
      </c>
      <c r="P19" s="3">
        <v>2.5457192690454405E-2</v>
      </c>
      <c r="Q19" s="3">
        <v>2.048045621830168E-2</v>
      </c>
      <c r="R19" s="3">
        <v>2.7759113026973644E-2</v>
      </c>
      <c r="S19" s="3">
        <v>2.259962150081939E-2</v>
      </c>
      <c r="T19" s="3">
        <v>2.907939710107179E-2</v>
      </c>
      <c r="U19" s="3">
        <v>2.5217342664606346E-2</v>
      </c>
      <c r="V19" s="3">
        <v>3.1302257703269831E-2</v>
      </c>
      <c r="W19" s="3">
        <v>2.6357885367248684E-2</v>
      </c>
      <c r="X19" s="3">
        <v>3.463615542369796E-2</v>
      </c>
      <c r="Y19" s="3">
        <v>2.8804233856917435E-2</v>
      </c>
      <c r="Z19" s="3">
        <v>3.8147907091145454E-2</v>
      </c>
      <c r="AA19" s="3">
        <v>3.9309724026127174E-2</v>
      </c>
      <c r="AB19" s="3">
        <v>4.4488798515799476E-2</v>
      </c>
      <c r="AC19" s="3">
        <v>4.792984619827844E-2</v>
      </c>
      <c r="AD19" s="3">
        <v>5.0088608205711052E-2</v>
      </c>
      <c r="AE19" s="3">
        <v>5.7913454609532261E-2</v>
      </c>
      <c r="AF19" s="3">
        <v>6.0888516304205165E-2</v>
      </c>
      <c r="AG19" s="3">
        <v>5.9967069472016528E-2</v>
      </c>
      <c r="AH19" s="3">
        <v>7.3548762409441124E-2</v>
      </c>
      <c r="AI19" s="3">
        <v>6.3265720475586096E-2</v>
      </c>
      <c r="AJ19" s="3">
        <v>9.4423095300345858E-2</v>
      </c>
      <c r="AK19" s="3">
        <v>0.12824715508668147</v>
      </c>
      <c r="AL19" s="3">
        <v>9.5599606762433398E-2</v>
      </c>
    </row>
    <row r="20" spans="1:38" x14ac:dyDescent="0.35">
      <c r="A20" s="7">
        <v>43101</v>
      </c>
      <c r="B20" s="7">
        <v>43190</v>
      </c>
      <c r="C20" s="7" t="s">
        <v>219</v>
      </c>
      <c r="D20" t="s">
        <v>213</v>
      </c>
      <c r="E20" s="4">
        <v>6</v>
      </c>
      <c r="F20" s="3">
        <v>1.4354710843880236E-2</v>
      </c>
      <c r="G20" s="3">
        <v>1.3514300466315894E-2</v>
      </c>
      <c r="H20" s="3">
        <v>1.7340015876603176E-2</v>
      </c>
      <c r="I20" s="3">
        <v>1.5287553075633288E-2</v>
      </c>
      <c r="J20" s="3">
        <v>1.8343677994122679E-2</v>
      </c>
      <c r="K20" s="3">
        <v>1.8711866595613344E-2</v>
      </c>
      <c r="L20" s="3">
        <v>2.0205108654712537E-2</v>
      </c>
      <c r="M20" s="3">
        <v>1.9600622392565027E-2</v>
      </c>
      <c r="N20" s="3">
        <v>2.3686311833625705E-2</v>
      </c>
      <c r="O20" s="3">
        <v>2.0132774067928759E-2</v>
      </c>
      <c r="P20" s="3">
        <v>2.6358899286446989E-2</v>
      </c>
      <c r="Q20" s="3">
        <v>2.1464201327189191E-2</v>
      </c>
      <c r="R20" s="3">
        <v>2.8697114376885581E-2</v>
      </c>
      <c r="S20" s="3">
        <v>2.3529621074183445E-2</v>
      </c>
      <c r="T20" s="3">
        <v>3.0015743625293943E-2</v>
      </c>
      <c r="U20" s="3">
        <v>2.6216862234903306E-2</v>
      </c>
      <c r="V20" s="3">
        <v>3.230073576320746E-2</v>
      </c>
      <c r="W20" s="3">
        <v>2.7262787163677034E-2</v>
      </c>
      <c r="X20" s="3">
        <v>3.561369834049085E-2</v>
      </c>
      <c r="Y20" s="3">
        <v>2.973475792981161E-2</v>
      </c>
      <c r="Z20" s="3">
        <v>3.9087418767790733E-2</v>
      </c>
      <c r="AA20" s="3">
        <v>4.0306843346533047E-2</v>
      </c>
      <c r="AB20" s="3">
        <v>4.5420502837275466E-2</v>
      </c>
      <c r="AC20" s="3">
        <v>4.8884595950778494E-2</v>
      </c>
      <c r="AD20" s="3">
        <v>5.1050407256270192E-2</v>
      </c>
      <c r="AE20" s="3">
        <v>5.8893066680813289E-2</v>
      </c>
      <c r="AF20" s="3">
        <v>6.1864382115662565E-2</v>
      </c>
      <c r="AG20" s="3">
        <v>6.0938529481590481E-2</v>
      </c>
      <c r="AH20" s="3">
        <v>7.449188301553189E-2</v>
      </c>
      <c r="AI20" s="3">
        <v>6.4234623648672856E-2</v>
      </c>
      <c r="AJ20" s="3">
        <v>9.5357824946687292E-2</v>
      </c>
      <c r="AK20" s="3">
        <v>0.1291501469799699</v>
      </c>
      <c r="AL20" s="3">
        <v>9.6550800991794569E-2</v>
      </c>
    </row>
    <row r="21" spans="1:38" x14ac:dyDescent="0.35">
      <c r="A21" s="7">
        <v>43101</v>
      </c>
      <c r="B21" s="7">
        <v>43190</v>
      </c>
      <c r="C21" s="7" t="s">
        <v>219</v>
      </c>
      <c r="D21" t="s">
        <v>213</v>
      </c>
      <c r="E21" s="4" t="s">
        <v>73</v>
      </c>
      <c r="F21" s="3">
        <v>1.5312982379720074E-2</v>
      </c>
      <c r="G21" s="3">
        <v>1.4470863826427659E-2</v>
      </c>
      <c r="H21" s="3">
        <v>1.8272189463267363E-2</v>
      </c>
      <c r="I21" s="3">
        <v>1.6251364017709529E-2</v>
      </c>
      <c r="J21" s="3">
        <v>1.9343484503988224E-2</v>
      </c>
      <c r="K21" s="3">
        <v>1.9691342019618512E-2</v>
      </c>
      <c r="L21" s="3">
        <v>2.1162612339023008E-2</v>
      </c>
      <c r="M21" s="3">
        <v>2.0555545551511262E-2</v>
      </c>
      <c r="N21" s="3">
        <v>2.4618632179344738E-2</v>
      </c>
      <c r="O21" s="3">
        <v>2.1106025837637675E-2</v>
      </c>
      <c r="P21" s="3">
        <v>2.7346096550348659E-2</v>
      </c>
      <c r="Q21" s="3">
        <v>2.2377473187230702E-2</v>
      </c>
      <c r="R21" s="3">
        <v>2.9660540987732849E-2</v>
      </c>
      <c r="S21" s="3">
        <v>2.4450464703823917E-2</v>
      </c>
      <c r="T21" s="3">
        <v>3.0969993380739844E-2</v>
      </c>
      <c r="U21" s="3">
        <v>2.7159888659726593E-2</v>
      </c>
      <c r="V21" s="3">
        <v>3.3258205706464358E-2</v>
      </c>
      <c r="W21" s="3">
        <v>2.8245864887336613E-2</v>
      </c>
      <c r="X21" s="3">
        <v>3.6565189098086058E-2</v>
      </c>
      <c r="Y21" s="3">
        <v>3.0693615381737826E-2</v>
      </c>
      <c r="Z21" s="3">
        <v>4.0085669834437107E-2</v>
      </c>
      <c r="AA21" s="3">
        <v>4.122605395002267E-2</v>
      </c>
      <c r="AB21" s="3">
        <v>4.6387327504087472E-2</v>
      </c>
      <c r="AC21" s="3">
        <v>4.9850499388342871E-2</v>
      </c>
      <c r="AD21" s="3">
        <v>5.199554172111405E-2</v>
      </c>
      <c r="AE21" s="3">
        <v>5.9813620383519554E-2</v>
      </c>
      <c r="AF21" s="3">
        <v>6.2833211364047278E-2</v>
      </c>
      <c r="AG21" s="3">
        <v>6.1856344163987477E-2</v>
      </c>
      <c r="AH21" s="3">
        <v>7.5407203055284769E-2</v>
      </c>
      <c r="AI21" s="3">
        <v>6.5160503509014353E-2</v>
      </c>
      <c r="AJ21" s="3">
        <v>9.6303598878923286E-2</v>
      </c>
      <c r="AK21" s="3">
        <v>0.13011849031913039</v>
      </c>
      <c r="AL21" s="3">
        <v>9.7468812547561789E-2</v>
      </c>
    </row>
    <row r="22" spans="1:38" x14ac:dyDescent="0.35">
      <c r="A22" s="7">
        <v>43101</v>
      </c>
      <c r="B22" s="7">
        <v>43190</v>
      </c>
      <c r="C22" s="7" t="s">
        <v>219</v>
      </c>
      <c r="D22" t="s">
        <v>213</v>
      </c>
      <c r="E22" s="4" t="s">
        <v>74</v>
      </c>
      <c r="F22" s="3">
        <v>1.6290655936053604E-2</v>
      </c>
      <c r="G22" s="3">
        <v>1.5415482453008581E-2</v>
      </c>
      <c r="H22" s="3">
        <v>1.9192327521774254E-2</v>
      </c>
      <c r="I22" s="3">
        <v>1.7167024517393371E-2</v>
      </c>
      <c r="J22" s="3">
        <v>2.0298200600403268E-2</v>
      </c>
      <c r="K22" s="3">
        <v>2.0669033421348501E-2</v>
      </c>
      <c r="L22" s="3">
        <v>2.2106092157626923E-2</v>
      </c>
      <c r="M22" s="3">
        <v>2.1545130551937467E-2</v>
      </c>
      <c r="N22" s="3">
        <v>2.5578105083387995E-2</v>
      </c>
      <c r="O22" s="3">
        <v>2.204120607577428E-2</v>
      </c>
      <c r="P22" s="3">
        <v>2.8272222742774852E-2</v>
      </c>
      <c r="Q22" s="3">
        <v>2.3288973979576768E-2</v>
      </c>
      <c r="R22" s="3">
        <v>3.0609713962831183E-2</v>
      </c>
      <c r="S22" s="3">
        <v>2.542336786006209E-2</v>
      </c>
      <c r="T22" s="3">
        <v>3.1900284765182828E-2</v>
      </c>
      <c r="U22" s="3">
        <v>2.8116043510631933E-2</v>
      </c>
      <c r="V22" s="3">
        <v>3.4186005067337315E-2</v>
      </c>
      <c r="W22" s="3">
        <v>2.9200134180994541E-2</v>
      </c>
      <c r="X22" s="3">
        <v>3.7472847689605307E-2</v>
      </c>
      <c r="Y22" s="3">
        <v>3.1598365149331155E-2</v>
      </c>
      <c r="Z22" s="3">
        <v>4.1011640450528096E-2</v>
      </c>
      <c r="AA22" s="3">
        <v>4.2220768312793533E-2</v>
      </c>
      <c r="AB22" s="3">
        <v>4.7295568211983774E-2</v>
      </c>
      <c r="AC22" s="3">
        <v>5.0817523142215132E-2</v>
      </c>
      <c r="AD22" s="3">
        <v>5.2934228027242791E-2</v>
      </c>
      <c r="AE22" s="3">
        <v>6.0742569693424418E-2</v>
      </c>
      <c r="AF22" s="3">
        <v>6.3746419203997554E-2</v>
      </c>
      <c r="AG22" s="3">
        <v>6.2804327105100019E-2</v>
      </c>
      <c r="AH22" s="3">
        <v>7.6403550330891065E-2</v>
      </c>
      <c r="AI22" s="3">
        <v>6.6092727841256096E-2</v>
      </c>
      <c r="AJ22" s="3">
        <v>9.7220330762728374E-2</v>
      </c>
      <c r="AK22" s="3">
        <v>0.1310672106212174</v>
      </c>
      <c r="AL22" s="3">
        <v>9.8425010059577878E-2</v>
      </c>
    </row>
    <row r="23" spans="1:38" x14ac:dyDescent="0.35">
      <c r="A23" s="7">
        <v>43101</v>
      </c>
      <c r="B23" s="7">
        <v>43190</v>
      </c>
      <c r="C23" s="7" t="s">
        <v>219</v>
      </c>
      <c r="D23" t="s">
        <v>213</v>
      </c>
      <c r="E23" s="4">
        <v>7</v>
      </c>
      <c r="F23" s="3">
        <v>1.7278276553716283E-2</v>
      </c>
      <c r="G23" s="3">
        <v>1.6329177705657585E-2</v>
      </c>
      <c r="H23" s="3">
        <v>2.0099318153345837E-2</v>
      </c>
      <c r="I23" s="3">
        <v>1.8083811526251506E-2</v>
      </c>
      <c r="J23" s="3">
        <v>2.1213419842575455E-2</v>
      </c>
      <c r="K23" s="3">
        <v>2.158380085956102E-2</v>
      </c>
      <c r="L23" s="3">
        <v>2.3092812186156275E-2</v>
      </c>
      <c r="M23" s="3">
        <v>2.2540381363158706E-2</v>
      </c>
      <c r="N23" s="3">
        <v>2.6541323345427748E-2</v>
      </c>
      <c r="O23" s="3">
        <v>2.2991421638006951E-2</v>
      </c>
      <c r="P23" s="3">
        <v>2.9236981442763748E-2</v>
      </c>
      <c r="Q23" s="3">
        <v>2.4234541478731421E-2</v>
      </c>
      <c r="R23" s="3">
        <v>3.1559390111168401E-2</v>
      </c>
      <c r="S23" s="3">
        <v>2.6346904198118623E-2</v>
      </c>
      <c r="T23" s="3">
        <v>3.2816080504292425E-2</v>
      </c>
      <c r="U23" s="3">
        <v>2.9027736685895592E-2</v>
      </c>
      <c r="V23" s="3">
        <v>3.5124858987900853E-2</v>
      </c>
      <c r="W23" s="3">
        <v>3.0144763825180405E-2</v>
      </c>
      <c r="X23" s="3">
        <v>3.8388336794213065E-2</v>
      </c>
      <c r="Y23" s="3">
        <v>3.259125705272968E-2</v>
      </c>
      <c r="Z23" s="3">
        <v>4.1977016347356205E-2</v>
      </c>
      <c r="AA23" s="3">
        <v>4.3209543585266665E-2</v>
      </c>
      <c r="AB23" s="3">
        <v>4.8258125568611837E-2</v>
      </c>
      <c r="AC23" s="3">
        <v>5.1742287354191972E-2</v>
      </c>
      <c r="AD23" s="3">
        <v>5.3887157903794752E-2</v>
      </c>
      <c r="AE23" s="3">
        <v>6.1662762776687488E-2</v>
      </c>
      <c r="AF23" s="3">
        <v>6.4712813964452512E-2</v>
      </c>
      <c r="AG23" s="3">
        <v>6.3782994599508799E-2</v>
      </c>
      <c r="AH23" s="3">
        <v>7.7382315806652655E-2</v>
      </c>
      <c r="AI23" s="3">
        <v>6.7077913935211592E-2</v>
      </c>
      <c r="AJ23" s="3">
        <v>9.8205983513070985E-2</v>
      </c>
      <c r="AK23" s="3">
        <v>0.13197013151438969</v>
      </c>
      <c r="AL23" s="3">
        <v>9.9385016335746867E-2</v>
      </c>
    </row>
    <row r="24" spans="1:38" x14ac:dyDescent="0.35">
      <c r="A24" s="7">
        <v>43101</v>
      </c>
      <c r="B24" s="7">
        <v>43190</v>
      </c>
      <c r="C24" s="7" t="s">
        <v>219</v>
      </c>
      <c r="D24" t="s">
        <v>213</v>
      </c>
      <c r="E24" s="4" t="s">
        <v>75</v>
      </c>
      <c r="F24" s="3">
        <v>1.818248827263521E-2</v>
      </c>
      <c r="G24" s="3">
        <v>1.7301753966505143E-2</v>
      </c>
      <c r="H24" s="3">
        <v>2.1026838639232933E-2</v>
      </c>
      <c r="I24" s="3">
        <v>1.9067557852125033E-2</v>
      </c>
      <c r="J24" s="3">
        <v>2.2201709327723484E-2</v>
      </c>
      <c r="K24" s="3">
        <v>2.2550622839863751E-2</v>
      </c>
      <c r="L24" s="3">
        <v>2.4066014601750962E-2</v>
      </c>
      <c r="M24" s="3">
        <v>2.3515759061131503E-2</v>
      </c>
      <c r="N24" s="3">
        <v>2.7527017636710616E-2</v>
      </c>
      <c r="O24" s="3">
        <v>2.39567489982212E-2</v>
      </c>
      <c r="P24" s="3">
        <v>3.0147315452805593E-2</v>
      </c>
      <c r="Q24" s="3">
        <v>2.5200116122030655E-2</v>
      </c>
      <c r="R24" s="3">
        <v>3.2524190394425521E-2</v>
      </c>
      <c r="S24" s="3">
        <v>2.7342902962852914E-2</v>
      </c>
      <c r="T24" s="3">
        <v>3.3756386656798407E-2</v>
      </c>
      <c r="U24" s="3">
        <v>3.0005559472231803E-2</v>
      </c>
      <c r="V24" s="3">
        <v>3.6047358524636863E-2</v>
      </c>
      <c r="W24" s="3">
        <v>3.1140598489951501E-2</v>
      </c>
      <c r="X24" s="3">
        <v>3.9328808699077421E-2</v>
      </c>
      <c r="Y24" s="3">
        <v>3.3560360891625424E-2</v>
      </c>
      <c r="Z24" s="3">
        <v>4.2974746221220002E-2</v>
      </c>
      <c r="AA24" s="3">
        <v>4.4143034001964808E-2</v>
      </c>
      <c r="AB24" s="3">
        <v>4.9196010653543364E-2</v>
      </c>
      <c r="AC24" s="3">
        <v>5.2649617469505111E-2</v>
      </c>
      <c r="AD24" s="3">
        <v>5.4819400436061254E-2</v>
      </c>
      <c r="AE24" s="3">
        <v>6.2639145127280957E-2</v>
      </c>
      <c r="AF24" s="3">
        <v>6.5675499657925518E-2</v>
      </c>
      <c r="AG24" s="3">
        <v>6.4723641932776493E-2</v>
      </c>
      <c r="AH24" s="3">
        <v>7.8313030512954712E-2</v>
      </c>
      <c r="AI24" s="3">
        <v>6.803977311247475E-2</v>
      </c>
      <c r="AJ24" s="3">
        <v>9.9160320959379489E-2</v>
      </c>
      <c r="AK24" s="3">
        <v>0.13292404775594543</v>
      </c>
      <c r="AL24" s="3">
        <v>0.10032571407201984</v>
      </c>
    </row>
    <row r="25" spans="1:38" x14ac:dyDescent="0.35">
      <c r="A25" s="7">
        <v>43101</v>
      </c>
      <c r="B25" s="7">
        <v>43190</v>
      </c>
      <c r="C25" s="7" t="s">
        <v>219</v>
      </c>
      <c r="D25" t="s">
        <v>215</v>
      </c>
      <c r="E25" s="4">
        <v>1</v>
      </c>
      <c r="F25" s="3">
        <v>2.3987235415080067E-2</v>
      </c>
      <c r="G25" s="3">
        <v>2.3522336342949562E-2</v>
      </c>
      <c r="H25" s="3">
        <v>2.6904631230141238E-2</v>
      </c>
      <c r="I25" s="3">
        <v>2.5059051771753754E-2</v>
      </c>
      <c r="J25" s="3">
        <v>2.8214931408311057E-2</v>
      </c>
      <c r="K25" s="3">
        <v>2.8265446267055655E-2</v>
      </c>
      <c r="L25" s="3">
        <v>2.9982197143763191E-2</v>
      </c>
      <c r="M25" s="3">
        <v>2.9375022539147158E-2</v>
      </c>
      <c r="N25" s="3">
        <v>3.3507892750587853E-2</v>
      </c>
      <c r="O25" s="3">
        <v>2.9706515013046782E-2</v>
      </c>
      <c r="P25" s="3">
        <v>3.6154611745470945E-2</v>
      </c>
      <c r="Q25" s="3">
        <v>3.1068234094442877E-2</v>
      </c>
      <c r="R25" s="3">
        <v>3.8456126253836605E-2</v>
      </c>
      <c r="S25" s="3">
        <v>3.314272616399698E-2</v>
      </c>
      <c r="T25" s="3">
        <v>3.9907674061615848E-2</v>
      </c>
      <c r="U25" s="3">
        <v>3.5823319048479053E-2</v>
      </c>
      <c r="V25" s="3">
        <v>4.204753562160251E-2</v>
      </c>
      <c r="W25" s="3">
        <v>3.6978029939151655E-2</v>
      </c>
      <c r="X25" s="3">
        <v>4.5194112106792327E-2</v>
      </c>
      <c r="Y25" s="3">
        <v>3.9541921398612769E-2</v>
      </c>
      <c r="Z25" s="3">
        <v>4.8720350031989594E-2</v>
      </c>
      <c r="AA25" s="3">
        <v>4.9938659601285303E-2</v>
      </c>
      <c r="AB25" s="3">
        <v>5.52208891354583E-2</v>
      </c>
      <c r="AC25" s="3">
        <v>5.8598276343003582E-2</v>
      </c>
      <c r="AD25" s="3">
        <v>6.0975244868088717E-2</v>
      </c>
      <c r="AE25" s="3">
        <v>6.863030761393521E-2</v>
      </c>
      <c r="AF25" s="3">
        <v>7.1530260528803763E-2</v>
      </c>
      <c r="AG25" s="3">
        <v>7.0821994417673784E-2</v>
      </c>
      <c r="AH25" s="3">
        <v>8.4201092314036607E-2</v>
      </c>
      <c r="AI25" s="3">
        <v>7.3923580014799817E-2</v>
      </c>
      <c r="AJ25" s="3">
        <v>0.10518899962977327</v>
      </c>
      <c r="AK25" s="3">
        <v>0.13888203667397347</v>
      </c>
      <c r="AL25" s="3">
        <v>0.10638283042429544</v>
      </c>
    </row>
    <row r="26" spans="1:38" x14ac:dyDescent="0.35">
      <c r="A26" s="7">
        <v>43101</v>
      </c>
      <c r="B26" s="7">
        <v>43190</v>
      </c>
      <c r="C26" s="7" t="s">
        <v>219</v>
      </c>
      <c r="D26" t="s">
        <v>215</v>
      </c>
      <c r="E26" s="4" t="s">
        <v>64</v>
      </c>
      <c r="F26" s="3">
        <v>2.4955504628306674E-2</v>
      </c>
      <c r="G26" s="3">
        <v>2.444448177337075E-2</v>
      </c>
      <c r="H26" s="3">
        <v>2.7850626606074732E-2</v>
      </c>
      <c r="I26" s="3">
        <v>2.5968925101185338E-2</v>
      </c>
      <c r="J26" s="3">
        <v>2.9133283155749985E-2</v>
      </c>
      <c r="K26" s="3">
        <v>2.9223062002444337E-2</v>
      </c>
      <c r="L26" s="3">
        <v>3.0934115932132966E-2</v>
      </c>
      <c r="M26" s="3">
        <v>3.0280819977680506E-2</v>
      </c>
      <c r="N26" s="3">
        <v>3.4450059642861693E-2</v>
      </c>
      <c r="O26" s="3">
        <v>3.0642785468758395E-2</v>
      </c>
      <c r="P26" s="3">
        <v>3.7118841964526535E-2</v>
      </c>
      <c r="Q26" s="3">
        <v>3.1979868013520547E-2</v>
      </c>
      <c r="R26" s="3">
        <v>3.943933659506163E-2</v>
      </c>
      <c r="S26" s="3">
        <v>3.4073364823084352E-2</v>
      </c>
      <c r="T26" s="3">
        <v>4.0881617977735499E-2</v>
      </c>
      <c r="U26" s="3">
        <v>3.6738906253639451E-2</v>
      </c>
      <c r="V26" s="3">
        <v>4.3018330733574292E-2</v>
      </c>
      <c r="W26" s="3">
        <v>3.7924668227140766E-2</v>
      </c>
      <c r="X26" s="3">
        <v>4.6173292504344779E-2</v>
      </c>
      <c r="Y26" s="3">
        <v>4.0464646138943565E-2</v>
      </c>
      <c r="Z26" s="3">
        <v>4.966396683370107E-2</v>
      </c>
      <c r="AA26" s="3">
        <v>5.0893391600233456E-2</v>
      </c>
      <c r="AB26" s="3">
        <v>5.6139843977245196E-2</v>
      </c>
      <c r="AC26" s="3">
        <v>5.9548496431847793E-2</v>
      </c>
      <c r="AD26" s="3">
        <v>6.1929948312430663E-2</v>
      </c>
      <c r="AE26" s="3">
        <v>6.9537761203292317E-2</v>
      </c>
      <c r="AF26" s="3">
        <v>7.2498060155195498E-2</v>
      </c>
      <c r="AG26" s="3">
        <v>7.1743308851667145E-2</v>
      </c>
      <c r="AH26" s="3">
        <v>8.515983672157254E-2</v>
      </c>
      <c r="AI26" s="3">
        <v>7.4836736383455005E-2</v>
      </c>
      <c r="AJ26" s="3">
        <v>0.10611874012266376</v>
      </c>
      <c r="AK26" s="3">
        <v>0.1398205734558888</v>
      </c>
      <c r="AL26" s="3">
        <v>0.10728480850509567</v>
      </c>
    </row>
    <row r="27" spans="1:38" x14ac:dyDescent="0.35">
      <c r="A27" s="7">
        <v>43101</v>
      </c>
      <c r="B27" s="7">
        <v>43190</v>
      </c>
      <c r="C27" s="7" t="s">
        <v>219</v>
      </c>
      <c r="D27" t="s">
        <v>215</v>
      </c>
      <c r="E27" s="4">
        <v>2</v>
      </c>
      <c r="F27" s="3">
        <v>2.5897021899625214E-2</v>
      </c>
      <c r="G27" s="3">
        <v>2.5368915274916439E-2</v>
      </c>
      <c r="H27" s="3">
        <v>2.8848451892030356E-2</v>
      </c>
      <c r="I27" s="3">
        <v>2.6955691162124075E-2</v>
      </c>
      <c r="J27" s="3">
        <v>3.0060131064313003E-2</v>
      </c>
      <c r="K27" s="3">
        <v>3.0198106227038335E-2</v>
      </c>
      <c r="L27" s="3">
        <v>3.1845044629501121E-2</v>
      </c>
      <c r="M27" s="3">
        <v>3.1234643248477845E-2</v>
      </c>
      <c r="N27" s="3">
        <v>3.5382324199331079E-2</v>
      </c>
      <c r="O27" s="3">
        <v>3.1594684077558832E-2</v>
      </c>
      <c r="P27" s="3">
        <v>3.8040547019358752E-2</v>
      </c>
      <c r="Q27" s="3">
        <v>3.2919219200209515E-2</v>
      </c>
      <c r="R27" s="3">
        <v>4.0371166603959771E-2</v>
      </c>
      <c r="S27" s="3">
        <v>3.5041012010300826E-2</v>
      </c>
      <c r="T27" s="3">
        <v>4.183147969235404E-2</v>
      </c>
      <c r="U27" s="3">
        <v>3.7687198648127536E-2</v>
      </c>
      <c r="V27" s="3">
        <v>4.3993338675699427E-2</v>
      </c>
      <c r="W27" s="3">
        <v>3.889088008317966E-2</v>
      </c>
      <c r="X27" s="3">
        <v>4.7140754596639786E-2</v>
      </c>
      <c r="Y27" s="3">
        <v>4.1458963417643241E-2</v>
      </c>
      <c r="Z27" s="3">
        <v>5.0599887843882987E-2</v>
      </c>
      <c r="AA27" s="3">
        <v>5.1867198078455509E-2</v>
      </c>
      <c r="AB27" s="3">
        <v>5.7078492929563476E-2</v>
      </c>
      <c r="AC27" s="3">
        <v>6.0451398081860633E-2</v>
      </c>
      <c r="AD27" s="3">
        <v>6.2845761448320339E-2</v>
      </c>
      <c r="AE27" s="3">
        <v>7.0442675029635429E-2</v>
      </c>
      <c r="AF27" s="3">
        <v>7.3471262341356133E-2</v>
      </c>
      <c r="AG27" s="3">
        <v>7.2721406261892219E-2</v>
      </c>
      <c r="AH27" s="3">
        <v>8.6088969605302601E-2</v>
      </c>
      <c r="AI27" s="3">
        <v>7.5827014311840926E-2</v>
      </c>
      <c r="AJ27" s="3">
        <v>0.10705082647783992</v>
      </c>
      <c r="AK27" s="3">
        <v>0.14076338686442322</v>
      </c>
      <c r="AL27" s="3">
        <v>0.10818762445336724</v>
      </c>
    </row>
    <row r="28" spans="1:38" x14ac:dyDescent="0.35">
      <c r="A28" s="7">
        <v>43101</v>
      </c>
      <c r="B28" s="7">
        <v>43190</v>
      </c>
      <c r="C28" s="7" t="s">
        <v>219</v>
      </c>
      <c r="D28" t="s">
        <v>215</v>
      </c>
      <c r="E28" s="4" t="s">
        <v>65</v>
      </c>
      <c r="F28" s="3">
        <v>2.689258804360263E-2</v>
      </c>
      <c r="G28" s="3">
        <v>2.6329308788466756E-2</v>
      </c>
      <c r="H28" s="3">
        <v>2.9819656371274407E-2</v>
      </c>
      <c r="I28" s="3">
        <v>2.7893208213903412E-2</v>
      </c>
      <c r="J28" s="3">
        <v>3.1013264636733276E-2</v>
      </c>
      <c r="K28" s="3">
        <v>3.1135830795126874E-2</v>
      </c>
      <c r="L28" s="3">
        <v>3.2774662475232565E-2</v>
      </c>
      <c r="M28" s="3">
        <v>3.2179747392975015E-2</v>
      </c>
      <c r="N28" s="3">
        <v>3.6293207543458286E-2</v>
      </c>
      <c r="O28" s="3">
        <v>3.2544866915647203E-2</v>
      </c>
      <c r="P28" s="3">
        <v>3.9028482383182128E-2</v>
      </c>
      <c r="Q28" s="3">
        <v>3.3902780731733959E-2</v>
      </c>
      <c r="R28" s="3">
        <v>4.1290724980076222E-2</v>
      </c>
      <c r="S28" s="3">
        <v>3.5959929011024787E-2</v>
      </c>
      <c r="T28" s="3">
        <v>4.2744417994947589E-2</v>
      </c>
      <c r="U28" s="3">
        <v>3.8652317576269621E-2</v>
      </c>
      <c r="V28" s="3">
        <v>4.491348024859057E-2</v>
      </c>
      <c r="W28" s="3">
        <v>3.985025179167466E-2</v>
      </c>
      <c r="X28" s="3">
        <v>4.8122262773781385E-2</v>
      </c>
      <c r="Y28" s="3">
        <v>4.2373228437165705E-2</v>
      </c>
      <c r="Z28" s="3">
        <v>5.1590145397651652E-2</v>
      </c>
      <c r="AA28" s="3">
        <v>5.282068683129517E-2</v>
      </c>
      <c r="AB28" s="3">
        <v>5.8042504808221866E-2</v>
      </c>
      <c r="AC28" s="3">
        <v>6.1366638261812718E-2</v>
      </c>
      <c r="AD28" s="3">
        <v>6.3762272908770123E-2</v>
      </c>
      <c r="AE28" s="3">
        <v>7.1423160064546076E-2</v>
      </c>
      <c r="AF28" s="3">
        <v>7.4429679229339921E-2</v>
      </c>
      <c r="AG28" s="3">
        <v>7.3661021251319486E-2</v>
      </c>
      <c r="AH28" s="3">
        <v>8.7006290793609942E-2</v>
      </c>
      <c r="AI28" s="3">
        <v>7.6762463089604771E-2</v>
      </c>
      <c r="AJ28" s="3">
        <v>0.10799967860014292</v>
      </c>
      <c r="AK28" s="3">
        <v>0.1416933785039842</v>
      </c>
      <c r="AL28" s="3">
        <v>0.10917059404382648</v>
      </c>
    </row>
    <row r="29" spans="1:38" x14ac:dyDescent="0.35">
      <c r="A29" s="7">
        <v>43101</v>
      </c>
      <c r="B29" s="7">
        <v>43190</v>
      </c>
      <c r="C29" s="7" t="s">
        <v>219</v>
      </c>
      <c r="D29" t="s">
        <v>215</v>
      </c>
      <c r="E29" s="4" t="s">
        <v>66</v>
      </c>
      <c r="F29" s="3">
        <v>2.7816431623965198E-2</v>
      </c>
      <c r="G29" s="3">
        <v>2.7279758919457921E-2</v>
      </c>
      <c r="H29" s="3">
        <v>3.0808105309173158E-2</v>
      </c>
      <c r="I29" s="3">
        <v>2.8867113852875985E-2</v>
      </c>
      <c r="J29" s="3">
        <v>3.198528788400562E-2</v>
      </c>
      <c r="K29" s="3">
        <v>3.2083926756475457E-2</v>
      </c>
      <c r="L29" s="3">
        <v>3.3760408681570014E-2</v>
      </c>
      <c r="M29" s="3">
        <v>3.313934511733152E-2</v>
      </c>
      <c r="N29" s="3">
        <v>3.7274630476066412E-2</v>
      </c>
      <c r="O29" s="3">
        <v>3.3495680412953484E-2</v>
      </c>
      <c r="P29" s="3">
        <v>3.9990447680038121E-2</v>
      </c>
      <c r="Q29" s="3">
        <v>3.4867473360407804E-2</v>
      </c>
      <c r="R29" s="3">
        <v>4.2253792917843314E-2</v>
      </c>
      <c r="S29" s="3">
        <v>3.6932087503310361E-2</v>
      </c>
      <c r="T29" s="3">
        <v>4.3668036280152658E-2</v>
      </c>
      <c r="U29" s="3">
        <v>3.9594488698087418E-2</v>
      </c>
      <c r="V29" s="3">
        <v>4.5858979945907138E-2</v>
      </c>
      <c r="W29" s="3">
        <v>4.0841963462791439E-2</v>
      </c>
      <c r="X29" s="3">
        <v>4.9025110373458441E-2</v>
      </c>
      <c r="Y29" s="3">
        <v>4.3349523078769728E-2</v>
      </c>
      <c r="Z29" s="3">
        <v>5.2543861718213042E-2</v>
      </c>
      <c r="AA29" s="3">
        <v>5.3733705693309472E-2</v>
      </c>
      <c r="AB29" s="3">
        <v>5.8989763352759905E-2</v>
      </c>
      <c r="AC29" s="3">
        <v>6.2327036642431687E-2</v>
      </c>
      <c r="AD29" s="3">
        <v>6.4690749612420911E-2</v>
      </c>
      <c r="AE29" s="3">
        <v>7.2419860058073882E-2</v>
      </c>
      <c r="AF29" s="3">
        <v>7.5365926051764176E-2</v>
      </c>
      <c r="AG29" s="3">
        <v>7.4587901413566957E-2</v>
      </c>
      <c r="AH29" s="3">
        <v>8.7992861093754621E-2</v>
      </c>
      <c r="AI29" s="3">
        <v>7.7738964897950097E-2</v>
      </c>
      <c r="AJ29" s="3">
        <v>0.10892708483544281</v>
      </c>
      <c r="AK29" s="3">
        <v>0.14269048553650632</v>
      </c>
      <c r="AL29" s="3">
        <v>0.11008402769059558</v>
      </c>
    </row>
    <row r="30" spans="1:38" x14ac:dyDescent="0.35">
      <c r="A30" s="7">
        <v>43101</v>
      </c>
      <c r="B30" s="7">
        <v>43190</v>
      </c>
      <c r="C30" s="7" t="s">
        <v>219</v>
      </c>
      <c r="D30" t="s">
        <v>215</v>
      </c>
      <c r="E30" s="4">
        <v>3</v>
      </c>
      <c r="F30" s="3">
        <v>2.8809313229369592E-2</v>
      </c>
      <c r="G30" s="3">
        <v>2.8205970811349713E-2</v>
      </c>
      <c r="H30" s="3">
        <v>3.1799404111945873E-2</v>
      </c>
      <c r="I30" s="3">
        <v>2.9780618839001901E-2</v>
      </c>
      <c r="J30" s="3">
        <v>3.2927313185709302E-2</v>
      </c>
      <c r="K30" s="3">
        <v>3.305855171984963E-2</v>
      </c>
      <c r="L30" s="3">
        <v>3.4707387777530491E-2</v>
      </c>
      <c r="M30" s="3">
        <v>3.4118831932959115E-2</v>
      </c>
      <c r="N30" s="3">
        <v>3.819713920879525E-2</v>
      </c>
      <c r="O30" s="3">
        <v>3.4479170774394739E-2</v>
      </c>
      <c r="P30" s="3">
        <v>4.0981297683726242E-2</v>
      </c>
      <c r="Q30" s="3">
        <v>3.5781588451177515E-2</v>
      </c>
      <c r="R30" s="3">
        <v>4.3192268792738499E-2</v>
      </c>
      <c r="S30" s="3">
        <v>3.7930679296247286E-2</v>
      </c>
      <c r="T30" s="3">
        <v>4.4601194914300653E-2</v>
      </c>
      <c r="U30" s="3">
        <v>4.049763379652771E-2</v>
      </c>
      <c r="V30" s="3">
        <v>4.6767134065234195E-2</v>
      </c>
      <c r="W30" s="3">
        <v>4.176229785278987E-2</v>
      </c>
      <c r="X30" s="3">
        <v>4.9956300324280598E-2</v>
      </c>
      <c r="Y30" s="3">
        <v>4.429224629278198E-2</v>
      </c>
      <c r="Z30" s="3">
        <v>5.3504517540770236E-2</v>
      </c>
      <c r="AA30" s="3">
        <v>5.473032040789113E-2</v>
      </c>
      <c r="AB30" s="3">
        <v>5.9903407085099336E-2</v>
      </c>
      <c r="AC30" s="3">
        <v>6.3289714971796501E-2</v>
      </c>
      <c r="AD30" s="3">
        <v>6.5671491768077572E-2</v>
      </c>
      <c r="AE30" s="3">
        <v>7.3325299562678428E-2</v>
      </c>
      <c r="AF30" s="3">
        <v>7.6270462377958911E-2</v>
      </c>
      <c r="AG30" s="3">
        <v>7.550701855166983E-2</v>
      </c>
      <c r="AH30" s="3">
        <v>8.8920201824883388E-2</v>
      </c>
      <c r="AI30" s="3">
        <v>7.8656346334527172E-2</v>
      </c>
      <c r="AJ30" s="3">
        <v>0.10983415501933932</v>
      </c>
      <c r="AK30" s="3">
        <v>0.14363667660339871</v>
      </c>
      <c r="AL30" s="3">
        <v>0.11098752626621516</v>
      </c>
    </row>
    <row r="31" spans="1:38" x14ac:dyDescent="0.35">
      <c r="A31" s="7">
        <v>43101</v>
      </c>
      <c r="B31" s="7">
        <v>43190</v>
      </c>
      <c r="C31" s="7" t="s">
        <v>219</v>
      </c>
      <c r="D31" t="s">
        <v>215</v>
      </c>
      <c r="E31" s="4" t="s">
        <v>67</v>
      </c>
      <c r="F31" s="3">
        <v>2.9758338673687733E-2</v>
      </c>
      <c r="G31" s="3">
        <v>2.911406686037922E-2</v>
      </c>
      <c r="H31" s="3">
        <v>3.2734961535117332E-2</v>
      </c>
      <c r="I31" s="3">
        <v>3.0716483633118977E-2</v>
      </c>
      <c r="J31" s="3">
        <v>3.3846367426793311E-2</v>
      </c>
      <c r="K31" s="3">
        <v>3.401048637147927E-2</v>
      </c>
      <c r="L31" s="3">
        <v>3.5665024302281877E-2</v>
      </c>
      <c r="M31" s="3">
        <v>3.5085829953676567E-2</v>
      </c>
      <c r="N31" s="3">
        <v>3.9100322924584062E-2</v>
      </c>
      <c r="O31" s="3">
        <v>3.5446438544002562E-2</v>
      </c>
      <c r="P31" s="3">
        <v>4.1887358319701071E-2</v>
      </c>
      <c r="Q31" s="3">
        <v>3.6705992518516542E-2</v>
      </c>
      <c r="R31" s="3">
        <v>4.4104972754014864E-2</v>
      </c>
      <c r="S31" s="3">
        <v>3.889079613635419E-2</v>
      </c>
      <c r="T31" s="3">
        <v>4.551730636008014E-2</v>
      </c>
      <c r="U31" s="3">
        <v>4.1481023873773615E-2</v>
      </c>
      <c r="V31" s="3">
        <v>4.7733842563750843E-2</v>
      </c>
      <c r="W31" s="3">
        <v>4.266993852793706E-2</v>
      </c>
      <c r="X31" s="3">
        <v>5.0875780282546468E-2</v>
      </c>
      <c r="Y31" s="3">
        <v>4.5260285664062858E-2</v>
      </c>
      <c r="Z31" s="3">
        <v>5.4447037965201672E-2</v>
      </c>
      <c r="AA31" s="3">
        <v>5.5681929848966048E-2</v>
      </c>
      <c r="AB31" s="3">
        <v>6.0820791014653326E-2</v>
      </c>
      <c r="AC31" s="3">
        <v>6.4225848263291696E-2</v>
      </c>
      <c r="AD31" s="3">
        <v>6.6575165230735006E-2</v>
      </c>
      <c r="AE31" s="3">
        <v>7.4305686528439108E-2</v>
      </c>
      <c r="AF31" s="3">
        <v>7.7233725413743876E-2</v>
      </c>
      <c r="AG31" s="3">
        <v>7.6482815954358518E-2</v>
      </c>
      <c r="AH31" s="3">
        <v>8.9849924185783414E-2</v>
      </c>
      <c r="AI31" s="3">
        <v>7.9643603818231323E-2</v>
      </c>
      <c r="AJ31" s="3">
        <v>0.11079284637867448</v>
      </c>
      <c r="AK31" s="3">
        <v>0.14463408093916622</v>
      </c>
      <c r="AL31" s="3">
        <v>0.11195296391268561</v>
      </c>
    </row>
    <row r="32" spans="1:38" x14ac:dyDescent="0.35">
      <c r="A32" s="7">
        <v>43101</v>
      </c>
      <c r="B32" s="7">
        <v>43190</v>
      </c>
      <c r="C32" s="7" t="s">
        <v>219</v>
      </c>
      <c r="D32" t="s">
        <v>215</v>
      </c>
      <c r="E32" s="4" t="s">
        <v>68</v>
      </c>
      <c r="F32" s="3">
        <v>3.0739197622021777E-2</v>
      </c>
      <c r="G32" s="3">
        <v>3.0040112383998872E-2</v>
      </c>
      <c r="H32" s="3">
        <v>3.3642241261176209E-2</v>
      </c>
      <c r="I32" s="3">
        <v>3.1708017045777727E-2</v>
      </c>
      <c r="J32" s="3">
        <v>3.4757571708418505E-2</v>
      </c>
      <c r="K32" s="3">
        <v>3.4966037413180703E-2</v>
      </c>
      <c r="L32" s="3">
        <v>3.665330704473331E-2</v>
      </c>
      <c r="M32" s="3">
        <v>3.6027658446906204E-2</v>
      </c>
      <c r="N32" s="3">
        <v>4.0007721087298886E-2</v>
      </c>
      <c r="O32" s="3">
        <v>3.6405401536441367E-2</v>
      </c>
      <c r="P32" s="3">
        <v>4.2876462331655485E-2</v>
      </c>
      <c r="Q32" s="3">
        <v>3.7671343263786905E-2</v>
      </c>
      <c r="R32" s="3">
        <v>4.5034383018163426E-2</v>
      </c>
      <c r="S32" s="3">
        <v>3.9820873196983936E-2</v>
      </c>
      <c r="T32" s="3">
        <v>4.6433727451292761E-2</v>
      </c>
      <c r="U32" s="3">
        <v>4.2477800013649862E-2</v>
      </c>
      <c r="V32" s="3">
        <v>4.8709102113335692E-2</v>
      </c>
      <c r="W32" s="3">
        <v>4.3657989214654483E-2</v>
      </c>
      <c r="X32" s="3">
        <v>5.1801267945788959E-2</v>
      </c>
      <c r="Y32" s="3">
        <v>4.6207699194427798E-2</v>
      </c>
      <c r="Z32" s="3">
        <v>5.539031245037454E-2</v>
      </c>
      <c r="AA32" s="3">
        <v>5.6653090535508349E-2</v>
      </c>
      <c r="AB32" s="3">
        <v>6.1781201174315112E-2</v>
      </c>
      <c r="AC32" s="3">
        <v>6.5188469893734446E-2</v>
      </c>
      <c r="AD32" s="3">
        <v>6.7480376542508602E-2</v>
      </c>
      <c r="AE32" s="3">
        <v>7.5223518133722272E-2</v>
      </c>
      <c r="AF32" s="3">
        <v>7.8186289388047003E-2</v>
      </c>
      <c r="AG32" s="3">
        <v>7.7406298040132632E-2</v>
      </c>
      <c r="AH32" s="3">
        <v>9.0754335980998135E-2</v>
      </c>
      <c r="AI32" s="3">
        <v>8.0604606311731983E-2</v>
      </c>
      <c r="AJ32" s="3">
        <v>0.11177346034366117</v>
      </c>
      <c r="AK32" s="3">
        <v>0.145582909636502</v>
      </c>
      <c r="AL32" s="3">
        <v>0.11290085140852593</v>
      </c>
    </row>
    <row r="33" spans="1:38" x14ac:dyDescent="0.35">
      <c r="A33" s="7">
        <v>43101</v>
      </c>
      <c r="B33" s="7">
        <v>43190</v>
      </c>
      <c r="C33" s="7" t="s">
        <v>219</v>
      </c>
      <c r="D33" t="s">
        <v>215</v>
      </c>
      <c r="E33" s="4">
        <v>4</v>
      </c>
      <c r="F33" s="3">
        <v>3.1687111852765119E-2</v>
      </c>
      <c r="G33" s="3">
        <v>3.0955135834473624E-2</v>
      </c>
      <c r="H33" s="3">
        <v>3.4574657158047514E-2</v>
      </c>
      <c r="I33" s="3">
        <v>3.264948859593711E-2</v>
      </c>
      <c r="J33" s="3">
        <v>3.5728649950114238E-2</v>
      </c>
      <c r="K33" s="3">
        <v>3.5933984380575962E-2</v>
      </c>
      <c r="L33" s="3">
        <v>3.7600776368188246E-2</v>
      </c>
      <c r="M33" s="3">
        <v>3.6930131542778522E-2</v>
      </c>
      <c r="N33" s="3">
        <v>4.0946966069131611E-2</v>
      </c>
      <c r="O33" s="3">
        <v>3.7338873967426633E-2</v>
      </c>
      <c r="P33" s="3">
        <v>4.3856967046642346E-2</v>
      </c>
      <c r="Q33" s="3">
        <v>3.8664872848888504E-2</v>
      </c>
      <c r="R33" s="3">
        <v>4.5977525764767102E-2</v>
      </c>
      <c r="S33" s="3">
        <v>4.0791025093767294E-2</v>
      </c>
      <c r="T33" s="3">
        <v>4.7378022305578263E-2</v>
      </c>
      <c r="U33" s="3">
        <v>4.3468649631014294E-2</v>
      </c>
      <c r="V33" s="3">
        <v>4.9666048141618874E-2</v>
      </c>
      <c r="W33" s="3">
        <v>4.4580033371126336E-2</v>
      </c>
      <c r="X33" s="3">
        <v>5.2741895793428757E-2</v>
      </c>
      <c r="Y33" s="3">
        <v>4.7140618258473627E-2</v>
      </c>
      <c r="Z33" s="3">
        <v>5.6390188726632123E-2</v>
      </c>
      <c r="AA33" s="3">
        <v>5.7575139555686147E-2</v>
      </c>
      <c r="AB33" s="3">
        <v>6.2705172164359751E-2</v>
      </c>
      <c r="AC33" s="3">
        <v>6.6171971954915601E-2</v>
      </c>
      <c r="AD33" s="3">
        <v>6.8385210637260108E-2</v>
      </c>
      <c r="AE33" s="3">
        <v>7.6193441864314981E-2</v>
      </c>
      <c r="AF33" s="3">
        <v>7.9117816364555241E-2</v>
      </c>
      <c r="AG33" s="3">
        <v>7.8348939251239008E-2</v>
      </c>
      <c r="AH33" s="3">
        <v>9.1749052053499314E-2</v>
      </c>
      <c r="AI33" s="3">
        <v>8.157193873236937E-2</v>
      </c>
      <c r="AJ33" s="3">
        <v>0.11271542279930774</v>
      </c>
      <c r="AK33" s="3">
        <v>0.14656655400287086</v>
      </c>
      <c r="AL33" s="3">
        <v>0.11381786190012677</v>
      </c>
    </row>
    <row r="34" spans="1:38" x14ac:dyDescent="0.35">
      <c r="A34" s="7">
        <v>43101</v>
      </c>
      <c r="B34" s="7">
        <v>43190</v>
      </c>
      <c r="C34" s="7" t="s">
        <v>219</v>
      </c>
      <c r="D34" t="s">
        <v>215</v>
      </c>
      <c r="E34" s="4" t="s">
        <v>69</v>
      </c>
      <c r="F34" s="3">
        <v>3.266334066424207E-2</v>
      </c>
      <c r="G34" s="3">
        <v>3.1856784187710131E-2</v>
      </c>
      <c r="H34" s="3">
        <v>3.5516670482588143E-2</v>
      </c>
      <c r="I34" s="3">
        <v>3.3613877354440144E-2</v>
      </c>
      <c r="J34" s="3">
        <v>3.6665005216227523E-2</v>
      </c>
      <c r="K34" s="3">
        <v>3.689698684478343E-2</v>
      </c>
      <c r="L34" s="3">
        <v>3.8517567647322296E-2</v>
      </c>
      <c r="M34" s="3">
        <v>3.791389821299445E-2</v>
      </c>
      <c r="N34" s="3">
        <v>4.190264094680117E-2</v>
      </c>
      <c r="O34" s="3">
        <v>3.8285534809126984E-2</v>
      </c>
      <c r="P34" s="3">
        <v>4.4782291759152264E-2</v>
      </c>
      <c r="Q34" s="3">
        <v>3.9628695589264143E-2</v>
      </c>
      <c r="R34" s="3">
        <v>4.691445965152484E-2</v>
      </c>
      <c r="S34" s="3">
        <v>4.1763060110870456E-2</v>
      </c>
      <c r="T34" s="3">
        <v>4.8316843693128622E-2</v>
      </c>
      <c r="U34" s="3">
        <v>4.4445309033417466E-2</v>
      </c>
      <c r="V34" s="3">
        <v>5.0583538133656125E-2</v>
      </c>
      <c r="W34" s="3">
        <v>4.5500495259273382E-2</v>
      </c>
      <c r="X34" s="3">
        <v>5.3730557773519358E-2</v>
      </c>
      <c r="Y34" s="3">
        <v>4.8049873203161494E-2</v>
      </c>
      <c r="Z34" s="3">
        <v>5.7380516132835013E-2</v>
      </c>
      <c r="AA34" s="3">
        <v>5.8536616039588887E-2</v>
      </c>
      <c r="AB34" s="3">
        <v>6.3674492333929994E-2</v>
      </c>
      <c r="AC34" s="3">
        <v>6.7144902683848123E-2</v>
      </c>
      <c r="AD34" s="3">
        <v>6.9289604606180166E-2</v>
      </c>
      <c r="AE34" s="3">
        <v>7.718096016562824E-2</v>
      </c>
      <c r="AF34" s="3">
        <v>8.0053919066883E-2</v>
      </c>
      <c r="AG34" s="3">
        <v>7.9257482062810913E-2</v>
      </c>
      <c r="AH34" s="3">
        <v>9.2699819231343877E-2</v>
      </c>
      <c r="AI34" s="3">
        <v>8.25627765454887E-2</v>
      </c>
      <c r="AJ34" s="3">
        <v>0.11370780016976628</v>
      </c>
      <c r="AK34" s="3">
        <v>0.14751313615786119</v>
      </c>
      <c r="AL34" s="3">
        <v>0.11473276764506546</v>
      </c>
    </row>
    <row r="35" spans="1:38" x14ac:dyDescent="0.35">
      <c r="A35" s="7">
        <v>43101</v>
      </c>
      <c r="B35" s="7">
        <v>43190</v>
      </c>
      <c r="C35" s="7" t="s">
        <v>219</v>
      </c>
      <c r="D35" t="s">
        <v>215</v>
      </c>
      <c r="E35" s="4" t="s">
        <v>70</v>
      </c>
      <c r="F35" s="3">
        <v>3.3615006950827517E-2</v>
      </c>
      <c r="G35" s="3">
        <v>3.2762917695688953E-2</v>
      </c>
      <c r="H35" s="3">
        <v>3.6502258168549954E-2</v>
      </c>
      <c r="I35" s="3">
        <v>3.4532143139689067E-2</v>
      </c>
      <c r="J35" s="3">
        <v>3.7610253000537969E-2</v>
      </c>
      <c r="K35" s="3">
        <v>3.7871243633954575E-2</v>
      </c>
      <c r="L35" s="3">
        <v>3.9506458227018357E-2</v>
      </c>
      <c r="M35" s="3">
        <v>3.8822139340595883E-2</v>
      </c>
      <c r="N35" s="3">
        <v>4.2879240678301116E-2</v>
      </c>
      <c r="O35" s="3">
        <v>3.9241603607676742E-2</v>
      </c>
      <c r="P35" s="3">
        <v>4.5699213581187004E-2</v>
      </c>
      <c r="Q35" s="3">
        <v>4.0624472251490892E-2</v>
      </c>
      <c r="R35" s="3">
        <v>4.7870656963362825E-2</v>
      </c>
      <c r="S35" s="3">
        <v>4.2729596604833865E-2</v>
      </c>
      <c r="T35" s="3">
        <v>4.9228818340475294E-2</v>
      </c>
      <c r="U35" s="3">
        <v>4.535246821018224E-2</v>
      </c>
      <c r="V35" s="3">
        <v>5.1513458477405225E-2</v>
      </c>
      <c r="W35" s="3">
        <v>4.6496463931347889E-2</v>
      </c>
      <c r="X35" s="3">
        <v>5.4710259660029049E-2</v>
      </c>
      <c r="Y35" s="3">
        <v>4.9007331566039355E-2</v>
      </c>
      <c r="Z35" s="3">
        <v>5.829873154372793E-2</v>
      </c>
      <c r="AA35" s="3">
        <v>5.946778808059016E-2</v>
      </c>
      <c r="AB35" s="3">
        <v>6.460944775868252E-2</v>
      </c>
      <c r="AC35" s="3">
        <v>6.8068521925419873E-2</v>
      </c>
      <c r="AD35" s="3">
        <v>7.0195598965229256E-2</v>
      </c>
      <c r="AE35" s="3">
        <v>7.8159910045503073E-2</v>
      </c>
      <c r="AF35" s="3">
        <v>8.1012610411531932E-2</v>
      </c>
      <c r="AG35" s="3">
        <v>8.0181077966933217E-2</v>
      </c>
      <c r="AH35" s="3">
        <v>9.3688238977401223E-2</v>
      </c>
      <c r="AI35" s="3">
        <v>8.347815920848603E-2</v>
      </c>
      <c r="AJ35" s="3">
        <v>0.11461490997768822</v>
      </c>
      <c r="AK35" s="3">
        <v>0.14843690456744629</v>
      </c>
      <c r="AL35" s="3">
        <v>0.11571679418624389</v>
      </c>
    </row>
    <row r="36" spans="1:38" x14ac:dyDescent="0.35">
      <c r="A36" s="7">
        <v>43101</v>
      </c>
      <c r="B36" s="7">
        <v>43190</v>
      </c>
      <c r="C36" s="7" t="s">
        <v>219</v>
      </c>
      <c r="D36" t="s">
        <v>215</v>
      </c>
      <c r="E36" s="4">
        <v>5</v>
      </c>
      <c r="F36" s="3">
        <v>3.4537034616341951E-2</v>
      </c>
      <c r="G36" s="3">
        <v>3.3701871493965599E-2</v>
      </c>
      <c r="H36" s="3">
        <v>3.7445141600718851E-2</v>
      </c>
      <c r="I36" s="3">
        <v>3.5501354570931676E-2</v>
      </c>
      <c r="J36" s="3">
        <v>3.8587162076532108E-2</v>
      </c>
      <c r="K36" s="3">
        <v>3.8857435763598305E-2</v>
      </c>
      <c r="L36" s="3">
        <v>4.0430411032710389E-2</v>
      </c>
      <c r="M36" s="3">
        <v>3.9758382469180051E-2</v>
      </c>
      <c r="N36" s="3">
        <v>4.3798630295579261E-2</v>
      </c>
      <c r="O36" s="3">
        <v>4.0204003559376603E-2</v>
      </c>
      <c r="P36" s="3">
        <v>4.6607872187442723E-2</v>
      </c>
      <c r="Q36" s="3">
        <v>4.1617434133182266E-2</v>
      </c>
      <c r="R36" s="3">
        <v>4.8787960327398794E-2</v>
      </c>
      <c r="S36" s="3">
        <v>4.3703405383414301E-2</v>
      </c>
      <c r="T36" s="3">
        <v>5.0149752994239301E-2</v>
      </c>
      <c r="U36" s="3">
        <v>4.6294855162885611E-2</v>
      </c>
      <c r="V36" s="3">
        <v>5.2445158938770949E-2</v>
      </c>
      <c r="W36" s="3">
        <v>4.7435172399565143E-2</v>
      </c>
      <c r="X36" s="3">
        <v>5.5687938236702893E-2</v>
      </c>
      <c r="Y36" s="3">
        <v>4.9914191192636459E-2</v>
      </c>
      <c r="Z36" s="3">
        <v>5.9274350429703734E-2</v>
      </c>
      <c r="AA36" s="3">
        <v>6.0416623636127195E-2</v>
      </c>
      <c r="AB36" s="3">
        <v>6.5529849427629183E-2</v>
      </c>
      <c r="AC36" s="3">
        <v>6.9045960511612783E-2</v>
      </c>
      <c r="AD36" s="3">
        <v>7.1128988861040549E-2</v>
      </c>
      <c r="AE36" s="3">
        <v>7.9095845061382758E-2</v>
      </c>
      <c r="AF36" s="3">
        <v>8.1952002646676111E-2</v>
      </c>
      <c r="AG36" s="3">
        <v>8.1096016217194394E-2</v>
      </c>
      <c r="AH36" s="3">
        <v>9.4637865264380838E-2</v>
      </c>
      <c r="AI36" s="3">
        <v>8.4439136470290402E-2</v>
      </c>
      <c r="AJ36" s="3">
        <v>0.11555517391392323</v>
      </c>
      <c r="AK36" s="3">
        <v>0.14937465627533181</v>
      </c>
      <c r="AL36" s="3">
        <v>0.11663023727481434</v>
      </c>
    </row>
    <row r="37" spans="1:38" x14ac:dyDescent="0.35">
      <c r="A37" s="7">
        <v>43101</v>
      </c>
      <c r="B37" s="7">
        <v>43190</v>
      </c>
      <c r="C37" s="7" t="s">
        <v>219</v>
      </c>
      <c r="D37" t="s">
        <v>215</v>
      </c>
      <c r="E37" s="4" t="s">
        <v>71</v>
      </c>
      <c r="F37" s="3">
        <v>3.545224753299351E-2</v>
      </c>
      <c r="G37" s="3">
        <v>3.4654426749807149E-2</v>
      </c>
      <c r="H37" s="3">
        <v>3.8363432166752955E-2</v>
      </c>
      <c r="I37" s="3">
        <v>3.6483817499054612E-2</v>
      </c>
      <c r="J37" s="3">
        <v>3.9515522119146912E-2</v>
      </c>
      <c r="K37" s="3">
        <v>3.9823752741559956E-2</v>
      </c>
      <c r="L37" s="3">
        <v>4.1378703526991807E-2</v>
      </c>
      <c r="M37" s="3">
        <v>4.0729505019661452E-2</v>
      </c>
      <c r="N37" s="3">
        <v>4.4743765763705465E-2</v>
      </c>
      <c r="O37" s="3">
        <v>4.1147549646481915E-2</v>
      </c>
      <c r="P37" s="3">
        <v>4.7550369849464022E-2</v>
      </c>
      <c r="Q37" s="3">
        <v>4.2553807159928722E-2</v>
      </c>
      <c r="R37" s="3">
        <v>4.9760856877947637E-2</v>
      </c>
      <c r="S37" s="3">
        <v>4.4632661459234696E-2</v>
      </c>
      <c r="T37" s="3">
        <v>5.1146085451574459E-2</v>
      </c>
      <c r="U37" s="3">
        <v>4.7256183992917526E-2</v>
      </c>
      <c r="V37" s="3">
        <v>5.3377722287246611E-2</v>
      </c>
      <c r="W37" s="3">
        <v>4.8363475537645861E-2</v>
      </c>
      <c r="X37" s="3">
        <v>5.6639852635564363E-2</v>
      </c>
      <c r="Y37" s="3">
        <v>5.0890286602368898E-2</v>
      </c>
      <c r="Z37" s="3">
        <v>6.0238787352116498E-2</v>
      </c>
      <c r="AA37" s="3">
        <v>6.1342734437073866E-2</v>
      </c>
      <c r="AB37" s="3">
        <v>6.6497644430090957E-2</v>
      </c>
      <c r="AC37" s="3">
        <v>6.9991828499182507E-2</v>
      </c>
      <c r="AD37" s="3">
        <v>7.2106986994260963E-2</v>
      </c>
      <c r="AE37" s="3">
        <v>7.9996109513219116E-2</v>
      </c>
      <c r="AF37" s="3">
        <v>8.2944347119404849E-2</v>
      </c>
      <c r="AG37" s="3">
        <v>8.2024576265395138E-2</v>
      </c>
      <c r="AH37" s="3">
        <v>9.5586131170948857E-2</v>
      </c>
      <c r="AI37" s="3">
        <v>8.5356007964590058E-2</v>
      </c>
      <c r="AJ37" s="3">
        <v>0.11649176413878909</v>
      </c>
      <c r="AK37" s="3">
        <v>0.15033627909692013</v>
      </c>
      <c r="AL37" s="3">
        <v>0.11762032111917292</v>
      </c>
    </row>
    <row r="38" spans="1:38" x14ac:dyDescent="0.35">
      <c r="A38" s="7">
        <v>43101</v>
      </c>
      <c r="B38" s="7">
        <v>43190</v>
      </c>
      <c r="C38" s="7" t="s">
        <v>219</v>
      </c>
      <c r="D38" t="s">
        <v>215</v>
      </c>
      <c r="E38" s="4" t="s">
        <v>72</v>
      </c>
      <c r="F38" s="3">
        <v>3.6450044671522949E-2</v>
      </c>
      <c r="G38" s="3">
        <v>3.5597382233771228E-2</v>
      </c>
      <c r="H38" s="3">
        <v>3.9342643582357915E-2</v>
      </c>
      <c r="I38" s="3">
        <v>3.7385083984993947E-2</v>
      </c>
      <c r="J38" s="3">
        <v>4.0439457241266824E-2</v>
      </c>
      <c r="K38" s="3">
        <v>4.0751167672111455E-2</v>
      </c>
      <c r="L38" s="3">
        <v>4.2302334066026029E-2</v>
      </c>
      <c r="M38" s="3">
        <v>4.1652328412065009E-2</v>
      </c>
      <c r="N38" s="3">
        <v>4.5725725299334885E-2</v>
      </c>
      <c r="O38" s="3">
        <v>4.214042390166306E-2</v>
      </c>
      <c r="P38" s="3">
        <v>4.8457192690454405E-2</v>
      </c>
      <c r="Q38" s="3">
        <v>4.3480456218301683E-2</v>
      </c>
      <c r="R38" s="3">
        <v>5.075911302697364E-2</v>
      </c>
      <c r="S38" s="3">
        <v>4.5599621500819393E-2</v>
      </c>
      <c r="T38" s="3">
        <v>5.2079397101071789E-2</v>
      </c>
      <c r="U38" s="3">
        <v>4.8217342664606345E-2</v>
      </c>
      <c r="V38" s="3">
        <v>5.4302257703269831E-2</v>
      </c>
      <c r="W38" s="3">
        <v>4.935788536724868E-2</v>
      </c>
      <c r="X38" s="3">
        <v>5.763615542369796E-2</v>
      </c>
      <c r="Y38" s="3">
        <v>5.1804233856917431E-2</v>
      </c>
      <c r="Z38" s="3">
        <v>6.1147907091145454E-2</v>
      </c>
      <c r="AA38" s="3">
        <v>6.2309724026127174E-2</v>
      </c>
      <c r="AB38" s="3">
        <v>6.7488798515799475E-2</v>
      </c>
      <c r="AC38" s="3">
        <v>7.092984619827844E-2</v>
      </c>
      <c r="AD38" s="3">
        <v>7.3088608205711059E-2</v>
      </c>
      <c r="AE38" s="3">
        <v>8.0913454609532254E-2</v>
      </c>
      <c r="AF38" s="3">
        <v>8.3888516304205157E-2</v>
      </c>
      <c r="AG38" s="3">
        <v>8.2967069472016527E-2</v>
      </c>
      <c r="AH38" s="3">
        <v>9.654876240944113E-2</v>
      </c>
      <c r="AI38" s="3">
        <v>8.6265720475586088E-2</v>
      </c>
      <c r="AJ38" s="3">
        <v>0.11742309530034586</v>
      </c>
      <c r="AK38" s="3">
        <v>0.15124715508668146</v>
      </c>
      <c r="AL38" s="3">
        <v>0.11859960676243339</v>
      </c>
    </row>
    <row r="39" spans="1:38" x14ac:dyDescent="0.35">
      <c r="A39" s="7">
        <v>43101</v>
      </c>
      <c r="B39" s="7">
        <v>43190</v>
      </c>
      <c r="C39" s="7" t="s">
        <v>219</v>
      </c>
      <c r="D39" t="s">
        <v>215</v>
      </c>
      <c r="E39" s="4">
        <v>6</v>
      </c>
      <c r="F39" s="3">
        <v>3.7354710843880236E-2</v>
      </c>
      <c r="G39" s="3">
        <v>3.6514300466315895E-2</v>
      </c>
      <c r="H39" s="3">
        <v>4.0340015876603172E-2</v>
      </c>
      <c r="I39" s="3">
        <v>3.8287553075633286E-2</v>
      </c>
      <c r="J39" s="3">
        <v>4.1343677994122682E-2</v>
      </c>
      <c r="K39" s="3">
        <v>4.1711866595613344E-2</v>
      </c>
      <c r="L39" s="3">
        <v>4.320510865471254E-2</v>
      </c>
      <c r="M39" s="3">
        <v>4.2600622392565027E-2</v>
      </c>
      <c r="N39" s="3">
        <v>4.6686311833625704E-2</v>
      </c>
      <c r="O39" s="3">
        <v>4.3132774067928759E-2</v>
      </c>
      <c r="P39" s="3">
        <v>4.9358899286446989E-2</v>
      </c>
      <c r="Q39" s="3">
        <v>4.4464201327189187E-2</v>
      </c>
      <c r="R39" s="3">
        <v>5.1697114376885581E-2</v>
      </c>
      <c r="S39" s="3">
        <v>4.6529621074183444E-2</v>
      </c>
      <c r="T39" s="3">
        <v>5.3015743625293946E-2</v>
      </c>
      <c r="U39" s="3">
        <v>4.9216862234903305E-2</v>
      </c>
      <c r="V39" s="3">
        <v>5.5300735763207459E-2</v>
      </c>
      <c r="W39" s="3">
        <v>5.0262787163677033E-2</v>
      </c>
      <c r="X39" s="3">
        <v>5.861369834049085E-2</v>
      </c>
      <c r="Y39" s="3">
        <v>5.273475792981161E-2</v>
      </c>
      <c r="Z39" s="3">
        <v>6.2087418767790732E-2</v>
      </c>
      <c r="AA39" s="3">
        <v>6.3306843346533054E-2</v>
      </c>
      <c r="AB39" s="3">
        <v>6.8420502837275465E-2</v>
      </c>
      <c r="AC39" s="3">
        <v>7.1884595950778493E-2</v>
      </c>
      <c r="AD39" s="3">
        <v>7.4050407256270184E-2</v>
      </c>
      <c r="AE39" s="3">
        <v>8.1893066680813281E-2</v>
      </c>
      <c r="AF39" s="3">
        <v>8.4864382115662565E-2</v>
      </c>
      <c r="AG39" s="3">
        <v>8.3938529481590474E-2</v>
      </c>
      <c r="AH39" s="3">
        <v>9.7491883015531883E-2</v>
      </c>
      <c r="AI39" s="3">
        <v>8.7234623648672849E-2</v>
      </c>
      <c r="AJ39" s="3">
        <v>0.11835782494668728</v>
      </c>
      <c r="AK39" s="3">
        <v>0.1521501469799699</v>
      </c>
      <c r="AL39" s="3">
        <v>0.11955080099179458</v>
      </c>
    </row>
    <row r="40" spans="1:38" x14ac:dyDescent="0.35">
      <c r="A40" s="7">
        <v>43101</v>
      </c>
      <c r="B40" s="7">
        <v>43190</v>
      </c>
      <c r="C40" s="7" t="s">
        <v>219</v>
      </c>
      <c r="D40" t="s">
        <v>215</v>
      </c>
      <c r="E40" s="4" t="s">
        <v>73</v>
      </c>
      <c r="F40" s="3">
        <v>3.831298237972007E-2</v>
      </c>
      <c r="G40" s="3">
        <v>3.7470863826427656E-2</v>
      </c>
      <c r="H40" s="3">
        <v>4.1272189463267363E-2</v>
      </c>
      <c r="I40" s="3">
        <v>3.9251364017709525E-2</v>
      </c>
      <c r="J40" s="3">
        <v>4.2343484503988227E-2</v>
      </c>
      <c r="K40" s="3">
        <v>4.2691342019618508E-2</v>
      </c>
      <c r="L40" s="3">
        <v>4.4162612339023008E-2</v>
      </c>
      <c r="M40" s="3">
        <v>4.3555545551511261E-2</v>
      </c>
      <c r="N40" s="3">
        <v>4.7618632179344741E-2</v>
      </c>
      <c r="O40" s="3">
        <v>4.4106025837637675E-2</v>
      </c>
      <c r="P40" s="3">
        <v>5.0346096550348662E-2</v>
      </c>
      <c r="Q40" s="3">
        <v>4.5377473187230705E-2</v>
      </c>
      <c r="R40" s="3">
        <v>5.2660540987732846E-2</v>
      </c>
      <c r="S40" s="3">
        <v>4.7450464703823914E-2</v>
      </c>
      <c r="T40" s="3">
        <v>5.3969993380739843E-2</v>
      </c>
      <c r="U40" s="3">
        <v>5.0159888659726592E-2</v>
      </c>
      <c r="V40" s="3">
        <v>5.6258205706464358E-2</v>
      </c>
      <c r="W40" s="3">
        <v>5.1245864887336609E-2</v>
      </c>
      <c r="X40" s="3">
        <v>5.9565189098086058E-2</v>
      </c>
      <c r="Y40" s="3">
        <v>5.3693615381737822E-2</v>
      </c>
      <c r="Z40" s="3">
        <v>6.3085669834437114E-2</v>
      </c>
      <c r="AA40" s="3">
        <v>6.4226053950022677E-2</v>
      </c>
      <c r="AB40" s="3">
        <v>6.9387327504087465E-2</v>
      </c>
      <c r="AC40" s="3">
        <v>7.2850499388342871E-2</v>
      </c>
      <c r="AD40" s="3">
        <v>7.4995541721114056E-2</v>
      </c>
      <c r="AE40" s="3">
        <v>8.2813620383519554E-2</v>
      </c>
      <c r="AF40" s="3">
        <v>8.5833211364047285E-2</v>
      </c>
      <c r="AG40" s="3">
        <v>8.4856344163987477E-2</v>
      </c>
      <c r="AH40" s="3">
        <v>9.8407203055284775E-2</v>
      </c>
      <c r="AI40" s="3">
        <v>8.816050350901436E-2</v>
      </c>
      <c r="AJ40" s="3">
        <v>0.11930359887892328</v>
      </c>
      <c r="AK40" s="3">
        <v>0.15311849031913038</v>
      </c>
      <c r="AL40" s="3">
        <v>0.12046881254756178</v>
      </c>
    </row>
    <row r="41" spans="1:38" x14ac:dyDescent="0.35">
      <c r="A41" s="7">
        <v>43101</v>
      </c>
      <c r="B41" s="7">
        <v>43190</v>
      </c>
      <c r="C41" s="7" t="s">
        <v>219</v>
      </c>
      <c r="D41" t="s">
        <v>215</v>
      </c>
      <c r="E41" s="4" t="s">
        <v>74</v>
      </c>
      <c r="F41" s="3">
        <v>3.9290655936053603E-2</v>
      </c>
      <c r="G41" s="3">
        <v>3.8415482453008583E-2</v>
      </c>
      <c r="H41" s="3">
        <v>4.219232752177425E-2</v>
      </c>
      <c r="I41" s="3">
        <v>4.0167024517393374E-2</v>
      </c>
      <c r="J41" s="3">
        <v>4.3298200600403264E-2</v>
      </c>
      <c r="K41" s="3">
        <v>4.3669033421348501E-2</v>
      </c>
      <c r="L41" s="3">
        <v>4.5106092157626926E-2</v>
      </c>
      <c r="M41" s="3">
        <v>4.454513055193747E-2</v>
      </c>
      <c r="N41" s="3">
        <v>4.8578105083387994E-2</v>
      </c>
      <c r="O41" s="3">
        <v>4.5041206075774276E-2</v>
      </c>
      <c r="P41" s="3">
        <v>5.1272222742774848E-2</v>
      </c>
      <c r="Q41" s="3">
        <v>4.6288973979576764E-2</v>
      </c>
      <c r="R41" s="3">
        <v>5.3609713962831179E-2</v>
      </c>
      <c r="S41" s="3">
        <v>4.8423367860062086E-2</v>
      </c>
      <c r="T41" s="3">
        <v>5.4900284765182827E-2</v>
      </c>
      <c r="U41" s="3">
        <v>5.1116043510631932E-2</v>
      </c>
      <c r="V41" s="3">
        <v>5.7186005067337314E-2</v>
      </c>
      <c r="W41" s="3">
        <v>5.2200134180994541E-2</v>
      </c>
      <c r="X41" s="3">
        <v>6.0472847689605307E-2</v>
      </c>
      <c r="Y41" s="3">
        <v>5.4598365149331154E-2</v>
      </c>
      <c r="Z41" s="3">
        <v>6.4011640450528096E-2</v>
      </c>
      <c r="AA41" s="3">
        <v>6.5220768312793526E-2</v>
      </c>
      <c r="AB41" s="3">
        <v>7.0295568211983767E-2</v>
      </c>
      <c r="AC41" s="3">
        <v>7.3817523142215125E-2</v>
      </c>
      <c r="AD41" s="3">
        <v>7.5934228027242784E-2</v>
      </c>
      <c r="AE41" s="3">
        <v>8.3742569693424418E-2</v>
      </c>
      <c r="AF41" s="3">
        <v>8.674641920399756E-2</v>
      </c>
      <c r="AG41" s="3">
        <v>8.5804327105100026E-2</v>
      </c>
      <c r="AH41" s="3">
        <v>9.9403550330891072E-2</v>
      </c>
      <c r="AI41" s="3">
        <v>8.9092727841256103E-2</v>
      </c>
      <c r="AJ41" s="3">
        <v>0.12022033076272837</v>
      </c>
      <c r="AK41" s="3">
        <v>0.15406721062121739</v>
      </c>
      <c r="AL41" s="3">
        <v>0.12142501005957787</v>
      </c>
    </row>
    <row r="42" spans="1:38" x14ac:dyDescent="0.35">
      <c r="A42" s="7">
        <v>43101</v>
      </c>
      <c r="B42" s="7">
        <v>43190</v>
      </c>
      <c r="C42" s="7" t="s">
        <v>219</v>
      </c>
      <c r="D42" t="s">
        <v>215</v>
      </c>
      <c r="E42" s="4">
        <v>7</v>
      </c>
      <c r="F42" s="3">
        <v>4.0278276553716283E-2</v>
      </c>
      <c r="G42" s="3">
        <v>3.9329177705657581E-2</v>
      </c>
      <c r="H42" s="3">
        <v>4.3099318153345834E-2</v>
      </c>
      <c r="I42" s="3">
        <v>4.1083811526251506E-2</v>
      </c>
      <c r="J42" s="3">
        <v>4.4213419842575458E-2</v>
      </c>
      <c r="K42" s="3">
        <v>4.4583800859561019E-2</v>
      </c>
      <c r="L42" s="3">
        <v>4.6092812186156275E-2</v>
      </c>
      <c r="M42" s="3">
        <v>4.5540381363158702E-2</v>
      </c>
      <c r="N42" s="3">
        <v>4.9541323345427747E-2</v>
      </c>
      <c r="O42" s="3">
        <v>4.599142163800695E-2</v>
      </c>
      <c r="P42" s="3">
        <v>5.2236981442763744E-2</v>
      </c>
      <c r="Q42" s="3">
        <v>4.7234541478731421E-2</v>
      </c>
      <c r="R42" s="3">
        <v>5.45593901111684E-2</v>
      </c>
      <c r="S42" s="3">
        <v>4.9346904198118623E-2</v>
      </c>
      <c r="T42" s="3">
        <v>5.5816080504292424E-2</v>
      </c>
      <c r="U42" s="3">
        <v>5.2027736685895595E-2</v>
      </c>
      <c r="V42" s="3">
        <v>5.8124858987900853E-2</v>
      </c>
      <c r="W42" s="3">
        <v>5.3144763825180408E-2</v>
      </c>
      <c r="X42" s="3">
        <v>6.1388336794213065E-2</v>
      </c>
      <c r="Y42" s="3">
        <v>5.559125705272968E-2</v>
      </c>
      <c r="Z42" s="3">
        <v>6.4977016347356198E-2</v>
      </c>
      <c r="AA42" s="3">
        <v>6.6209543585266664E-2</v>
      </c>
      <c r="AB42" s="3">
        <v>7.125812556861183E-2</v>
      </c>
      <c r="AC42" s="3">
        <v>7.4742287354191972E-2</v>
      </c>
      <c r="AD42" s="3">
        <v>7.6887157903794745E-2</v>
      </c>
      <c r="AE42" s="3">
        <v>8.4662762776687495E-2</v>
      </c>
      <c r="AF42" s="3">
        <v>8.7712813964452518E-2</v>
      </c>
      <c r="AG42" s="3">
        <v>8.6782994599508806E-2</v>
      </c>
      <c r="AH42" s="3">
        <v>0.10038231580665266</v>
      </c>
      <c r="AI42" s="3">
        <v>9.0077913935211584E-2</v>
      </c>
      <c r="AJ42" s="3">
        <v>0.12120598351307099</v>
      </c>
      <c r="AK42" s="3">
        <v>0.15497013151438968</v>
      </c>
      <c r="AL42" s="3">
        <v>0.12238501633574686</v>
      </c>
    </row>
    <row r="43" spans="1:38" x14ac:dyDescent="0.35">
      <c r="A43" s="7">
        <v>43101</v>
      </c>
      <c r="B43" s="7">
        <v>43190</v>
      </c>
      <c r="C43" s="7" t="s">
        <v>219</v>
      </c>
      <c r="D43" t="s">
        <v>215</v>
      </c>
      <c r="E43" s="4" t="s">
        <v>75</v>
      </c>
      <c r="F43" s="3">
        <v>4.1182488272635209E-2</v>
      </c>
      <c r="G43" s="3">
        <v>4.0301753966505142E-2</v>
      </c>
      <c r="H43" s="3">
        <v>4.4026838639232929E-2</v>
      </c>
      <c r="I43" s="3">
        <v>4.2067557852125029E-2</v>
      </c>
      <c r="J43" s="3">
        <v>4.520170932772348E-2</v>
      </c>
      <c r="K43" s="3">
        <v>4.5550622839863747E-2</v>
      </c>
      <c r="L43" s="3">
        <v>4.7066014601750958E-2</v>
      </c>
      <c r="M43" s="3">
        <v>4.6515759061131506E-2</v>
      </c>
      <c r="N43" s="3">
        <v>5.0527017636710615E-2</v>
      </c>
      <c r="O43" s="3">
        <v>4.69567489982212E-2</v>
      </c>
      <c r="P43" s="3">
        <v>5.3147315452805592E-2</v>
      </c>
      <c r="Q43" s="3">
        <v>4.8200116122030651E-2</v>
      </c>
      <c r="R43" s="3">
        <v>5.5524190394425521E-2</v>
      </c>
      <c r="S43" s="3">
        <v>5.0342902962852917E-2</v>
      </c>
      <c r="T43" s="3">
        <v>5.6756386656798406E-2</v>
      </c>
      <c r="U43" s="3">
        <v>5.3005559472231803E-2</v>
      </c>
      <c r="V43" s="3">
        <v>5.9047358524636863E-2</v>
      </c>
      <c r="W43" s="3">
        <v>5.4140598489951501E-2</v>
      </c>
      <c r="X43" s="3">
        <v>6.232880869907742E-2</v>
      </c>
      <c r="Y43" s="3">
        <v>5.6560360891625423E-2</v>
      </c>
      <c r="Z43" s="3">
        <v>6.5974746221220001E-2</v>
      </c>
      <c r="AA43" s="3">
        <v>6.7143034001964808E-2</v>
      </c>
      <c r="AB43" s="3">
        <v>7.2196010653543363E-2</v>
      </c>
      <c r="AC43" s="3">
        <v>7.5649617469505104E-2</v>
      </c>
      <c r="AD43" s="3">
        <v>7.7819400436061253E-2</v>
      </c>
      <c r="AE43" s="3">
        <v>8.5639145127280963E-2</v>
      </c>
      <c r="AF43" s="3">
        <v>8.8675499657925511E-2</v>
      </c>
      <c r="AG43" s="3">
        <v>8.7723641932776486E-2</v>
      </c>
      <c r="AH43" s="3">
        <v>0.1013130305129547</v>
      </c>
      <c r="AI43" s="3">
        <v>9.1039773112474742E-2</v>
      </c>
      <c r="AJ43" s="3">
        <v>0.12216032095937948</v>
      </c>
      <c r="AK43" s="3">
        <v>0.15592404775594543</v>
      </c>
      <c r="AL43" s="3">
        <v>0.12332571407201984</v>
      </c>
    </row>
    <row r="44" spans="1:38" x14ac:dyDescent="0.35">
      <c r="A44" s="7">
        <v>43101</v>
      </c>
      <c r="B44" s="7">
        <v>43190</v>
      </c>
      <c r="C44" s="7" t="s">
        <v>219</v>
      </c>
      <c r="D44" t="s">
        <v>214</v>
      </c>
      <c r="E44" s="4">
        <v>1</v>
      </c>
      <c r="F44" s="3">
        <v>2.4987235415080068E-2</v>
      </c>
      <c r="G44" s="3">
        <v>2.4522336342949563E-2</v>
      </c>
      <c r="H44" s="3">
        <v>2.7904631230141239E-2</v>
      </c>
      <c r="I44" s="3">
        <v>2.6059051771753751E-2</v>
      </c>
      <c r="J44" s="3">
        <v>2.9214931408311058E-2</v>
      </c>
      <c r="K44" s="3">
        <v>2.9265446267055656E-2</v>
      </c>
      <c r="L44" s="3">
        <v>3.0982197143763188E-2</v>
      </c>
      <c r="M44" s="3">
        <v>3.0375022539147159E-2</v>
      </c>
      <c r="N44" s="3">
        <v>3.4507892750587854E-2</v>
      </c>
      <c r="O44" s="3">
        <v>3.0706515013046779E-2</v>
      </c>
      <c r="P44" s="3">
        <v>3.7154611745470946E-2</v>
      </c>
      <c r="Q44" s="3">
        <v>3.2068234094442878E-2</v>
      </c>
      <c r="R44" s="3">
        <v>3.9456126253836606E-2</v>
      </c>
      <c r="S44" s="3">
        <v>3.4142726163996981E-2</v>
      </c>
      <c r="T44" s="3">
        <v>4.0907674061615849E-2</v>
      </c>
      <c r="U44" s="3">
        <v>3.6823319048479054E-2</v>
      </c>
      <c r="V44" s="3">
        <v>4.304753562160251E-2</v>
      </c>
      <c r="W44" s="3">
        <v>3.7978029939151656E-2</v>
      </c>
      <c r="X44" s="3">
        <v>4.6194112106792327E-2</v>
      </c>
      <c r="Y44" s="3">
        <v>4.0541921398612769E-2</v>
      </c>
      <c r="Z44" s="3">
        <v>4.9720350031989595E-2</v>
      </c>
      <c r="AA44" s="3">
        <v>5.0938659601285304E-2</v>
      </c>
      <c r="AB44" s="3">
        <v>5.62208891354583E-2</v>
      </c>
      <c r="AC44" s="3">
        <v>5.9598276343003583E-2</v>
      </c>
      <c r="AD44" s="3">
        <v>6.1975244868088718E-2</v>
      </c>
      <c r="AE44" s="3">
        <v>6.9630307613935211E-2</v>
      </c>
      <c r="AF44" s="3">
        <v>7.2530260528803764E-2</v>
      </c>
      <c r="AG44" s="3">
        <v>7.1821994417673785E-2</v>
      </c>
      <c r="AH44" s="3">
        <v>8.5201092314036608E-2</v>
      </c>
      <c r="AI44" s="3">
        <v>7.4923580014799818E-2</v>
      </c>
      <c r="AJ44" s="3">
        <v>0.10618899962977327</v>
      </c>
      <c r="AK44" s="3">
        <v>0.13988203667397348</v>
      </c>
      <c r="AL44" s="3">
        <v>0.10738283042429544</v>
      </c>
    </row>
    <row r="45" spans="1:38" x14ac:dyDescent="0.35">
      <c r="A45" s="7">
        <v>43101</v>
      </c>
      <c r="B45" s="7">
        <v>43190</v>
      </c>
      <c r="C45" s="7" t="s">
        <v>219</v>
      </c>
      <c r="D45" t="s">
        <v>214</v>
      </c>
      <c r="E45" s="4" t="s">
        <v>64</v>
      </c>
      <c r="F45" s="3">
        <v>2.5955504628306671E-2</v>
      </c>
      <c r="G45" s="3">
        <v>2.5444481773370751E-2</v>
      </c>
      <c r="H45" s="3">
        <v>2.8850626606074733E-2</v>
      </c>
      <c r="I45" s="3">
        <v>2.6968925101185339E-2</v>
      </c>
      <c r="J45" s="3">
        <v>3.0133283155749986E-2</v>
      </c>
      <c r="K45" s="3">
        <v>3.0223062002444338E-2</v>
      </c>
      <c r="L45" s="3">
        <v>3.1934115932132967E-2</v>
      </c>
      <c r="M45" s="3">
        <v>3.1280819977680507E-2</v>
      </c>
      <c r="N45" s="3">
        <v>3.5450059642861693E-2</v>
      </c>
      <c r="O45" s="3">
        <v>3.1642785468758393E-2</v>
      </c>
      <c r="P45" s="3">
        <v>3.8118841964526536E-2</v>
      </c>
      <c r="Q45" s="3">
        <v>3.2979868013520541E-2</v>
      </c>
      <c r="R45" s="3">
        <v>4.0439336595061631E-2</v>
      </c>
      <c r="S45" s="3">
        <v>3.5073364823084353E-2</v>
      </c>
      <c r="T45" s="3">
        <v>4.18816179777355E-2</v>
      </c>
      <c r="U45" s="3">
        <v>3.7738906253639445E-2</v>
      </c>
      <c r="V45" s="3">
        <v>4.4018330733574293E-2</v>
      </c>
      <c r="W45" s="3">
        <v>3.892466822714076E-2</v>
      </c>
      <c r="X45" s="3">
        <v>4.717329250434478E-2</v>
      </c>
      <c r="Y45" s="3">
        <v>4.1464646138943566E-2</v>
      </c>
      <c r="Z45" s="3">
        <v>5.0663966833701071E-2</v>
      </c>
      <c r="AA45" s="3">
        <v>5.1893391600233457E-2</v>
      </c>
      <c r="AB45" s="3">
        <v>5.7139843977245197E-2</v>
      </c>
      <c r="AC45" s="3">
        <v>6.0548496431847794E-2</v>
      </c>
      <c r="AD45" s="3">
        <v>6.2929948312430664E-2</v>
      </c>
      <c r="AE45" s="3">
        <v>7.0537761203292318E-2</v>
      </c>
      <c r="AF45" s="3">
        <v>7.3498060155195499E-2</v>
      </c>
      <c r="AG45" s="3">
        <v>7.2743308851667146E-2</v>
      </c>
      <c r="AH45" s="3">
        <v>8.6159836721572541E-2</v>
      </c>
      <c r="AI45" s="3">
        <v>7.5836736383455006E-2</v>
      </c>
      <c r="AJ45" s="3">
        <v>0.10711874012266376</v>
      </c>
      <c r="AK45" s="3">
        <v>0.1408205734558888</v>
      </c>
      <c r="AL45" s="3">
        <v>0.10828480850509567</v>
      </c>
    </row>
    <row r="46" spans="1:38" x14ac:dyDescent="0.35">
      <c r="A46" s="7">
        <v>43101</v>
      </c>
      <c r="B46" s="7">
        <v>43190</v>
      </c>
      <c r="C46" s="7" t="s">
        <v>219</v>
      </c>
      <c r="D46" t="s">
        <v>214</v>
      </c>
      <c r="E46" s="4">
        <v>2</v>
      </c>
      <c r="F46" s="3">
        <v>2.6897021899625215E-2</v>
      </c>
      <c r="G46" s="3">
        <v>2.6368915274916437E-2</v>
      </c>
      <c r="H46" s="3">
        <v>2.9848451892030357E-2</v>
      </c>
      <c r="I46" s="3">
        <v>2.7955691162124076E-2</v>
      </c>
      <c r="J46" s="3">
        <v>3.1060131064313004E-2</v>
      </c>
      <c r="K46" s="3">
        <v>3.1198106227038336E-2</v>
      </c>
      <c r="L46" s="3">
        <v>3.2845044629501122E-2</v>
      </c>
      <c r="M46" s="3">
        <v>3.2234643248477843E-2</v>
      </c>
      <c r="N46" s="3">
        <v>3.638232419933108E-2</v>
      </c>
      <c r="O46" s="3">
        <v>3.2594684077558833E-2</v>
      </c>
      <c r="P46" s="3">
        <v>3.9040547019358746E-2</v>
      </c>
      <c r="Q46" s="3">
        <v>3.3919219200209516E-2</v>
      </c>
      <c r="R46" s="3">
        <v>4.1371166603959772E-2</v>
      </c>
      <c r="S46" s="3">
        <v>3.6041012010300827E-2</v>
      </c>
      <c r="T46" s="3">
        <v>4.2831479692354041E-2</v>
      </c>
      <c r="U46" s="3">
        <v>3.8687198648127537E-2</v>
      </c>
      <c r="V46" s="3">
        <v>4.4993338675699428E-2</v>
      </c>
      <c r="W46" s="3">
        <v>3.9890880083179661E-2</v>
      </c>
      <c r="X46" s="3">
        <v>4.8140754596639787E-2</v>
      </c>
      <c r="Y46" s="3">
        <v>4.2458963417643242E-2</v>
      </c>
      <c r="Z46" s="3">
        <v>5.1599887843882988E-2</v>
      </c>
      <c r="AA46" s="3">
        <v>5.286719807845551E-2</v>
      </c>
      <c r="AB46" s="3">
        <v>5.8078492929563477E-2</v>
      </c>
      <c r="AC46" s="3">
        <v>6.1451398081860634E-2</v>
      </c>
      <c r="AD46" s="3">
        <v>6.384576144832034E-2</v>
      </c>
      <c r="AE46" s="3">
        <v>7.144267502963543E-2</v>
      </c>
      <c r="AF46" s="3">
        <v>7.4471262341356134E-2</v>
      </c>
      <c r="AG46" s="3">
        <v>7.3721406261892219E-2</v>
      </c>
      <c r="AH46" s="3">
        <v>8.7088969605302602E-2</v>
      </c>
      <c r="AI46" s="3">
        <v>7.6827014311840927E-2</v>
      </c>
      <c r="AJ46" s="3">
        <v>0.10805082647783992</v>
      </c>
      <c r="AK46" s="3">
        <v>0.14176338686442322</v>
      </c>
      <c r="AL46" s="3">
        <v>0.10918762445336724</v>
      </c>
    </row>
    <row r="47" spans="1:38" x14ac:dyDescent="0.35">
      <c r="A47" s="7">
        <v>43101</v>
      </c>
      <c r="B47" s="7">
        <v>43190</v>
      </c>
      <c r="C47" s="7" t="s">
        <v>219</v>
      </c>
      <c r="D47" t="s">
        <v>214</v>
      </c>
      <c r="E47" s="4" t="s">
        <v>65</v>
      </c>
      <c r="F47" s="3">
        <v>2.7892588043602628E-2</v>
      </c>
      <c r="G47" s="3">
        <v>2.7329308788466757E-2</v>
      </c>
      <c r="H47" s="3">
        <v>3.0819656371274408E-2</v>
      </c>
      <c r="I47" s="3">
        <v>2.8893208213903409E-2</v>
      </c>
      <c r="J47" s="3">
        <v>3.2013264636733277E-2</v>
      </c>
      <c r="K47" s="3">
        <v>3.2135830795126871E-2</v>
      </c>
      <c r="L47" s="3">
        <v>3.3774662475232566E-2</v>
      </c>
      <c r="M47" s="3">
        <v>3.3179747392975009E-2</v>
      </c>
      <c r="N47" s="3">
        <v>3.7293207543458287E-2</v>
      </c>
      <c r="O47" s="3">
        <v>3.3544866915647203E-2</v>
      </c>
      <c r="P47" s="3">
        <v>4.0028482383182129E-2</v>
      </c>
      <c r="Q47" s="3">
        <v>3.4902780731733959E-2</v>
      </c>
      <c r="R47" s="3">
        <v>4.2290724980076223E-2</v>
      </c>
      <c r="S47" s="3">
        <v>3.6959929011024781E-2</v>
      </c>
      <c r="T47" s="3">
        <v>4.374441799494759E-2</v>
      </c>
      <c r="U47" s="3">
        <v>3.9652317576269622E-2</v>
      </c>
      <c r="V47" s="3">
        <v>4.5913480248590571E-2</v>
      </c>
      <c r="W47" s="3">
        <v>4.085025179167466E-2</v>
      </c>
      <c r="X47" s="3">
        <v>4.9122262773781386E-2</v>
      </c>
      <c r="Y47" s="3">
        <v>4.3373228437165706E-2</v>
      </c>
      <c r="Z47" s="3">
        <v>5.2590145397651653E-2</v>
      </c>
      <c r="AA47" s="3">
        <v>5.3820686831295171E-2</v>
      </c>
      <c r="AB47" s="3">
        <v>5.9042504808221867E-2</v>
      </c>
      <c r="AC47" s="3">
        <v>6.2366638261812719E-2</v>
      </c>
      <c r="AD47" s="3">
        <v>6.4762272908770124E-2</v>
      </c>
      <c r="AE47" s="3">
        <v>7.2423160064546077E-2</v>
      </c>
      <c r="AF47" s="3">
        <v>7.5429679229339922E-2</v>
      </c>
      <c r="AG47" s="3">
        <v>7.4661021251319487E-2</v>
      </c>
      <c r="AH47" s="3">
        <v>8.8006290793609943E-2</v>
      </c>
      <c r="AI47" s="3">
        <v>7.7762463089604772E-2</v>
      </c>
      <c r="AJ47" s="3">
        <v>0.10899967860014292</v>
      </c>
      <c r="AK47" s="3">
        <v>0.1426933785039842</v>
      </c>
      <c r="AL47" s="3">
        <v>0.11017059404382648</v>
      </c>
    </row>
    <row r="48" spans="1:38" x14ac:dyDescent="0.35">
      <c r="A48" s="7">
        <v>43101</v>
      </c>
      <c r="B48" s="7">
        <v>43190</v>
      </c>
      <c r="C48" s="7" t="s">
        <v>219</v>
      </c>
      <c r="D48" t="s">
        <v>214</v>
      </c>
      <c r="E48" s="4" t="s">
        <v>66</v>
      </c>
      <c r="F48" s="3">
        <v>2.8816431623965195E-2</v>
      </c>
      <c r="G48" s="3">
        <v>2.8279758919457922E-2</v>
      </c>
      <c r="H48" s="3">
        <v>3.1808105309173162E-2</v>
      </c>
      <c r="I48" s="3">
        <v>2.9867113852875982E-2</v>
      </c>
      <c r="J48" s="3">
        <v>3.2985287884005621E-2</v>
      </c>
      <c r="K48" s="3">
        <v>3.3083926756475458E-2</v>
      </c>
      <c r="L48" s="3">
        <v>3.4760408681570015E-2</v>
      </c>
      <c r="M48" s="3">
        <v>3.4139345117331521E-2</v>
      </c>
      <c r="N48" s="3">
        <v>3.8274630476066412E-2</v>
      </c>
      <c r="O48" s="3">
        <v>3.4495680412953485E-2</v>
      </c>
      <c r="P48" s="3">
        <v>4.0990447680038122E-2</v>
      </c>
      <c r="Q48" s="3">
        <v>3.5867473360407805E-2</v>
      </c>
      <c r="R48" s="3">
        <v>4.3253792917843314E-2</v>
      </c>
      <c r="S48" s="3">
        <v>3.7932087503310355E-2</v>
      </c>
      <c r="T48" s="3">
        <v>4.4668036280152659E-2</v>
      </c>
      <c r="U48" s="3">
        <v>4.0594488698087419E-2</v>
      </c>
      <c r="V48" s="3">
        <v>4.6858979945907139E-2</v>
      </c>
      <c r="W48" s="3">
        <v>4.184196346279144E-2</v>
      </c>
      <c r="X48" s="3">
        <v>5.0025110373458442E-2</v>
      </c>
      <c r="Y48" s="3">
        <v>4.4349523078769729E-2</v>
      </c>
      <c r="Z48" s="3">
        <v>5.3543861718213043E-2</v>
      </c>
      <c r="AA48" s="3">
        <v>5.4733705693309473E-2</v>
      </c>
      <c r="AB48" s="3">
        <v>5.9989763352759906E-2</v>
      </c>
      <c r="AC48" s="3">
        <v>6.3327036642431694E-2</v>
      </c>
      <c r="AD48" s="3">
        <v>6.5690749612420912E-2</v>
      </c>
      <c r="AE48" s="3">
        <v>7.3419860058073882E-2</v>
      </c>
      <c r="AF48" s="3">
        <v>7.6365926051764177E-2</v>
      </c>
      <c r="AG48" s="3">
        <v>7.5587901413566957E-2</v>
      </c>
      <c r="AH48" s="3">
        <v>8.8992861093754622E-2</v>
      </c>
      <c r="AI48" s="3">
        <v>7.8738964897950098E-2</v>
      </c>
      <c r="AJ48" s="3">
        <v>0.10992708483544281</v>
      </c>
      <c r="AK48" s="3">
        <v>0.14369048553650632</v>
      </c>
      <c r="AL48" s="3">
        <v>0.11108402769059558</v>
      </c>
    </row>
    <row r="49" spans="1:38" x14ac:dyDescent="0.35">
      <c r="A49" s="7">
        <v>43101</v>
      </c>
      <c r="B49" s="7">
        <v>43190</v>
      </c>
      <c r="C49" s="7" t="s">
        <v>219</v>
      </c>
      <c r="D49" t="s">
        <v>214</v>
      </c>
      <c r="E49" s="4">
        <v>3</v>
      </c>
      <c r="F49" s="3">
        <v>2.9809313229369593E-2</v>
      </c>
      <c r="G49" s="3">
        <v>2.9205970811349711E-2</v>
      </c>
      <c r="H49" s="3">
        <v>3.2799404111945873E-2</v>
      </c>
      <c r="I49" s="3">
        <v>3.0780618839001902E-2</v>
      </c>
      <c r="J49" s="3">
        <v>3.3927313185709303E-2</v>
      </c>
      <c r="K49" s="3">
        <v>3.4058551719849631E-2</v>
      </c>
      <c r="L49" s="3">
        <v>3.5707387777530492E-2</v>
      </c>
      <c r="M49" s="3">
        <v>3.5118831932959116E-2</v>
      </c>
      <c r="N49" s="3">
        <v>3.9197139208795251E-2</v>
      </c>
      <c r="O49" s="3">
        <v>3.547917077439474E-2</v>
      </c>
      <c r="P49" s="3">
        <v>4.1981297683726243E-2</v>
      </c>
      <c r="Q49" s="3">
        <v>3.6781588451177516E-2</v>
      </c>
      <c r="R49" s="3">
        <v>4.41922687927385E-2</v>
      </c>
      <c r="S49" s="3">
        <v>3.8930679296247286E-2</v>
      </c>
      <c r="T49" s="3">
        <v>4.5601194914300654E-2</v>
      </c>
      <c r="U49" s="3">
        <v>4.1497633796527711E-2</v>
      </c>
      <c r="V49" s="3">
        <v>4.7767134065234196E-2</v>
      </c>
      <c r="W49" s="3">
        <v>4.2762297852789871E-2</v>
      </c>
      <c r="X49" s="3">
        <v>5.0956300324280598E-2</v>
      </c>
      <c r="Y49" s="3">
        <v>4.529224629278198E-2</v>
      </c>
      <c r="Z49" s="3">
        <v>5.4504517540770236E-2</v>
      </c>
      <c r="AA49" s="3">
        <v>5.573032040789113E-2</v>
      </c>
      <c r="AB49" s="3">
        <v>6.0903407085099337E-2</v>
      </c>
      <c r="AC49" s="3">
        <v>6.4289714971796502E-2</v>
      </c>
      <c r="AD49" s="3">
        <v>6.6671491768077573E-2</v>
      </c>
      <c r="AE49" s="3">
        <v>7.4325299562678429E-2</v>
      </c>
      <c r="AF49" s="3">
        <v>7.7270462377958912E-2</v>
      </c>
      <c r="AG49" s="3">
        <v>7.6507018551669831E-2</v>
      </c>
      <c r="AH49" s="3">
        <v>8.9920201824883389E-2</v>
      </c>
      <c r="AI49" s="3">
        <v>7.9656346334527173E-2</v>
      </c>
      <c r="AJ49" s="3">
        <v>0.11083415501933933</v>
      </c>
      <c r="AK49" s="3">
        <v>0.14463667660339871</v>
      </c>
      <c r="AL49" s="3">
        <v>0.11198752626621516</v>
      </c>
    </row>
    <row r="50" spans="1:38" x14ac:dyDescent="0.35">
      <c r="A50" s="7">
        <v>43101</v>
      </c>
      <c r="B50" s="7">
        <v>43190</v>
      </c>
      <c r="C50" s="7" t="s">
        <v>219</v>
      </c>
      <c r="D50" t="s">
        <v>214</v>
      </c>
      <c r="E50" s="4" t="s">
        <v>67</v>
      </c>
      <c r="F50" s="3">
        <v>3.0758338673687734E-2</v>
      </c>
      <c r="G50" s="3">
        <v>3.0114066860379218E-2</v>
      </c>
      <c r="H50" s="3">
        <v>3.3734961535117333E-2</v>
      </c>
      <c r="I50" s="3">
        <v>3.1716483633118978E-2</v>
      </c>
      <c r="J50" s="3">
        <v>3.4846367426793312E-2</v>
      </c>
      <c r="K50" s="3">
        <v>3.5010486371479271E-2</v>
      </c>
      <c r="L50" s="3">
        <v>3.6665024302281878E-2</v>
      </c>
      <c r="M50" s="3">
        <v>3.6085829953676568E-2</v>
      </c>
      <c r="N50" s="3">
        <v>4.0100322924584063E-2</v>
      </c>
      <c r="O50" s="3">
        <v>3.6446438544002563E-2</v>
      </c>
      <c r="P50" s="3">
        <v>4.2887358319701072E-2</v>
      </c>
      <c r="Q50" s="3">
        <v>3.7705992518516543E-2</v>
      </c>
      <c r="R50" s="3">
        <v>4.5104972754014865E-2</v>
      </c>
      <c r="S50" s="3">
        <v>3.9890796136354191E-2</v>
      </c>
      <c r="T50" s="3">
        <v>4.6517306360080141E-2</v>
      </c>
      <c r="U50" s="3">
        <v>4.2481023873773616E-2</v>
      </c>
      <c r="V50" s="3">
        <v>4.8733842563750844E-2</v>
      </c>
      <c r="W50" s="3">
        <v>4.3669938527937061E-2</v>
      </c>
      <c r="X50" s="3">
        <v>5.1875780282546469E-2</v>
      </c>
      <c r="Y50" s="3">
        <v>4.6260285664062858E-2</v>
      </c>
      <c r="Z50" s="3">
        <v>5.5447037965201673E-2</v>
      </c>
      <c r="AA50" s="3">
        <v>5.6681929848966049E-2</v>
      </c>
      <c r="AB50" s="3">
        <v>6.1820791014653327E-2</v>
      </c>
      <c r="AC50" s="3">
        <v>6.5225848263291697E-2</v>
      </c>
      <c r="AD50" s="3">
        <v>6.7575165230735007E-2</v>
      </c>
      <c r="AE50" s="3">
        <v>7.5305686528439109E-2</v>
      </c>
      <c r="AF50" s="3">
        <v>7.8233725413743876E-2</v>
      </c>
      <c r="AG50" s="3">
        <v>7.7482815954358519E-2</v>
      </c>
      <c r="AH50" s="3">
        <v>9.0849924185783415E-2</v>
      </c>
      <c r="AI50" s="3">
        <v>8.0643603818231324E-2</v>
      </c>
      <c r="AJ50" s="3">
        <v>0.11179284637867448</v>
      </c>
      <c r="AK50" s="3">
        <v>0.14563408093916622</v>
      </c>
      <c r="AL50" s="3">
        <v>0.11295296391268561</v>
      </c>
    </row>
    <row r="51" spans="1:38" x14ac:dyDescent="0.35">
      <c r="A51" s="7">
        <v>43101</v>
      </c>
      <c r="B51" s="7">
        <v>43190</v>
      </c>
      <c r="C51" s="7" t="s">
        <v>219</v>
      </c>
      <c r="D51" t="s">
        <v>214</v>
      </c>
      <c r="E51" s="4" t="s">
        <v>68</v>
      </c>
      <c r="F51" s="3">
        <v>3.1739197622021778E-2</v>
      </c>
      <c r="G51" s="3">
        <v>3.1040112383998873E-2</v>
      </c>
      <c r="H51" s="3">
        <v>3.464224126117621E-2</v>
      </c>
      <c r="I51" s="3">
        <v>3.2708017045777728E-2</v>
      </c>
      <c r="J51" s="3">
        <v>3.5757571708418506E-2</v>
      </c>
      <c r="K51" s="3">
        <v>3.5966037413180704E-2</v>
      </c>
      <c r="L51" s="3">
        <v>3.7653307044733311E-2</v>
      </c>
      <c r="M51" s="3">
        <v>3.7027658446906205E-2</v>
      </c>
      <c r="N51" s="3">
        <v>4.1007721087298887E-2</v>
      </c>
      <c r="O51" s="3">
        <v>3.7405401536441368E-2</v>
      </c>
      <c r="P51" s="3">
        <v>4.3876462331655486E-2</v>
      </c>
      <c r="Q51" s="3">
        <v>3.8671343263786906E-2</v>
      </c>
      <c r="R51" s="3">
        <v>4.6034383018163427E-2</v>
      </c>
      <c r="S51" s="3">
        <v>4.0820873196983937E-2</v>
      </c>
      <c r="T51" s="3">
        <v>4.7433727451292762E-2</v>
      </c>
      <c r="U51" s="3">
        <v>4.3477800013649863E-2</v>
      </c>
      <c r="V51" s="3">
        <v>4.9709102113335693E-2</v>
      </c>
      <c r="W51" s="3">
        <v>4.4657989214654484E-2</v>
      </c>
      <c r="X51" s="3">
        <v>5.280126794578896E-2</v>
      </c>
      <c r="Y51" s="3">
        <v>4.7207699194427799E-2</v>
      </c>
      <c r="Z51" s="3">
        <v>5.6390312450374541E-2</v>
      </c>
      <c r="AA51" s="3">
        <v>5.765309053550835E-2</v>
      </c>
      <c r="AB51" s="3">
        <v>6.2781201174315113E-2</v>
      </c>
      <c r="AC51" s="3">
        <v>6.6188469893734447E-2</v>
      </c>
      <c r="AD51" s="3">
        <v>6.8480376542508603E-2</v>
      </c>
      <c r="AE51" s="3">
        <v>7.6223518133722273E-2</v>
      </c>
      <c r="AF51" s="3">
        <v>7.9186289388047004E-2</v>
      </c>
      <c r="AG51" s="3">
        <v>7.8406298040132633E-2</v>
      </c>
      <c r="AH51" s="3">
        <v>9.1754335980998136E-2</v>
      </c>
      <c r="AI51" s="3">
        <v>8.1604606311731984E-2</v>
      </c>
      <c r="AJ51" s="3">
        <v>0.11277346034366117</v>
      </c>
      <c r="AK51" s="3">
        <v>0.146582909636502</v>
      </c>
      <c r="AL51" s="3">
        <v>0.11390085140852593</v>
      </c>
    </row>
    <row r="52" spans="1:38" x14ac:dyDescent="0.35">
      <c r="A52" s="7">
        <v>43101</v>
      </c>
      <c r="B52" s="7">
        <v>43190</v>
      </c>
      <c r="C52" s="7" t="s">
        <v>219</v>
      </c>
      <c r="D52" t="s">
        <v>214</v>
      </c>
      <c r="E52" s="4">
        <v>4</v>
      </c>
      <c r="F52" s="3">
        <v>3.268711185276512E-2</v>
      </c>
      <c r="G52" s="3">
        <v>3.1955135834473625E-2</v>
      </c>
      <c r="H52" s="3">
        <v>3.5574657158047515E-2</v>
      </c>
      <c r="I52" s="3">
        <v>3.364948859593711E-2</v>
      </c>
      <c r="J52" s="3">
        <v>3.6728649950114239E-2</v>
      </c>
      <c r="K52" s="3">
        <v>3.6933984380575963E-2</v>
      </c>
      <c r="L52" s="3">
        <v>3.8600776368188247E-2</v>
      </c>
      <c r="M52" s="3">
        <v>3.7930131542778522E-2</v>
      </c>
      <c r="N52" s="3">
        <v>4.1946966069131612E-2</v>
      </c>
      <c r="O52" s="3">
        <v>3.8338873967426634E-2</v>
      </c>
      <c r="P52" s="3">
        <v>4.4856967046642347E-2</v>
      </c>
      <c r="Q52" s="3">
        <v>3.9664872848888505E-2</v>
      </c>
      <c r="R52" s="3">
        <v>4.6977525764767103E-2</v>
      </c>
      <c r="S52" s="3">
        <v>4.1791025093767295E-2</v>
      </c>
      <c r="T52" s="3">
        <v>4.8378022305578264E-2</v>
      </c>
      <c r="U52" s="3">
        <v>4.4468649631014295E-2</v>
      </c>
      <c r="V52" s="3">
        <v>5.0666048141618875E-2</v>
      </c>
      <c r="W52" s="3">
        <v>4.5580033371126337E-2</v>
      </c>
      <c r="X52" s="3">
        <v>5.3741895793428758E-2</v>
      </c>
      <c r="Y52" s="3">
        <v>4.8140618258473628E-2</v>
      </c>
      <c r="Z52" s="3">
        <v>5.7390188726632124E-2</v>
      </c>
      <c r="AA52" s="3">
        <v>5.8575139555686148E-2</v>
      </c>
      <c r="AB52" s="3">
        <v>6.3705172164359752E-2</v>
      </c>
      <c r="AC52" s="3">
        <v>6.7171971954915602E-2</v>
      </c>
      <c r="AD52" s="3">
        <v>6.9385210637260109E-2</v>
      </c>
      <c r="AE52" s="3">
        <v>7.7193441864314982E-2</v>
      </c>
      <c r="AF52" s="3">
        <v>8.0117816364555242E-2</v>
      </c>
      <c r="AG52" s="3">
        <v>7.9348939251239009E-2</v>
      </c>
      <c r="AH52" s="3">
        <v>9.2749052053499315E-2</v>
      </c>
      <c r="AI52" s="3">
        <v>8.2571938732369371E-2</v>
      </c>
      <c r="AJ52" s="3">
        <v>0.11371542279930774</v>
      </c>
      <c r="AK52" s="3">
        <v>0.14756655400287086</v>
      </c>
      <c r="AL52" s="3">
        <v>0.11481786190012677</v>
      </c>
    </row>
    <row r="53" spans="1:38" x14ac:dyDescent="0.35">
      <c r="A53" s="7">
        <v>43101</v>
      </c>
      <c r="B53" s="7">
        <v>43190</v>
      </c>
      <c r="C53" s="7" t="s">
        <v>219</v>
      </c>
      <c r="D53" t="s">
        <v>214</v>
      </c>
      <c r="E53" s="4" t="s">
        <v>69</v>
      </c>
      <c r="F53" s="3">
        <v>3.3663340664242071E-2</v>
      </c>
      <c r="G53" s="3">
        <v>3.2856784187710132E-2</v>
      </c>
      <c r="H53" s="3">
        <v>3.6516670482588144E-2</v>
      </c>
      <c r="I53" s="3">
        <v>3.4613877354440145E-2</v>
      </c>
      <c r="J53" s="3">
        <v>3.7665005216227523E-2</v>
      </c>
      <c r="K53" s="3">
        <v>3.7896986844783431E-2</v>
      </c>
      <c r="L53" s="3">
        <v>3.9517567647322296E-2</v>
      </c>
      <c r="M53" s="3">
        <v>3.8913898212994444E-2</v>
      </c>
      <c r="N53" s="3">
        <v>4.2902640946801171E-2</v>
      </c>
      <c r="O53" s="3">
        <v>3.9285534809126985E-2</v>
      </c>
      <c r="P53" s="3">
        <v>4.5782291759152265E-2</v>
      </c>
      <c r="Q53" s="3">
        <v>4.0628695589264144E-2</v>
      </c>
      <c r="R53" s="3">
        <v>4.7914459651524841E-2</v>
      </c>
      <c r="S53" s="3">
        <v>4.2763060110870457E-2</v>
      </c>
      <c r="T53" s="3">
        <v>4.9316843693128623E-2</v>
      </c>
      <c r="U53" s="3">
        <v>4.5445309033417466E-2</v>
      </c>
      <c r="V53" s="3">
        <v>5.1583538133656126E-2</v>
      </c>
      <c r="W53" s="3">
        <v>4.6500495259273383E-2</v>
      </c>
      <c r="X53" s="3">
        <v>5.4730557773519359E-2</v>
      </c>
      <c r="Y53" s="3">
        <v>4.9049873203161495E-2</v>
      </c>
      <c r="Z53" s="3">
        <v>5.8380516132835014E-2</v>
      </c>
      <c r="AA53" s="3">
        <v>5.9536616039588888E-2</v>
      </c>
      <c r="AB53" s="3">
        <v>6.4674492333929995E-2</v>
      </c>
      <c r="AC53" s="3">
        <v>6.8144902683848124E-2</v>
      </c>
      <c r="AD53" s="3">
        <v>7.0289604606180167E-2</v>
      </c>
      <c r="AE53" s="3">
        <v>7.8180960165628241E-2</v>
      </c>
      <c r="AF53" s="3">
        <v>8.1053919066883001E-2</v>
      </c>
      <c r="AG53" s="3">
        <v>8.0257482062810914E-2</v>
      </c>
      <c r="AH53" s="3">
        <v>9.3699819231343878E-2</v>
      </c>
      <c r="AI53" s="3">
        <v>8.3562776545488701E-2</v>
      </c>
      <c r="AJ53" s="3">
        <v>0.11470780016976628</v>
      </c>
      <c r="AK53" s="3">
        <v>0.14851313615786119</v>
      </c>
      <c r="AL53" s="3">
        <v>0.11573276764506546</v>
      </c>
    </row>
    <row r="54" spans="1:38" x14ac:dyDescent="0.35">
      <c r="A54" s="7">
        <v>43101</v>
      </c>
      <c r="B54" s="7">
        <v>43190</v>
      </c>
      <c r="C54" s="7" t="s">
        <v>219</v>
      </c>
      <c r="D54" t="s">
        <v>214</v>
      </c>
      <c r="E54" s="4" t="s">
        <v>70</v>
      </c>
      <c r="F54" s="3">
        <v>3.4615006950827518E-2</v>
      </c>
      <c r="G54" s="3">
        <v>3.3762917695688954E-2</v>
      </c>
      <c r="H54" s="3">
        <v>3.7502258168549955E-2</v>
      </c>
      <c r="I54" s="3">
        <v>3.5532143139689068E-2</v>
      </c>
      <c r="J54" s="3">
        <v>3.861025300053797E-2</v>
      </c>
      <c r="K54" s="3">
        <v>3.8871243633954569E-2</v>
      </c>
      <c r="L54" s="3">
        <v>4.0506458227018358E-2</v>
      </c>
      <c r="M54" s="3">
        <v>3.9822139340595884E-2</v>
      </c>
      <c r="N54" s="3">
        <v>4.3879240678301117E-2</v>
      </c>
      <c r="O54" s="3">
        <v>4.0241603607676743E-2</v>
      </c>
      <c r="P54" s="3">
        <v>4.6699213581187005E-2</v>
      </c>
      <c r="Q54" s="3">
        <v>4.1624472251490893E-2</v>
      </c>
      <c r="R54" s="3">
        <v>4.8870656963362825E-2</v>
      </c>
      <c r="S54" s="3">
        <v>4.3729596604833866E-2</v>
      </c>
      <c r="T54" s="3">
        <v>5.0228818340475295E-2</v>
      </c>
      <c r="U54" s="3">
        <v>4.6352468210182241E-2</v>
      </c>
      <c r="V54" s="3">
        <v>5.2513458477405225E-2</v>
      </c>
      <c r="W54" s="3">
        <v>4.749646393134789E-2</v>
      </c>
      <c r="X54" s="3">
        <v>5.571025966002905E-2</v>
      </c>
      <c r="Y54" s="3">
        <v>5.0007331566039356E-2</v>
      </c>
      <c r="Z54" s="3">
        <v>5.9298731543727931E-2</v>
      </c>
      <c r="AA54" s="3">
        <v>6.0467788080590161E-2</v>
      </c>
      <c r="AB54" s="3">
        <v>6.5609447758682521E-2</v>
      </c>
      <c r="AC54" s="3">
        <v>6.9068521925419873E-2</v>
      </c>
      <c r="AD54" s="3">
        <v>7.1195598965229256E-2</v>
      </c>
      <c r="AE54" s="3">
        <v>7.9159910045503074E-2</v>
      </c>
      <c r="AF54" s="3">
        <v>8.2012610411531933E-2</v>
      </c>
      <c r="AG54" s="3">
        <v>8.1181077966933218E-2</v>
      </c>
      <c r="AH54" s="3">
        <v>9.4688238977401223E-2</v>
      </c>
      <c r="AI54" s="3">
        <v>8.4478159208486031E-2</v>
      </c>
      <c r="AJ54" s="3">
        <v>0.11561490997768822</v>
      </c>
      <c r="AK54" s="3">
        <v>0.14943690456744629</v>
      </c>
      <c r="AL54" s="3">
        <v>0.11671679418624389</v>
      </c>
    </row>
    <row r="55" spans="1:38" x14ac:dyDescent="0.35">
      <c r="A55" s="7">
        <v>43101</v>
      </c>
      <c r="B55" s="7">
        <v>43190</v>
      </c>
      <c r="C55" s="7" t="s">
        <v>219</v>
      </c>
      <c r="D55" t="s">
        <v>214</v>
      </c>
      <c r="E55" s="4">
        <v>5</v>
      </c>
      <c r="F55" s="3">
        <v>3.5537034616341945E-2</v>
      </c>
      <c r="G55" s="3">
        <v>3.47018714939656E-2</v>
      </c>
      <c r="H55" s="3">
        <v>3.8445141600718852E-2</v>
      </c>
      <c r="I55" s="3">
        <v>3.6501354570931677E-2</v>
      </c>
      <c r="J55" s="3">
        <v>3.9587162076532109E-2</v>
      </c>
      <c r="K55" s="3">
        <v>3.9857435763598306E-2</v>
      </c>
      <c r="L55" s="3">
        <v>4.143041103271039E-2</v>
      </c>
      <c r="M55" s="3">
        <v>4.0758382469180052E-2</v>
      </c>
      <c r="N55" s="3">
        <v>4.4798630295579261E-2</v>
      </c>
      <c r="O55" s="3">
        <v>4.1204003559376604E-2</v>
      </c>
      <c r="P55" s="3">
        <v>4.7607872187442724E-2</v>
      </c>
      <c r="Q55" s="3">
        <v>4.2617434133182266E-2</v>
      </c>
      <c r="R55" s="3">
        <v>4.9787960327398795E-2</v>
      </c>
      <c r="S55" s="3">
        <v>4.4703405383414302E-2</v>
      </c>
      <c r="T55" s="3">
        <v>5.1149752994239302E-2</v>
      </c>
      <c r="U55" s="3">
        <v>4.7294855162885611E-2</v>
      </c>
      <c r="V55" s="3">
        <v>5.3445158938770949E-2</v>
      </c>
      <c r="W55" s="3">
        <v>4.8435172399565143E-2</v>
      </c>
      <c r="X55" s="3">
        <v>5.6687938236702894E-2</v>
      </c>
      <c r="Y55" s="3">
        <v>5.091419119263646E-2</v>
      </c>
      <c r="Z55" s="3">
        <v>6.0274350429703735E-2</v>
      </c>
      <c r="AA55" s="3">
        <v>6.1416623636127196E-2</v>
      </c>
      <c r="AB55" s="3">
        <v>6.6529849427629184E-2</v>
      </c>
      <c r="AC55" s="3">
        <v>7.0045960511612784E-2</v>
      </c>
      <c r="AD55" s="3">
        <v>7.2128988861040549E-2</v>
      </c>
      <c r="AE55" s="3">
        <v>8.0095845061382759E-2</v>
      </c>
      <c r="AF55" s="3">
        <v>8.2952002646676112E-2</v>
      </c>
      <c r="AG55" s="3">
        <v>8.2096016217194395E-2</v>
      </c>
      <c r="AH55" s="3">
        <v>9.5637865264380839E-2</v>
      </c>
      <c r="AI55" s="3">
        <v>8.5439136470290403E-2</v>
      </c>
      <c r="AJ55" s="3">
        <v>0.11655517391392323</v>
      </c>
      <c r="AK55" s="3">
        <v>0.15037465627533181</v>
      </c>
      <c r="AL55" s="3">
        <v>0.11763023727481434</v>
      </c>
    </row>
    <row r="56" spans="1:38" x14ac:dyDescent="0.35">
      <c r="A56" s="7">
        <v>43101</v>
      </c>
      <c r="B56" s="7">
        <v>43190</v>
      </c>
      <c r="C56" s="7" t="s">
        <v>219</v>
      </c>
      <c r="D56" t="s">
        <v>214</v>
      </c>
      <c r="E56" s="4" t="s">
        <v>71</v>
      </c>
      <c r="F56" s="3">
        <v>3.6452247532993511E-2</v>
      </c>
      <c r="G56" s="3">
        <v>3.565442674980715E-2</v>
      </c>
      <c r="H56" s="3">
        <v>3.9363432166752955E-2</v>
      </c>
      <c r="I56" s="3">
        <v>3.7483817499054613E-2</v>
      </c>
      <c r="J56" s="3">
        <v>4.0515522119146913E-2</v>
      </c>
      <c r="K56" s="3">
        <v>4.0823752741559957E-2</v>
      </c>
      <c r="L56" s="3">
        <v>4.2378703526991808E-2</v>
      </c>
      <c r="M56" s="3">
        <v>4.1729505019661453E-2</v>
      </c>
      <c r="N56" s="3">
        <v>4.5743765763705466E-2</v>
      </c>
      <c r="O56" s="3">
        <v>4.2147549646481916E-2</v>
      </c>
      <c r="P56" s="3">
        <v>4.8550369849464023E-2</v>
      </c>
      <c r="Q56" s="3">
        <v>4.3553807159928723E-2</v>
      </c>
      <c r="R56" s="3">
        <v>5.0760856877947638E-2</v>
      </c>
      <c r="S56" s="3">
        <v>4.5632661459234697E-2</v>
      </c>
      <c r="T56" s="3">
        <v>5.214608545157446E-2</v>
      </c>
      <c r="U56" s="3">
        <v>4.8256183992917527E-2</v>
      </c>
      <c r="V56" s="3">
        <v>5.4377722287246612E-2</v>
      </c>
      <c r="W56" s="3">
        <v>4.9363475537645862E-2</v>
      </c>
      <c r="X56" s="3">
        <v>5.7639852635564363E-2</v>
      </c>
      <c r="Y56" s="3">
        <v>5.1890286602368899E-2</v>
      </c>
      <c r="Z56" s="3">
        <v>6.1238787352116499E-2</v>
      </c>
      <c r="AA56" s="3">
        <v>6.2342734437073867E-2</v>
      </c>
      <c r="AB56" s="3">
        <v>6.7497644430090958E-2</v>
      </c>
      <c r="AC56" s="3">
        <v>7.0991828499182508E-2</v>
      </c>
      <c r="AD56" s="3">
        <v>7.3106986994260964E-2</v>
      </c>
      <c r="AE56" s="3">
        <v>8.0996109513219117E-2</v>
      </c>
      <c r="AF56" s="3">
        <v>8.394434711940485E-2</v>
      </c>
      <c r="AG56" s="3">
        <v>8.3024576265395139E-2</v>
      </c>
      <c r="AH56" s="3">
        <v>9.6586131170948858E-2</v>
      </c>
      <c r="AI56" s="3">
        <v>8.6356007964590059E-2</v>
      </c>
      <c r="AJ56" s="3">
        <v>0.11749176413878909</v>
      </c>
      <c r="AK56" s="3">
        <v>0.15133627909692013</v>
      </c>
      <c r="AL56" s="3">
        <v>0.11862032111917292</v>
      </c>
    </row>
    <row r="57" spans="1:38" x14ac:dyDescent="0.35">
      <c r="A57" s="7">
        <v>43101</v>
      </c>
      <c r="B57" s="7">
        <v>43190</v>
      </c>
      <c r="C57" s="7" t="s">
        <v>219</v>
      </c>
      <c r="D57" t="s">
        <v>214</v>
      </c>
      <c r="E57" s="4" t="s">
        <v>72</v>
      </c>
      <c r="F57" s="3">
        <v>3.745004467152295E-2</v>
      </c>
      <c r="G57" s="3">
        <v>3.6597382233771229E-2</v>
      </c>
      <c r="H57" s="3">
        <v>4.0342643582357916E-2</v>
      </c>
      <c r="I57" s="3">
        <v>3.8385083984993948E-2</v>
      </c>
      <c r="J57" s="3">
        <v>4.1439457241266825E-2</v>
      </c>
      <c r="K57" s="3">
        <v>4.1751167672111456E-2</v>
      </c>
      <c r="L57" s="3">
        <v>4.330233406602603E-2</v>
      </c>
      <c r="M57" s="3">
        <v>4.265232841206501E-2</v>
      </c>
      <c r="N57" s="3">
        <v>4.6725725299334886E-2</v>
      </c>
      <c r="O57" s="3">
        <v>4.3140423901663061E-2</v>
      </c>
      <c r="P57" s="3">
        <v>4.9457192690454406E-2</v>
      </c>
      <c r="Q57" s="3">
        <v>4.4480456218301684E-2</v>
      </c>
      <c r="R57" s="3">
        <v>5.1759113026973641E-2</v>
      </c>
      <c r="S57" s="3">
        <v>4.6599621500819394E-2</v>
      </c>
      <c r="T57" s="3">
        <v>5.307939710107179E-2</v>
      </c>
      <c r="U57" s="3">
        <v>4.9217342664606346E-2</v>
      </c>
      <c r="V57" s="3">
        <v>5.5302257703269832E-2</v>
      </c>
      <c r="W57" s="3">
        <v>5.0357885367248681E-2</v>
      </c>
      <c r="X57" s="3">
        <v>5.8636155423697961E-2</v>
      </c>
      <c r="Y57" s="3">
        <v>5.2804233856917432E-2</v>
      </c>
      <c r="Z57" s="3">
        <v>6.2147907091145455E-2</v>
      </c>
      <c r="AA57" s="3">
        <v>6.3309724026127168E-2</v>
      </c>
      <c r="AB57" s="3">
        <v>6.8488798515799476E-2</v>
      </c>
      <c r="AC57" s="3">
        <v>7.1929846198278441E-2</v>
      </c>
      <c r="AD57" s="3">
        <v>7.408860820571106E-2</v>
      </c>
      <c r="AE57" s="3">
        <v>8.1913454609532255E-2</v>
      </c>
      <c r="AF57" s="3">
        <v>8.4888516304205158E-2</v>
      </c>
      <c r="AG57" s="3">
        <v>8.3967069472016528E-2</v>
      </c>
      <c r="AH57" s="3">
        <v>9.7548762409441131E-2</v>
      </c>
      <c r="AI57" s="3">
        <v>8.7265720475586089E-2</v>
      </c>
      <c r="AJ57" s="3">
        <v>0.11842309530034587</v>
      </c>
      <c r="AK57" s="3">
        <v>0.15224715508668146</v>
      </c>
      <c r="AL57" s="3">
        <v>0.11959960676243339</v>
      </c>
    </row>
    <row r="58" spans="1:38" x14ac:dyDescent="0.35">
      <c r="A58" s="7">
        <v>43101</v>
      </c>
      <c r="B58" s="7">
        <v>43190</v>
      </c>
      <c r="C58" s="7" t="s">
        <v>219</v>
      </c>
      <c r="D58" t="s">
        <v>214</v>
      </c>
      <c r="E58" s="4">
        <v>6</v>
      </c>
      <c r="F58" s="3">
        <v>3.8354710843880237E-2</v>
      </c>
      <c r="G58" s="3">
        <v>3.7514300466315889E-2</v>
      </c>
      <c r="H58" s="3">
        <v>4.1340015876603173E-2</v>
      </c>
      <c r="I58" s="3">
        <v>3.9287553075633287E-2</v>
      </c>
      <c r="J58" s="3">
        <v>4.2343677994122683E-2</v>
      </c>
      <c r="K58" s="3">
        <v>4.2711866595613344E-2</v>
      </c>
      <c r="L58" s="3">
        <v>4.4205108654712541E-2</v>
      </c>
      <c r="M58" s="3">
        <v>4.3600622392565028E-2</v>
      </c>
      <c r="N58" s="3">
        <v>4.7686311833625705E-2</v>
      </c>
      <c r="O58" s="3">
        <v>4.4132774067928759E-2</v>
      </c>
      <c r="P58" s="3">
        <v>5.035889928644699E-2</v>
      </c>
      <c r="Q58" s="3">
        <v>4.5464201327189188E-2</v>
      </c>
      <c r="R58" s="3">
        <v>5.2697114376885582E-2</v>
      </c>
      <c r="S58" s="3">
        <v>4.7529621074183445E-2</v>
      </c>
      <c r="T58" s="3">
        <v>5.4015743625293947E-2</v>
      </c>
      <c r="U58" s="3">
        <v>5.0216862234903306E-2</v>
      </c>
      <c r="V58" s="3">
        <v>5.630073576320746E-2</v>
      </c>
      <c r="W58" s="3">
        <v>5.1262787163677034E-2</v>
      </c>
      <c r="X58" s="3">
        <v>5.961369834049085E-2</v>
      </c>
      <c r="Y58" s="3">
        <v>5.3734757929811611E-2</v>
      </c>
      <c r="Z58" s="3">
        <v>6.3087418767790726E-2</v>
      </c>
      <c r="AA58" s="3">
        <v>6.4306843346533055E-2</v>
      </c>
      <c r="AB58" s="3">
        <v>6.9420502837275466E-2</v>
      </c>
      <c r="AC58" s="3">
        <v>7.2884595950778494E-2</v>
      </c>
      <c r="AD58" s="3">
        <v>7.5050407256270185E-2</v>
      </c>
      <c r="AE58" s="3">
        <v>8.2893066680813282E-2</v>
      </c>
      <c r="AF58" s="3">
        <v>8.5864382115662552E-2</v>
      </c>
      <c r="AG58" s="3">
        <v>8.4938529481590475E-2</v>
      </c>
      <c r="AH58" s="3">
        <v>9.8491883015531884E-2</v>
      </c>
      <c r="AI58" s="3">
        <v>8.823462364867285E-2</v>
      </c>
      <c r="AJ58" s="3">
        <v>0.11935782494668729</v>
      </c>
      <c r="AK58" s="3">
        <v>0.1531501469799699</v>
      </c>
      <c r="AL58" s="3">
        <v>0.12055080099179458</v>
      </c>
    </row>
    <row r="59" spans="1:38" x14ac:dyDescent="0.35">
      <c r="A59" s="7">
        <v>43101</v>
      </c>
      <c r="B59" s="7">
        <v>43190</v>
      </c>
      <c r="C59" s="7" t="s">
        <v>219</v>
      </c>
      <c r="D59" t="s">
        <v>214</v>
      </c>
      <c r="E59" s="4" t="s">
        <v>73</v>
      </c>
      <c r="F59" s="3">
        <v>3.9312982379720071E-2</v>
      </c>
      <c r="G59" s="3">
        <v>3.8470863826427656E-2</v>
      </c>
      <c r="H59" s="3">
        <v>4.2272189463267364E-2</v>
      </c>
      <c r="I59" s="3">
        <v>4.0251364017709526E-2</v>
      </c>
      <c r="J59" s="3">
        <v>4.3343484503988228E-2</v>
      </c>
      <c r="K59" s="3">
        <v>4.3691342019618509E-2</v>
      </c>
      <c r="L59" s="3">
        <v>4.5162612339023009E-2</v>
      </c>
      <c r="M59" s="3">
        <v>4.4555545551511262E-2</v>
      </c>
      <c r="N59" s="3">
        <v>4.8618632179344742E-2</v>
      </c>
      <c r="O59" s="3">
        <v>4.5106025837637675E-2</v>
      </c>
      <c r="P59" s="3">
        <v>5.1346096550348663E-2</v>
      </c>
      <c r="Q59" s="3">
        <v>4.6377473187230706E-2</v>
      </c>
      <c r="R59" s="3">
        <v>5.3660540987732847E-2</v>
      </c>
      <c r="S59" s="3">
        <v>4.8450464703823914E-2</v>
      </c>
      <c r="T59" s="3">
        <v>5.4969993380739844E-2</v>
      </c>
      <c r="U59" s="3">
        <v>5.1159888659726593E-2</v>
      </c>
      <c r="V59" s="3">
        <v>5.7258205706464359E-2</v>
      </c>
      <c r="W59" s="3">
        <v>5.224586488733661E-2</v>
      </c>
      <c r="X59" s="3">
        <v>6.0565189098086059E-2</v>
      </c>
      <c r="Y59" s="3">
        <v>5.4693615381737823E-2</v>
      </c>
      <c r="Z59" s="3">
        <v>6.4085669834437115E-2</v>
      </c>
      <c r="AA59" s="3">
        <v>6.5226053950022678E-2</v>
      </c>
      <c r="AB59" s="3">
        <v>7.0387327504087466E-2</v>
      </c>
      <c r="AC59" s="3">
        <v>7.3850499388342872E-2</v>
      </c>
      <c r="AD59" s="3">
        <v>7.5995541721114057E-2</v>
      </c>
      <c r="AE59" s="3">
        <v>8.3813620383519555E-2</v>
      </c>
      <c r="AF59" s="3">
        <v>8.6833211364047286E-2</v>
      </c>
      <c r="AG59" s="3">
        <v>8.5856344163987464E-2</v>
      </c>
      <c r="AH59" s="3">
        <v>9.9407203055284776E-2</v>
      </c>
      <c r="AI59" s="3">
        <v>8.9160503509014361E-2</v>
      </c>
      <c r="AJ59" s="3">
        <v>0.12030359887892328</v>
      </c>
      <c r="AK59" s="3">
        <v>0.15411849031913039</v>
      </c>
      <c r="AL59" s="3">
        <v>0.12146881254756178</v>
      </c>
    </row>
    <row r="60" spans="1:38" x14ac:dyDescent="0.35">
      <c r="A60" s="7">
        <v>43101</v>
      </c>
      <c r="B60" s="7">
        <v>43190</v>
      </c>
      <c r="C60" s="7" t="s">
        <v>219</v>
      </c>
      <c r="D60" t="s">
        <v>214</v>
      </c>
      <c r="E60" s="4" t="s">
        <v>74</v>
      </c>
      <c r="F60" s="3">
        <v>4.0290655936053604E-2</v>
      </c>
      <c r="G60" s="3">
        <v>3.9415482453008577E-2</v>
      </c>
      <c r="H60" s="3">
        <v>4.3192327521774251E-2</v>
      </c>
      <c r="I60" s="3">
        <v>4.1167024517393375E-2</v>
      </c>
      <c r="J60" s="3">
        <v>4.4298200600403265E-2</v>
      </c>
      <c r="K60" s="3">
        <v>4.4669033421348502E-2</v>
      </c>
      <c r="L60" s="3">
        <v>4.6106092157626927E-2</v>
      </c>
      <c r="M60" s="3">
        <v>4.5545130551937471E-2</v>
      </c>
      <c r="N60" s="3">
        <v>4.9578105083387995E-2</v>
      </c>
      <c r="O60" s="3">
        <v>4.6041206075774277E-2</v>
      </c>
      <c r="P60" s="3">
        <v>5.2272222742774849E-2</v>
      </c>
      <c r="Q60" s="3">
        <v>4.7288973979576765E-2</v>
      </c>
      <c r="R60" s="3">
        <v>5.460971396283118E-2</v>
      </c>
      <c r="S60" s="3">
        <v>4.9423367860062087E-2</v>
      </c>
      <c r="T60" s="3">
        <v>5.5900284765182828E-2</v>
      </c>
      <c r="U60" s="3">
        <v>5.2116043510631933E-2</v>
      </c>
      <c r="V60" s="3">
        <v>5.8186005067337315E-2</v>
      </c>
      <c r="W60" s="3">
        <v>5.3200134180994542E-2</v>
      </c>
      <c r="X60" s="3">
        <v>6.1472847689605307E-2</v>
      </c>
      <c r="Y60" s="3">
        <v>5.5598365149331155E-2</v>
      </c>
      <c r="Z60" s="3">
        <v>6.5011640450528096E-2</v>
      </c>
      <c r="AA60" s="3">
        <v>6.6220768312793526E-2</v>
      </c>
      <c r="AB60" s="3">
        <v>7.1295568211983767E-2</v>
      </c>
      <c r="AC60" s="3">
        <v>7.4817523142215125E-2</v>
      </c>
      <c r="AD60" s="3">
        <v>7.6934228027242785E-2</v>
      </c>
      <c r="AE60" s="3">
        <v>8.4742569693424419E-2</v>
      </c>
      <c r="AF60" s="3">
        <v>8.7746419203997561E-2</v>
      </c>
      <c r="AG60" s="3">
        <v>8.6804327105100026E-2</v>
      </c>
      <c r="AH60" s="3">
        <v>0.10040355033089107</v>
      </c>
      <c r="AI60" s="3">
        <v>9.0092727841256104E-2</v>
      </c>
      <c r="AJ60" s="3">
        <v>0.12122033076272837</v>
      </c>
      <c r="AK60" s="3">
        <v>0.15506721062121739</v>
      </c>
      <c r="AL60" s="3">
        <v>0.12242501005957787</v>
      </c>
    </row>
    <row r="61" spans="1:38" x14ac:dyDescent="0.35">
      <c r="A61" s="7">
        <v>43101</v>
      </c>
      <c r="B61" s="7">
        <v>43190</v>
      </c>
      <c r="C61" s="7" t="s">
        <v>219</v>
      </c>
      <c r="D61" t="s">
        <v>214</v>
      </c>
      <c r="E61" s="4">
        <v>7</v>
      </c>
      <c r="F61" s="3">
        <v>4.1278276553716284E-2</v>
      </c>
      <c r="G61" s="3">
        <v>4.0329177705657582E-2</v>
      </c>
      <c r="H61" s="3">
        <v>4.4099318153345834E-2</v>
      </c>
      <c r="I61" s="3">
        <v>4.2083811526251506E-2</v>
      </c>
      <c r="J61" s="3">
        <v>4.5213419842575459E-2</v>
      </c>
      <c r="K61" s="3">
        <v>4.558380085956102E-2</v>
      </c>
      <c r="L61" s="3">
        <v>4.7092812186156276E-2</v>
      </c>
      <c r="M61" s="3">
        <v>4.6540381363158703E-2</v>
      </c>
      <c r="N61" s="3">
        <v>5.0541323345427748E-2</v>
      </c>
      <c r="O61" s="3">
        <v>4.6991421638006951E-2</v>
      </c>
      <c r="P61" s="3">
        <v>5.3236981442763745E-2</v>
      </c>
      <c r="Q61" s="3">
        <v>4.8234541478731421E-2</v>
      </c>
      <c r="R61" s="3">
        <v>5.5559390111168401E-2</v>
      </c>
      <c r="S61" s="3">
        <v>5.0346904198118624E-2</v>
      </c>
      <c r="T61" s="3">
        <v>5.6816080504292425E-2</v>
      </c>
      <c r="U61" s="3">
        <v>5.3027736685895596E-2</v>
      </c>
      <c r="V61" s="3">
        <v>5.9124858987900854E-2</v>
      </c>
      <c r="W61" s="3">
        <v>5.4144763825180409E-2</v>
      </c>
      <c r="X61" s="3">
        <v>6.2388336794213066E-2</v>
      </c>
      <c r="Y61" s="3">
        <v>5.6591257052729681E-2</v>
      </c>
      <c r="Z61" s="3">
        <v>6.5977016347356199E-2</v>
      </c>
      <c r="AA61" s="3">
        <v>6.7209543585266665E-2</v>
      </c>
      <c r="AB61" s="3">
        <v>7.2258125568611831E-2</v>
      </c>
      <c r="AC61" s="3">
        <v>7.5742287354191973E-2</v>
      </c>
      <c r="AD61" s="3">
        <v>7.7887157903794746E-2</v>
      </c>
      <c r="AE61" s="3">
        <v>8.5662762776687496E-2</v>
      </c>
      <c r="AF61" s="3">
        <v>8.8712813964452519E-2</v>
      </c>
      <c r="AG61" s="3">
        <v>8.7782994599508807E-2</v>
      </c>
      <c r="AH61" s="3">
        <v>0.10138231580665266</v>
      </c>
      <c r="AI61" s="3">
        <v>9.1077913935211585E-2</v>
      </c>
      <c r="AJ61" s="3">
        <v>0.12220598351307099</v>
      </c>
      <c r="AK61" s="3">
        <v>0.15597013151438968</v>
      </c>
      <c r="AL61" s="3">
        <v>0.12338501633574686</v>
      </c>
    </row>
    <row r="62" spans="1:38" x14ac:dyDescent="0.35">
      <c r="A62" s="7">
        <v>43101</v>
      </c>
      <c r="B62" s="7">
        <v>43190</v>
      </c>
      <c r="C62" s="7" t="s">
        <v>219</v>
      </c>
      <c r="D62" t="s">
        <v>214</v>
      </c>
      <c r="E62" s="4" t="s">
        <v>75</v>
      </c>
      <c r="F62" s="3">
        <v>4.218248827263521E-2</v>
      </c>
      <c r="G62" s="3">
        <v>4.1301753966505143E-2</v>
      </c>
      <c r="H62" s="3">
        <v>4.502683863923293E-2</v>
      </c>
      <c r="I62" s="3">
        <v>4.306755785212503E-2</v>
      </c>
      <c r="J62" s="3">
        <v>4.6201709327723481E-2</v>
      </c>
      <c r="K62" s="3">
        <v>4.6550622839863748E-2</v>
      </c>
      <c r="L62" s="3">
        <v>4.8066014601750959E-2</v>
      </c>
      <c r="M62" s="3">
        <v>4.7515759061131507E-2</v>
      </c>
      <c r="N62" s="3">
        <v>5.1527017636710616E-2</v>
      </c>
      <c r="O62" s="3">
        <v>4.7956748998221201E-2</v>
      </c>
      <c r="P62" s="3">
        <v>5.4147315452805593E-2</v>
      </c>
      <c r="Q62" s="3">
        <v>4.9200116122030652E-2</v>
      </c>
      <c r="R62" s="3">
        <v>5.6524190394425522E-2</v>
      </c>
      <c r="S62" s="3">
        <v>5.1342902962852918E-2</v>
      </c>
      <c r="T62" s="3">
        <v>5.7756386656798407E-2</v>
      </c>
      <c r="U62" s="3">
        <v>5.4005559472231804E-2</v>
      </c>
      <c r="V62" s="3">
        <v>6.0047358524636864E-2</v>
      </c>
      <c r="W62" s="3">
        <v>5.5140598489951502E-2</v>
      </c>
      <c r="X62" s="3">
        <v>6.3328808699077421E-2</v>
      </c>
      <c r="Y62" s="3">
        <v>5.7560360891625424E-2</v>
      </c>
      <c r="Z62" s="3">
        <v>6.6974746221220002E-2</v>
      </c>
      <c r="AA62" s="3">
        <v>6.8143034001964808E-2</v>
      </c>
      <c r="AB62" s="3">
        <v>7.3196010653543364E-2</v>
      </c>
      <c r="AC62" s="3">
        <v>7.6649617469505105E-2</v>
      </c>
      <c r="AD62" s="3">
        <v>7.8819400436061254E-2</v>
      </c>
      <c r="AE62" s="3">
        <v>8.6639145127280964E-2</v>
      </c>
      <c r="AF62" s="3">
        <v>8.9675499657925511E-2</v>
      </c>
      <c r="AG62" s="3">
        <v>8.8723641932776487E-2</v>
      </c>
      <c r="AH62" s="3">
        <v>0.10231303051295471</v>
      </c>
      <c r="AI62" s="3">
        <v>9.2039773112474743E-2</v>
      </c>
      <c r="AJ62" s="3">
        <v>0.12316032095937948</v>
      </c>
      <c r="AK62" s="3">
        <v>0.15692404775594543</v>
      </c>
      <c r="AL62" s="3">
        <v>0.12432571407201984</v>
      </c>
    </row>
    <row r="63" spans="1:38" x14ac:dyDescent="0.35">
      <c r="A63" s="7">
        <v>43101</v>
      </c>
      <c r="B63" s="7">
        <v>43190</v>
      </c>
      <c r="C63" s="7" t="s">
        <v>219</v>
      </c>
      <c r="D63" t="s">
        <v>216</v>
      </c>
      <c r="E63" s="4">
        <v>1</v>
      </c>
      <c r="F63" s="3">
        <v>2.5987235415080065E-2</v>
      </c>
      <c r="G63" s="3">
        <v>2.5522336342949561E-2</v>
      </c>
      <c r="H63" s="3">
        <v>2.8904631230141239E-2</v>
      </c>
      <c r="I63" s="3">
        <v>2.7059051771753752E-2</v>
      </c>
      <c r="J63" s="3">
        <v>3.0214931408311059E-2</v>
      </c>
      <c r="K63" s="3">
        <v>3.0265446267055657E-2</v>
      </c>
      <c r="L63" s="3">
        <v>3.1982197143763186E-2</v>
      </c>
      <c r="M63" s="3">
        <v>3.137502253914716E-2</v>
      </c>
      <c r="N63" s="3">
        <v>3.5507892750587855E-2</v>
      </c>
      <c r="O63" s="3">
        <v>3.1706515013046777E-2</v>
      </c>
      <c r="P63" s="3">
        <v>3.8154611745470947E-2</v>
      </c>
      <c r="Q63" s="3">
        <v>3.3068234094442879E-2</v>
      </c>
      <c r="R63" s="3">
        <v>4.0456126253836606E-2</v>
      </c>
      <c r="S63" s="3">
        <v>3.5142726163996982E-2</v>
      </c>
      <c r="T63" s="3">
        <v>4.190767406161585E-2</v>
      </c>
      <c r="U63" s="3">
        <v>3.7823319048479055E-2</v>
      </c>
      <c r="V63" s="3">
        <v>4.4047535621602511E-2</v>
      </c>
      <c r="W63" s="3">
        <v>3.8978029939151657E-2</v>
      </c>
      <c r="X63" s="3">
        <v>4.7194112106792328E-2</v>
      </c>
      <c r="Y63" s="3">
        <v>4.154192139861277E-2</v>
      </c>
      <c r="Z63" s="3">
        <v>5.0720350031989596E-2</v>
      </c>
      <c r="AA63" s="3">
        <v>5.1938659601285304E-2</v>
      </c>
      <c r="AB63" s="3">
        <v>5.7220889135458301E-2</v>
      </c>
      <c r="AC63" s="3">
        <v>6.0598276343003583E-2</v>
      </c>
      <c r="AD63" s="3">
        <v>6.2975244868088726E-2</v>
      </c>
      <c r="AE63" s="3">
        <v>7.0630307613935212E-2</v>
      </c>
      <c r="AF63" s="3">
        <v>7.3530260528803765E-2</v>
      </c>
      <c r="AG63" s="3">
        <v>7.2821994417673785E-2</v>
      </c>
      <c r="AH63" s="3">
        <v>8.6201092314036609E-2</v>
      </c>
      <c r="AI63" s="3">
        <v>7.5923580014799819E-2</v>
      </c>
      <c r="AJ63" s="3">
        <v>0.10718899962977327</v>
      </c>
      <c r="AK63" s="3">
        <v>0.14088203667397348</v>
      </c>
      <c r="AL63" s="3">
        <v>0.10838283042429545</v>
      </c>
    </row>
    <row r="64" spans="1:38" x14ac:dyDescent="0.35">
      <c r="A64" s="7">
        <v>43101</v>
      </c>
      <c r="B64" s="7">
        <v>43190</v>
      </c>
      <c r="C64" s="7" t="s">
        <v>219</v>
      </c>
      <c r="D64" t="s">
        <v>216</v>
      </c>
      <c r="E64" s="4" t="s">
        <v>64</v>
      </c>
      <c r="F64" s="3">
        <v>2.6955504628306672E-2</v>
      </c>
      <c r="G64" s="3">
        <v>2.6444481773370748E-2</v>
      </c>
      <c r="H64" s="3">
        <v>2.985062660607473E-2</v>
      </c>
      <c r="I64" s="3">
        <v>2.7968925101185337E-2</v>
      </c>
      <c r="J64" s="3">
        <v>3.1133283155749987E-2</v>
      </c>
      <c r="K64" s="3">
        <v>3.1223062002444339E-2</v>
      </c>
      <c r="L64" s="3">
        <v>3.2934115932132968E-2</v>
      </c>
      <c r="M64" s="3">
        <v>3.2280819977680508E-2</v>
      </c>
      <c r="N64" s="3">
        <v>3.6450059642861694E-2</v>
      </c>
      <c r="O64" s="3">
        <v>3.2642785468758394E-2</v>
      </c>
      <c r="P64" s="3">
        <v>3.9118841964526536E-2</v>
      </c>
      <c r="Q64" s="3">
        <v>3.3979868013520542E-2</v>
      </c>
      <c r="R64" s="3">
        <v>4.1439336595061632E-2</v>
      </c>
      <c r="S64" s="3">
        <v>3.6073364823084354E-2</v>
      </c>
      <c r="T64" s="3">
        <v>4.2881617977735501E-2</v>
      </c>
      <c r="U64" s="3">
        <v>3.8738906253639446E-2</v>
      </c>
      <c r="V64" s="3">
        <v>4.5018330733574294E-2</v>
      </c>
      <c r="W64" s="3">
        <v>3.9924668227140761E-2</v>
      </c>
      <c r="X64" s="3">
        <v>4.8173292504344781E-2</v>
      </c>
      <c r="Y64" s="3">
        <v>4.2464646138943567E-2</v>
      </c>
      <c r="Z64" s="3">
        <v>5.1663966833701072E-2</v>
      </c>
      <c r="AA64" s="3">
        <v>5.2893391600233458E-2</v>
      </c>
      <c r="AB64" s="3">
        <v>5.8139843977245198E-2</v>
      </c>
      <c r="AC64" s="3">
        <v>6.1548496431847795E-2</v>
      </c>
      <c r="AD64" s="3">
        <v>6.3929948312430665E-2</v>
      </c>
      <c r="AE64" s="3">
        <v>7.1537761203292319E-2</v>
      </c>
      <c r="AF64" s="3">
        <v>7.44980601551955E-2</v>
      </c>
      <c r="AG64" s="3">
        <v>7.3743308851667147E-2</v>
      </c>
      <c r="AH64" s="3">
        <v>8.7159836721572542E-2</v>
      </c>
      <c r="AI64" s="3">
        <v>7.6836736383455007E-2</v>
      </c>
      <c r="AJ64" s="3">
        <v>0.10811874012266376</v>
      </c>
      <c r="AK64" s="3">
        <v>0.1418205734558888</v>
      </c>
      <c r="AL64" s="3">
        <v>0.10928480850509567</v>
      </c>
    </row>
    <row r="65" spans="1:38" x14ac:dyDescent="0.35">
      <c r="A65" s="7">
        <v>43101</v>
      </c>
      <c r="B65" s="7">
        <v>43190</v>
      </c>
      <c r="C65" s="7" t="s">
        <v>219</v>
      </c>
      <c r="D65" t="s">
        <v>216</v>
      </c>
      <c r="E65" s="4">
        <v>2</v>
      </c>
      <c r="F65" s="3">
        <v>2.7897021899625216E-2</v>
      </c>
      <c r="G65" s="3">
        <v>2.7368915274916437E-2</v>
      </c>
      <c r="H65" s="3">
        <v>3.0848451892030358E-2</v>
      </c>
      <c r="I65" s="3">
        <v>2.8955691162124077E-2</v>
      </c>
      <c r="J65" s="3">
        <v>3.2060131064313005E-2</v>
      </c>
      <c r="K65" s="3">
        <v>3.2198106227038337E-2</v>
      </c>
      <c r="L65" s="3">
        <v>3.3845044629501123E-2</v>
      </c>
      <c r="M65" s="3">
        <v>3.3234643248477844E-2</v>
      </c>
      <c r="N65" s="3">
        <v>3.7382324199331081E-2</v>
      </c>
      <c r="O65" s="3">
        <v>3.3594684077558834E-2</v>
      </c>
      <c r="P65" s="3">
        <v>4.0040547019358746E-2</v>
      </c>
      <c r="Q65" s="3">
        <v>3.4919219200209517E-2</v>
      </c>
      <c r="R65" s="3">
        <v>4.2371166603959773E-2</v>
      </c>
      <c r="S65" s="3">
        <v>3.7041012010300828E-2</v>
      </c>
      <c r="T65" s="3">
        <v>4.3831479692354042E-2</v>
      </c>
      <c r="U65" s="3">
        <v>3.9687198648127538E-2</v>
      </c>
      <c r="V65" s="3">
        <v>4.5993338675699429E-2</v>
      </c>
      <c r="W65" s="3">
        <v>4.0890880083179662E-2</v>
      </c>
      <c r="X65" s="3">
        <v>4.9140754596639788E-2</v>
      </c>
      <c r="Y65" s="3">
        <v>4.3458963417643243E-2</v>
      </c>
      <c r="Z65" s="3">
        <v>5.2599887843882989E-2</v>
      </c>
      <c r="AA65" s="3">
        <v>5.3867198078455511E-2</v>
      </c>
      <c r="AB65" s="3">
        <v>5.9078492929563478E-2</v>
      </c>
      <c r="AC65" s="3">
        <v>6.2451398081860635E-2</v>
      </c>
      <c r="AD65" s="3">
        <v>6.4845761448320341E-2</v>
      </c>
      <c r="AE65" s="3">
        <v>7.2442675029635431E-2</v>
      </c>
      <c r="AF65" s="3">
        <v>7.5471262341356135E-2</v>
      </c>
      <c r="AG65" s="3">
        <v>7.472140626189222E-2</v>
      </c>
      <c r="AH65" s="3">
        <v>8.8088969605302603E-2</v>
      </c>
      <c r="AI65" s="3">
        <v>7.7827014311840928E-2</v>
      </c>
      <c r="AJ65" s="3">
        <v>0.10905082647783992</v>
      </c>
      <c r="AK65" s="3">
        <v>0.14276338686442322</v>
      </c>
      <c r="AL65" s="3">
        <v>0.11018762445336724</v>
      </c>
    </row>
    <row r="66" spans="1:38" x14ac:dyDescent="0.35">
      <c r="A66" s="7">
        <v>43101</v>
      </c>
      <c r="B66" s="7">
        <v>43190</v>
      </c>
      <c r="C66" s="7" t="s">
        <v>219</v>
      </c>
      <c r="D66" t="s">
        <v>216</v>
      </c>
      <c r="E66" s="4" t="s">
        <v>65</v>
      </c>
      <c r="F66" s="3">
        <v>2.8892588043602629E-2</v>
      </c>
      <c r="G66" s="3">
        <v>2.8329308788466755E-2</v>
      </c>
      <c r="H66" s="3">
        <v>3.1819656371274409E-2</v>
      </c>
      <c r="I66" s="3">
        <v>2.989320821390341E-2</v>
      </c>
      <c r="J66" s="3">
        <v>3.3013264636733278E-2</v>
      </c>
      <c r="K66" s="3">
        <v>3.3135830795126872E-2</v>
      </c>
      <c r="L66" s="3">
        <v>3.4774662475232566E-2</v>
      </c>
      <c r="M66" s="3">
        <v>3.417974739297501E-2</v>
      </c>
      <c r="N66" s="3">
        <v>3.8293207543458288E-2</v>
      </c>
      <c r="O66" s="3">
        <v>3.4544866915647204E-2</v>
      </c>
      <c r="P66" s="3">
        <v>4.102848238318213E-2</v>
      </c>
      <c r="Q66" s="3">
        <v>3.590278073173396E-2</v>
      </c>
      <c r="R66" s="3">
        <v>4.3290724980076224E-2</v>
      </c>
      <c r="S66" s="3">
        <v>3.7959929011024782E-2</v>
      </c>
      <c r="T66" s="3">
        <v>4.4744417994947591E-2</v>
      </c>
      <c r="U66" s="3">
        <v>4.0652317576269623E-2</v>
      </c>
      <c r="V66" s="3">
        <v>4.6913480248590572E-2</v>
      </c>
      <c r="W66" s="3">
        <v>4.1850251791674661E-2</v>
      </c>
      <c r="X66" s="3">
        <v>5.0122262773781387E-2</v>
      </c>
      <c r="Y66" s="3">
        <v>4.4373228437165707E-2</v>
      </c>
      <c r="Z66" s="3">
        <v>5.3590145397651653E-2</v>
      </c>
      <c r="AA66" s="3">
        <v>5.4820686831295172E-2</v>
      </c>
      <c r="AB66" s="3">
        <v>6.0042504808221868E-2</v>
      </c>
      <c r="AC66" s="3">
        <v>6.3366638261812713E-2</v>
      </c>
      <c r="AD66" s="3">
        <v>6.5762272908770125E-2</v>
      </c>
      <c r="AE66" s="3">
        <v>7.3423160064546078E-2</v>
      </c>
      <c r="AF66" s="3">
        <v>7.6429679229339922E-2</v>
      </c>
      <c r="AG66" s="3">
        <v>7.5661021251319488E-2</v>
      </c>
      <c r="AH66" s="3">
        <v>8.9006290793609943E-2</v>
      </c>
      <c r="AI66" s="3">
        <v>7.8762463089604773E-2</v>
      </c>
      <c r="AJ66" s="3">
        <v>0.10999967860014292</v>
      </c>
      <c r="AK66" s="3">
        <v>0.1436933785039842</v>
      </c>
      <c r="AL66" s="3">
        <v>0.11117059404382648</v>
      </c>
    </row>
    <row r="67" spans="1:38" x14ac:dyDescent="0.35">
      <c r="A67" s="7">
        <v>43101</v>
      </c>
      <c r="B67" s="7">
        <v>43190</v>
      </c>
      <c r="C67" s="7" t="s">
        <v>219</v>
      </c>
      <c r="D67" t="s">
        <v>216</v>
      </c>
      <c r="E67" s="4" t="s">
        <v>66</v>
      </c>
      <c r="F67" s="3">
        <v>2.9816431623965196E-2</v>
      </c>
      <c r="G67" s="3">
        <v>2.9279758919457922E-2</v>
      </c>
      <c r="H67" s="3">
        <v>3.2808105309173163E-2</v>
      </c>
      <c r="I67" s="3">
        <v>3.0867113852875983E-2</v>
      </c>
      <c r="J67" s="3">
        <v>3.3985287884005622E-2</v>
      </c>
      <c r="K67" s="3">
        <v>3.4083926756475459E-2</v>
      </c>
      <c r="L67" s="3">
        <v>3.5760408681570016E-2</v>
      </c>
      <c r="M67" s="3">
        <v>3.5139345117331522E-2</v>
      </c>
      <c r="N67" s="3">
        <v>3.9274630476066413E-2</v>
      </c>
      <c r="O67" s="3">
        <v>3.5495680412953486E-2</v>
      </c>
      <c r="P67" s="3">
        <v>4.1990447680038123E-2</v>
      </c>
      <c r="Q67" s="3">
        <v>3.6867473360407806E-2</v>
      </c>
      <c r="R67" s="3">
        <v>4.4253792917843315E-2</v>
      </c>
      <c r="S67" s="3">
        <v>3.8932087503310356E-2</v>
      </c>
      <c r="T67" s="3">
        <v>4.566803628015266E-2</v>
      </c>
      <c r="U67" s="3">
        <v>4.159448869808742E-2</v>
      </c>
      <c r="V67" s="3">
        <v>4.785897994590714E-2</v>
      </c>
      <c r="W67" s="3">
        <v>4.2841963462791441E-2</v>
      </c>
      <c r="X67" s="3">
        <v>5.1025110373458443E-2</v>
      </c>
      <c r="Y67" s="3">
        <v>4.534952307876973E-2</v>
      </c>
      <c r="Z67" s="3">
        <v>5.4543861718213044E-2</v>
      </c>
      <c r="AA67" s="3">
        <v>5.5733705693309474E-2</v>
      </c>
      <c r="AB67" s="3">
        <v>6.0989763352759907E-2</v>
      </c>
      <c r="AC67" s="3">
        <v>6.4327036642431695E-2</v>
      </c>
      <c r="AD67" s="3">
        <v>6.6690749612420913E-2</v>
      </c>
      <c r="AE67" s="3">
        <v>7.4419860058073883E-2</v>
      </c>
      <c r="AF67" s="3">
        <v>7.7365926051764178E-2</v>
      </c>
      <c r="AG67" s="3">
        <v>7.6587901413566958E-2</v>
      </c>
      <c r="AH67" s="3">
        <v>8.9992861093754623E-2</v>
      </c>
      <c r="AI67" s="3">
        <v>7.9738964897950099E-2</v>
      </c>
      <c r="AJ67" s="3">
        <v>0.11092708483544281</v>
      </c>
      <c r="AK67" s="3">
        <v>0.14469048553650632</v>
      </c>
      <c r="AL67" s="3">
        <v>0.11208402769059558</v>
      </c>
    </row>
    <row r="68" spans="1:38" x14ac:dyDescent="0.35">
      <c r="A68" s="7">
        <v>43101</v>
      </c>
      <c r="B68" s="7">
        <v>43190</v>
      </c>
      <c r="C68" s="7" t="s">
        <v>219</v>
      </c>
      <c r="D68" t="s">
        <v>216</v>
      </c>
      <c r="E68" s="4">
        <v>3</v>
      </c>
      <c r="F68" s="3">
        <v>3.0809313229369591E-2</v>
      </c>
      <c r="G68" s="3">
        <v>3.0205970811349712E-2</v>
      </c>
      <c r="H68" s="3">
        <v>3.3799404111945874E-2</v>
      </c>
      <c r="I68" s="3">
        <v>3.1780618839001906E-2</v>
      </c>
      <c r="J68" s="3">
        <v>3.4927313185709304E-2</v>
      </c>
      <c r="K68" s="3">
        <v>3.5058551719849632E-2</v>
      </c>
      <c r="L68" s="3">
        <v>3.6707387777530492E-2</v>
      </c>
      <c r="M68" s="3">
        <v>3.6118831932959117E-2</v>
      </c>
      <c r="N68" s="3">
        <v>4.0197139208795252E-2</v>
      </c>
      <c r="O68" s="3">
        <v>3.6479170774394741E-2</v>
      </c>
      <c r="P68" s="3">
        <v>4.2981297683726244E-2</v>
      </c>
      <c r="Q68" s="3">
        <v>3.7781588451177517E-2</v>
      </c>
      <c r="R68" s="3">
        <v>4.5192268792738501E-2</v>
      </c>
      <c r="S68" s="3">
        <v>3.9930679296247287E-2</v>
      </c>
      <c r="T68" s="3">
        <v>4.6601194914300655E-2</v>
      </c>
      <c r="U68" s="3">
        <v>4.2497633796527712E-2</v>
      </c>
      <c r="V68" s="3">
        <v>4.8767134065234197E-2</v>
      </c>
      <c r="W68" s="3">
        <v>4.3762297852789872E-2</v>
      </c>
      <c r="X68" s="3">
        <v>5.1956300324280599E-2</v>
      </c>
      <c r="Y68" s="3">
        <v>4.6292246292781981E-2</v>
      </c>
      <c r="Z68" s="3">
        <v>5.5504517540770237E-2</v>
      </c>
      <c r="AA68" s="3">
        <v>5.6730320407891131E-2</v>
      </c>
      <c r="AB68" s="3">
        <v>6.1903407085099338E-2</v>
      </c>
      <c r="AC68" s="3">
        <v>6.5289714971796503E-2</v>
      </c>
      <c r="AD68" s="3">
        <v>6.7671491768077574E-2</v>
      </c>
      <c r="AE68" s="3">
        <v>7.532529956267843E-2</v>
      </c>
      <c r="AF68" s="3">
        <v>7.8270462377958913E-2</v>
      </c>
      <c r="AG68" s="3">
        <v>7.7507018551669832E-2</v>
      </c>
      <c r="AH68" s="3">
        <v>9.092020182488339E-2</v>
      </c>
      <c r="AI68" s="3">
        <v>8.0656346334527174E-2</v>
      </c>
      <c r="AJ68" s="3">
        <v>0.11183415501933933</v>
      </c>
      <c r="AK68" s="3">
        <v>0.14563667660339871</v>
      </c>
      <c r="AL68" s="3">
        <v>0.11298752626621517</v>
      </c>
    </row>
    <row r="69" spans="1:38" x14ac:dyDescent="0.35">
      <c r="A69" s="7">
        <v>43101</v>
      </c>
      <c r="B69" s="7">
        <v>43190</v>
      </c>
      <c r="C69" s="7" t="s">
        <v>219</v>
      </c>
      <c r="D69" t="s">
        <v>216</v>
      </c>
      <c r="E69" s="4" t="s">
        <v>67</v>
      </c>
      <c r="F69" s="3">
        <v>3.1758338673687735E-2</v>
      </c>
      <c r="G69" s="3">
        <v>3.1114066860379219E-2</v>
      </c>
      <c r="H69" s="3">
        <v>3.4734961535117334E-2</v>
      </c>
      <c r="I69" s="3">
        <v>3.2716483633118978E-2</v>
      </c>
      <c r="J69" s="3">
        <v>3.5846367426793313E-2</v>
      </c>
      <c r="K69" s="3">
        <v>3.6010486371479272E-2</v>
      </c>
      <c r="L69" s="3">
        <v>3.7665024302281878E-2</v>
      </c>
      <c r="M69" s="3">
        <v>3.7085829953676569E-2</v>
      </c>
      <c r="N69" s="3">
        <v>4.1100322924584064E-2</v>
      </c>
      <c r="O69" s="3">
        <v>3.7446438544002564E-2</v>
      </c>
      <c r="P69" s="3">
        <v>4.3887358319701072E-2</v>
      </c>
      <c r="Q69" s="3">
        <v>3.8705992518516544E-2</v>
      </c>
      <c r="R69" s="3">
        <v>4.6104972754014865E-2</v>
      </c>
      <c r="S69" s="3">
        <v>4.0890796136354192E-2</v>
      </c>
      <c r="T69" s="3">
        <v>4.7517306360080142E-2</v>
      </c>
      <c r="U69" s="3">
        <v>4.3481023873773617E-2</v>
      </c>
      <c r="V69" s="3">
        <v>4.9733842563750845E-2</v>
      </c>
      <c r="W69" s="3">
        <v>4.4669938527937061E-2</v>
      </c>
      <c r="X69" s="3">
        <v>5.287578028254647E-2</v>
      </c>
      <c r="Y69" s="3">
        <v>4.7260285664062859E-2</v>
      </c>
      <c r="Z69" s="3">
        <v>5.6447037965201674E-2</v>
      </c>
      <c r="AA69" s="3">
        <v>5.768192984896605E-2</v>
      </c>
      <c r="AB69" s="3">
        <v>6.2820791014653321E-2</v>
      </c>
      <c r="AC69" s="3">
        <v>6.6225848263291698E-2</v>
      </c>
      <c r="AD69" s="3">
        <v>6.8575165230735008E-2</v>
      </c>
      <c r="AE69" s="3">
        <v>7.6305686528439109E-2</v>
      </c>
      <c r="AF69" s="3">
        <v>7.9233725413743877E-2</v>
      </c>
      <c r="AG69" s="3">
        <v>7.848281595435852E-2</v>
      </c>
      <c r="AH69" s="3">
        <v>9.1849924185783416E-2</v>
      </c>
      <c r="AI69" s="3">
        <v>8.1643603818231325E-2</v>
      </c>
      <c r="AJ69" s="3">
        <v>0.11279284637867448</v>
      </c>
      <c r="AK69" s="3">
        <v>0.14663408093916622</v>
      </c>
      <c r="AL69" s="3">
        <v>0.11395296391268561</v>
      </c>
    </row>
    <row r="70" spans="1:38" x14ac:dyDescent="0.35">
      <c r="A70" s="7">
        <v>43101</v>
      </c>
      <c r="B70" s="7">
        <v>43190</v>
      </c>
      <c r="C70" s="7" t="s">
        <v>219</v>
      </c>
      <c r="D70" t="s">
        <v>216</v>
      </c>
      <c r="E70" s="4" t="s">
        <v>68</v>
      </c>
      <c r="F70" s="3">
        <v>3.2739197622021779E-2</v>
      </c>
      <c r="G70" s="3">
        <v>3.204011238399887E-2</v>
      </c>
      <c r="H70" s="3">
        <v>3.5642241261176211E-2</v>
      </c>
      <c r="I70" s="3">
        <v>3.3708017045777729E-2</v>
      </c>
      <c r="J70" s="3">
        <v>3.6757571708418507E-2</v>
      </c>
      <c r="K70" s="3">
        <v>3.6966037413180705E-2</v>
      </c>
      <c r="L70" s="3">
        <v>3.8653307044733312E-2</v>
      </c>
      <c r="M70" s="3">
        <v>3.8027658446906205E-2</v>
      </c>
      <c r="N70" s="3">
        <v>4.2007721087298888E-2</v>
      </c>
      <c r="O70" s="3">
        <v>3.8405401536441369E-2</v>
      </c>
      <c r="P70" s="3">
        <v>4.4876462331655487E-2</v>
      </c>
      <c r="Q70" s="3">
        <v>3.9671343263786907E-2</v>
      </c>
      <c r="R70" s="3">
        <v>4.7034383018163428E-2</v>
      </c>
      <c r="S70" s="3">
        <v>4.1820873196983938E-2</v>
      </c>
      <c r="T70" s="3">
        <v>4.8433727451292763E-2</v>
      </c>
      <c r="U70" s="3">
        <v>4.4477800013649864E-2</v>
      </c>
      <c r="V70" s="3">
        <v>5.0709102113335694E-2</v>
      </c>
      <c r="W70" s="3">
        <v>4.5657989214654485E-2</v>
      </c>
      <c r="X70" s="3">
        <v>5.3801267945788961E-2</v>
      </c>
      <c r="Y70" s="3">
        <v>4.82076991944278E-2</v>
      </c>
      <c r="Z70" s="3">
        <v>5.7390312450374542E-2</v>
      </c>
      <c r="AA70" s="3">
        <v>5.8653090535508351E-2</v>
      </c>
      <c r="AB70" s="3">
        <v>6.3781201174315114E-2</v>
      </c>
      <c r="AC70" s="3">
        <v>6.7188469893734448E-2</v>
      </c>
      <c r="AD70" s="3">
        <v>6.9480376542508604E-2</v>
      </c>
      <c r="AE70" s="3">
        <v>7.7223518133722274E-2</v>
      </c>
      <c r="AF70" s="3">
        <v>8.0186289388047005E-2</v>
      </c>
      <c r="AG70" s="3">
        <v>7.9406298040132633E-2</v>
      </c>
      <c r="AH70" s="3">
        <v>9.2754335980998137E-2</v>
      </c>
      <c r="AI70" s="3">
        <v>8.2604606311731985E-2</v>
      </c>
      <c r="AJ70" s="3">
        <v>0.11377346034366118</v>
      </c>
      <c r="AK70" s="3">
        <v>0.147582909636502</v>
      </c>
      <c r="AL70" s="3">
        <v>0.11490085140852593</v>
      </c>
    </row>
    <row r="71" spans="1:38" x14ac:dyDescent="0.35">
      <c r="A71" s="7">
        <v>43101</v>
      </c>
      <c r="B71" s="7">
        <v>43190</v>
      </c>
      <c r="C71" s="7" t="s">
        <v>219</v>
      </c>
      <c r="D71" t="s">
        <v>216</v>
      </c>
      <c r="E71" s="4">
        <v>4</v>
      </c>
      <c r="F71" s="3">
        <v>3.3687111852765121E-2</v>
      </c>
      <c r="G71" s="3">
        <v>3.2955135834473626E-2</v>
      </c>
      <c r="H71" s="3">
        <v>3.6574657158047516E-2</v>
      </c>
      <c r="I71" s="3">
        <v>3.4649488595937111E-2</v>
      </c>
      <c r="J71" s="3">
        <v>3.772864995011424E-2</v>
      </c>
      <c r="K71" s="3">
        <v>3.7933984380575964E-2</v>
      </c>
      <c r="L71" s="3">
        <v>3.9600776368188248E-2</v>
      </c>
      <c r="M71" s="3">
        <v>3.8930131542778523E-2</v>
      </c>
      <c r="N71" s="3">
        <v>4.2946966069131613E-2</v>
      </c>
      <c r="O71" s="3">
        <v>3.9338873967426635E-2</v>
      </c>
      <c r="P71" s="3">
        <v>4.5856967046642348E-2</v>
      </c>
      <c r="Q71" s="3">
        <v>4.0664872848888506E-2</v>
      </c>
      <c r="R71" s="3">
        <v>4.7977525764767104E-2</v>
      </c>
      <c r="S71" s="3">
        <v>4.2791025093767296E-2</v>
      </c>
      <c r="T71" s="3">
        <v>4.9378022305578265E-2</v>
      </c>
      <c r="U71" s="3">
        <v>4.5468649631014296E-2</v>
      </c>
      <c r="V71" s="3">
        <v>5.1666048141618875E-2</v>
      </c>
      <c r="W71" s="3">
        <v>4.6580033371126338E-2</v>
      </c>
      <c r="X71" s="3">
        <v>5.4741895793428759E-2</v>
      </c>
      <c r="Y71" s="3">
        <v>4.9140618258473628E-2</v>
      </c>
      <c r="Z71" s="3">
        <v>5.8390188726632125E-2</v>
      </c>
      <c r="AA71" s="3">
        <v>5.9575139555686149E-2</v>
      </c>
      <c r="AB71" s="3">
        <v>6.4705172164359753E-2</v>
      </c>
      <c r="AC71" s="3">
        <v>6.8171971954915603E-2</v>
      </c>
      <c r="AD71" s="3">
        <v>7.0385210637260109E-2</v>
      </c>
      <c r="AE71" s="3">
        <v>7.8193441864314983E-2</v>
      </c>
      <c r="AF71" s="3">
        <v>8.1117816364555242E-2</v>
      </c>
      <c r="AG71" s="3">
        <v>8.034893925123901E-2</v>
      </c>
      <c r="AH71" s="3">
        <v>9.3749052053499315E-2</v>
      </c>
      <c r="AI71" s="3">
        <v>8.3571938732369372E-2</v>
      </c>
      <c r="AJ71" s="3">
        <v>0.11471542279930774</v>
      </c>
      <c r="AK71" s="3">
        <v>0.14856655400287083</v>
      </c>
      <c r="AL71" s="3">
        <v>0.11581786190012677</v>
      </c>
    </row>
    <row r="72" spans="1:38" x14ac:dyDescent="0.35">
      <c r="A72" s="7">
        <v>43101</v>
      </c>
      <c r="B72" s="7">
        <v>43190</v>
      </c>
      <c r="C72" s="7" t="s">
        <v>219</v>
      </c>
      <c r="D72" t="s">
        <v>216</v>
      </c>
      <c r="E72" s="4" t="s">
        <v>69</v>
      </c>
      <c r="F72" s="3">
        <v>3.4663340664242072E-2</v>
      </c>
      <c r="G72" s="3">
        <v>3.3856784187710133E-2</v>
      </c>
      <c r="H72" s="3">
        <v>3.7516670482588145E-2</v>
      </c>
      <c r="I72" s="3">
        <v>3.5613877354440146E-2</v>
      </c>
      <c r="J72" s="3">
        <v>3.8665005216227524E-2</v>
      </c>
      <c r="K72" s="3">
        <v>3.8896986844783432E-2</v>
      </c>
      <c r="L72" s="3">
        <v>4.0517567647322297E-2</v>
      </c>
      <c r="M72" s="3">
        <v>3.9913898212994445E-2</v>
      </c>
      <c r="N72" s="3">
        <v>4.3902640946801172E-2</v>
      </c>
      <c r="O72" s="3">
        <v>4.0285534809126985E-2</v>
      </c>
      <c r="P72" s="3">
        <v>4.6782291759152266E-2</v>
      </c>
      <c r="Q72" s="3">
        <v>4.1628695589264145E-2</v>
      </c>
      <c r="R72" s="3">
        <v>4.8914459651524841E-2</v>
      </c>
      <c r="S72" s="3">
        <v>4.3763060110870458E-2</v>
      </c>
      <c r="T72" s="3">
        <v>5.0316843693128624E-2</v>
      </c>
      <c r="U72" s="3">
        <v>4.6445309033417467E-2</v>
      </c>
      <c r="V72" s="3">
        <v>5.2583538133656127E-2</v>
      </c>
      <c r="W72" s="3">
        <v>4.7500495259273384E-2</v>
      </c>
      <c r="X72" s="3">
        <v>5.573055777351936E-2</v>
      </c>
      <c r="Y72" s="3">
        <v>5.0049873203161496E-2</v>
      </c>
      <c r="Z72" s="3">
        <v>5.9380516132835015E-2</v>
      </c>
      <c r="AA72" s="3">
        <v>6.0536616039588889E-2</v>
      </c>
      <c r="AB72" s="3">
        <v>6.5674492333929996E-2</v>
      </c>
      <c r="AC72" s="3">
        <v>6.9144902683848125E-2</v>
      </c>
      <c r="AD72" s="3">
        <v>7.1289604606180168E-2</v>
      </c>
      <c r="AE72" s="3">
        <v>7.9180960165628242E-2</v>
      </c>
      <c r="AF72" s="3">
        <v>8.2053919066883002E-2</v>
      </c>
      <c r="AG72" s="3">
        <v>8.1257482062810915E-2</v>
      </c>
      <c r="AH72" s="3">
        <v>9.4699819231343879E-2</v>
      </c>
      <c r="AI72" s="3">
        <v>8.4562776545488702E-2</v>
      </c>
      <c r="AJ72" s="3">
        <v>0.11570780016976628</v>
      </c>
      <c r="AK72" s="3">
        <v>0.14951313615786119</v>
      </c>
      <c r="AL72" s="3">
        <v>0.11673276764506546</v>
      </c>
    </row>
    <row r="73" spans="1:38" x14ac:dyDescent="0.35">
      <c r="A73" s="7">
        <v>43101</v>
      </c>
      <c r="B73" s="7">
        <v>43190</v>
      </c>
      <c r="C73" s="7" t="s">
        <v>219</v>
      </c>
      <c r="D73" t="s">
        <v>216</v>
      </c>
      <c r="E73" s="4" t="s">
        <v>70</v>
      </c>
      <c r="F73" s="3">
        <v>3.5615006950827519E-2</v>
      </c>
      <c r="G73" s="3">
        <v>3.4762917695688955E-2</v>
      </c>
      <c r="H73" s="3">
        <v>3.8502258168549956E-2</v>
      </c>
      <c r="I73" s="3">
        <v>3.6532143139689069E-2</v>
      </c>
      <c r="J73" s="3">
        <v>3.961025300053797E-2</v>
      </c>
      <c r="K73" s="3">
        <v>3.987124363395457E-2</v>
      </c>
      <c r="L73" s="3">
        <v>4.1506458227018359E-2</v>
      </c>
      <c r="M73" s="3">
        <v>4.0822139340595885E-2</v>
      </c>
      <c r="N73" s="3">
        <v>4.4879240678301117E-2</v>
      </c>
      <c r="O73" s="3">
        <v>4.1241603607676744E-2</v>
      </c>
      <c r="P73" s="3">
        <v>4.7699213581187005E-2</v>
      </c>
      <c r="Q73" s="3">
        <v>4.2624472251490894E-2</v>
      </c>
      <c r="R73" s="3">
        <v>4.9870656963362826E-2</v>
      </c>
      <c r="S73" s="3">
        <v>4.4729596604833867E-2</v>
      </c>
      <c r="T73" s="3">
        <v>5.1228818340475296E-2</v>
      </c>
      <c r="U73" s="3">
        <v>4.7352468210182241E-2</v>
      </c>
      <c r="V73" s="3">
        <v>5.3513458477405226E-2</v>
      </c>
      <c r="W73" s="3">
        <v>4.8496463931347891E-2</v>
      </c>
      <c r="X73" s="3">
        <v>5.6710259660029051E-2</v>
      </c>
      <c r="Y73" s="3">
        <v>5.1007331566039357E-2</v>
      </c>
      <c r="Z73" s="3">
        <v>6.0298731543727932E-2</v>
      </c>
      <c r="AA73" s="3">
        <v>6.1467788080590162E-2</v>
      </c>
      <c r="AB73" s="3">
        <v>6.6609447758682522E-2</v>
      </c>
      <c r="AC73" s="3">
        <v>7.0068521925419874E-2</v>
      </c>
      <c r="AD73" s="3">
        <v>7.2195598965229257E-2</v>
      </c>
      <c r="AE73" s="3">
        <v>8.0159910045503074E-2</v>
      </c>
      <c r="AF73" s="3">
        <v>8.3012610411531934E-2</v>
      </c>
      <c r="AG73" s="3">
        <v>8.2181077966933219E-2</v>
      </c>
      <c r="AH73" s="3">
        <v>9.5688238977401224E-2</v>
      </c>
      <c r="AI73" s="3">
        <v>8.5478159208486032E-2</v>
      </c>
      <c r="AJ73" s="3">
        <v>0.11661490997768822</v>
      </c>
      <c r="AK73" s="3">
        <v>0.15043690456744629</v>
      </c>
      <c r="AL73" s="3">
        <v>0.11771679418624389</v>
      </c>
    </row>
    <row r="74" spans="1:38" x14ac:dyDescent="0.35">
      <c r="A74" s="7">
        <v>43101</v>
      </c>
      <c r="B74" s="7">
        <v>43190</v>
      </c>
      <c r="C74" s="7" t="s">
        <v>219</v>
      </c>
      <c r="D74" t="s">
        <v>216</v>
      </c>
      <c r="E74" s="4">
        <v>5</v>
      </c>
      <c r="F74" s="3">
        <v>3.6537034616341946E-2</v>
      </c>
      <c r="G74" s="3">
        <v>3.5701871493965601E-2</v>
      </c>
      <c r="H74" s="3">
        <v>3.9445141600718853E-2</v>
      </c>
      <c r="I74" s="3">
        <v>3.7501354570931678E-2</v>
      </c>
      <c r="J74" s="3">
        <v>4.058716207653211E-2</v>
      </c>
      <c r="K74" s="3">
        <v>4.0857435763598307E-2</v>
      </c>
      <c r="L74" s="3">
        <v>4.2430411032710391E-2</v>
      </c>
      <c r="M74" s="3">
        <v>4.1758382469180053E-2</v>
      </c>
      <c r="N74" s="3">
        <v>4.5798630295579262E-2</v>
      </c>
      <c r="O74" s="3">
        <v>4.2204003559376604E-2</v>
      </c>
      <c r="P74" s="3">
        <v>4.8607872187442724E-2</v>
      </c>
      <c r="Q74" s="3">
        <v>4.3617434133182267E-2</v>
      </c>
      <c r="R74" s="3">
        <v>5.0787960327398796E-2</v>
      </c>
      <c r="S74" s="3">
        <v>4.5703405383414303E-2</v>
      </c>
      <c r="T74" s="3">
        <v>5.2149752994239303E-2</v>
      </c>
      <c r="U74" s="3">
        <v>4.8294855162885612E-2</v>
      </c>
      <c r="V74" s="3">
        <v>5.444515893877095E-2</v>
      </c>
      <c r="W74" s="3">
        <v>4.9435172399565144E-2</v>
      </c>
      <c r="X74" s="3">
        <v>5.7687938236702895E-2</v>
      </c>
      <c r="Y74" s="3">
        <v>5.1914191192636461E-2</v>
      </c>
      <c r="Z74" s="3">
        <v>6.1274350429703736E-2</v>
      </c>
      <c r="AA74" s="3">
        <v>6.2416623636127197E-2</v>
      </c>
      <c r="AB74" s="3">
        <v>6.7529849427629185E-2</v>
      </c>
      <c r="AC74" s="3">
        <v>7.1045960511612785E-2</v>
      </c>
      <c r="AD74" s="3">
        <v>7.312898886104055E-2</v>
      </c>
      <c r="AE74" s="3">
        <v>8.109584506138276E-2</v>
      </c>
      <c r="AF74" s="3">
        <v>8.3952002646676113E-2</v>
      </c>
      <c r="AG74" s="3">
        <v>8.3096016217194396E-2</v>
      </c>
      <c r="AH74" s="3">
        <v>9.663786526438084E-2</v>
      </c>
      <c r="AI74" s="3">
        <v>8.643913647029039E-2</v>
      </c>
      <c r="AJ74" s="3">
        <v>0.11755517391392323</v>
      </c>
      <c r="AK74" s="3">
        <v>0.15137465627533181</v>
      </c>
      <c r="AL74" s="3">
        <v>0.11863023727481434</v>
      </c>
    </row>
    <row r="75" spans="1:38" x14ac:dyDescent="0.35">
      <c r="A75" s="7">
        <v>43101</v>
      </c>
      <c r="B75" s="7">
        <v>43190</v>
      </c>
      <c r="C75" s="7" t="s">
        <v>219</v>
      </c>
      <c r="D75" t="s">
        <v>216</v>
      </c>
      <c r="E75" s="4" t="s">
        <v>71</v>
      </c>
      <c r="F75" s="3">
        <v>3.7452247532993511E-2</v>
      </c>
      <c r="G75" s="3">
        <v>3.6654426749807151E-2</v>
      </c>
      <c r="H75" s="3">
        <v>4.0363432166752956E-2</v>
      </c>
      <c r="I75" s="3">
        <v>3.8483817499054614E-2</v>
      </c>
      <c r="J75" s="3">
        <v>4.1515522119146914E-2</v>
      </c>
      <c r="K75" s="3">
        <v>4.1823752741559958E-2</v>
      </c>
      <c r="L75" s="3">
        <v>4.3378703526991809E-2</v>
      </c>
      <c r="M75" s="3">
        <v>4.2729505019661454E-2</v>
      </c>
      <c r="N75" s="3">
        <v>4.6743765763705467E-2</v>
      </c>
      <c r="O75" s="3">
        <v>4.3147549646481917E-2</v>
      </c>
      <c r="P75" s="3">
        <v>4.9550369849464024E-2</v>
      </c>
      <c r="Q75" s="3">
        <v>4.4553807159928724E-2</v>
      </c>
      <c r="R75" s="3">
        <v>5.1760856877947639E-2</v>
      </c>
      <c r="S75" s="3">
        <v>4.6632661459234698E-2</v>
      </c>
      <c r="T75" s="3">
        <v>5.3146085451574461E-2</v>
      </c>
      <c r="U75" s="3">
        <v>4.9256183992917528E-2</v>
      </c>
      <c r="V75" s="3">
        <v>5.5377722287246613E-2</v>
      </c>
      <c r="W75" s="3">
        <v>5.0363475537645863E-2</v>
      </c>
      <c r="X75" s="3">
        <v>5.8639852635564364E-2</v>
      </c>
      <c r="Y75" s="3">
        <v>5.2890286602368899E-2</v>
      </c>
      <c r="Z75" s="3">
        <v>6.2238787352116499E-2</v>
      </c>
      <c r="AA75" s="3">
        <v>6.3342734437073861E-2</v>
      </c>
      <c r="AB75" s="3">
        <v>6.8497644430090959E-2</v>
      </c>
      <c r="AC75" s="3">
        <v>7.1991828499182509E-2</v>
      </c>
      <c r="AD75" s="3">
        <v>7.4106986994260965E-2</v>
      </c>
      <c r="AE75" s="3">
        <v>8.1996109513219118E-2</v>
      </c>
      <c r="AF75" s="3">
        <v>8.494434711940485E-2</v>
      </c>
      <c r="AG75" s="3">
        <v>8.402457626539514E-2</v>
      </c>
      <c r="AH75" s="3">
        <v>9.7586131170948859E-2</v>
      </c>
      <c r="AI75" s="3">
        <v>8.735600796459006E-2</v>
      </c>
      <c r="AJ75" s="3">
        <v>0.11849176413878909</v>
      </c>
      <c r="AK75" s="3">
        <v>0.15233627909692013</v>
      </c>
      <c r="AL75" s="3">
        <v>0.11962032111917292</v>
      </c>
    </row>
    <row r="76" spans="1:38" x14ac:dyDescent="0.35">
      <c r="A76" s="7">
        <v>43101</v>
      </c>
      <c r="B76" s="7">
        <v>43190</v>
      </c>
      <c r="C76" s="7" t="s">
        <v>219</v>
      </c>
      <c r="D76" t="s">
        <v>216</v>
      </c>
      <c r="E76" s="4" t="s">
        <v>72</v>
      </c>
      <c r="F76" s="3">
        <v>3.8450044671522951E-2</v>
      </c>
      <c r="G76" s="3">
        <v>3.759738223377123E-2</v>
      </c>
      <c r="H76" s="3">
        <v>4.1342643582357917E-2</v>
      </c>
      <c r="I76" s="3">
        <v>3.9385083984993949E-2</v>
      </c>
      <c r="J76" s="3">
        <v>4.2439457241266826E-2</v>
      </c>
      <c r="K76" s="3">
        <v>4.2751167672111456E-2</v>
      </c>
      <c r="L76" s="3">
        <v>4.4302334066026031E-2</v>
      </c>
      <c r="M76" s="3">
        <v>4.3652328412065011E-2</v>
      </c>
      <c r="N76" s="3">
        <v>4.7725725299334887E-2</v>
      </c>
      <c r="O76" s="3">
        <v>4.4140423901663062E-2</v>
      </c>
      <c r="P76" s="3">
        <v>5.0457192690454407E-2</v>
      </c>
      <c r="Q76" s="3">
        <v>4.5480456218301685E-2</v>
      </c>
      <c r="R76" s="3">
        <v>5.2759113026973642E-2</v>
      </c>
      <c r="S76" s="3">
        <v>4.7599621500819395E-2</v>
      </c>
      <c r="T76" s="3">
        <v>5.4079397101071791E-2</v>
      </c>
      <c r="U76" s="3">
        <v>5.0217342664606347E-2</v>
      </c>
      <c r="V76" s="3">
        <v>5.6302257703269833E-2</v>
      </c>
      <c r="W76" s="3">
        <v>5.1357885367248682E-2</v>
      </c>
      <c r="X76" s="3">
        <v>5.9636155423697962E-2</v>
      </c>
      <c r="Y76" s="3">
        <v>5.3804233856917433E-2</v>
      </c>
      <c r="Z76" s="3">
        <v>6.3147907091145455E-2</v>
      </c>
      <c r="AA76" s="3">
        <v>6.4309724026127169E-2</v>
      </c>
      <c r="AB76" s="3">
        <v>6.9488798515799477E-2</v>
      </c>
      <c r="AC76" s="3">
        <v>7.2929846198278442E-2</v>
      </c>
      <c r="AD76" s="3">
        <v>7.508860820571106E-2</v>
      </c>
      <c r="AE76" s="3">
        <v>8.2913454609532256E-2</v>
      </c>
      <c r="AF76" s="3">
        <v>8.5888516304205159E-2</v>
      </c>
      <c r="AG76" s="3">
        <v>8.4967069472016529E-2</v>
      </c>
      <c r="AH76" s="3">
        <v>9.8548762409441132E-2</v>
      </c>
      <c r="AI76" s="3">
        <v>8.826572047558609E-2</v>
      </c>
      <c r="AJ76" s="3">
        <v>0.11942309530034587</v>
      </c>
      <c r="AK76" s="3">
        <v>0.15324715508668146</v>
      </c>
      <c r="AL76" s="3">
        <v>0.12059960676243339</v>
      </c>
    </row>
    <row r="77" spans="1:38" x14ac:dyDescent="0.35">
      <c r="A77" s="7">
        <v>43101</v>
      </c>
      <c r="B77" s="7">
        <v>43190</v>
      </c>
      <c r="C77" s="7" t="s">
        <v>219</v>
      </c>
      <c r="D77" t="s">
        <v>216</v>
      </c>
      <c r="E77" s="4">
        <v>6</v>
      </c>
      <c r="F77" s="3">
        <v>3.9354710843880238E-2</v>
      </c>
      <c r="G77" s="3">
        <v>3.851430046631589E-2</v>
      </c>
      <c r="H77" s="3">
        <v>4.2340015876603174E-2</v>
      </c>
      <c r="I77" s="3">
        <v>4.0287553075633288E-2</v>
      </c>
      <c r="J77" s="3">
        <v>4.3343677994122684E-2</v>
      </c>
      <c r="K77" s="3">
        <v>4.3711866595613345E-2</v>
      </c>
      <c r="L77" s="3">
        <v>4.5205108654712542E-2</v>
      </c>
      <c r="M77" s="3">
        <v>4.4600622392565029E-2</v>
      </c>
      <c r="N77" s="3">
        <v>4.8686311833625706E-2</v>
      </c>
      <c r="O77" s="3">
        <v>4.513277406792876E-2</v>
      </c>
      <c r="P77" s="3">
        <v>5.1358899286446991E-2</v>
      </c>
      <c r="Q77" s="3">
        <v>4.6464201327189189E-2</v>
      </c>
      <c r="R77" s="3">
        <v>5.3697114376885582E-2</v>
      </c>
      <c r="S77" s="3">
        <v>4.8529621074183446E-2</v>
      </c>
      <c r="T77" s="3">
        <v>5.5015743625293941E-2</v>
      </c>
      <c r="U77" s="3">
        <v>5.1216862234903307E-2</v>
      </c>
      <c r="V77" s="3">
        <v>5.7300735763207461E-2</v>
      </c>
      <c r="W77" s="3">
        <v>5.2262787163677035E-2</v>
      </c>
      <c r="X77" s="3">
        <v>6.0613698340490851E-2</v>
      </c>
      <c r="Y77" s="3">
        <v>5.4734757929811612E-2</v>
      </c>
      <c r="Z77" s="3">
        <v>6.4087418767790727E-2</v>
      </c>
      <c r="AA77" s="3">
        <v>6.5306843346533056E-2</v>
      </c>
      <c r="AB77" s="3">
        <v>7.0420502837275467E-2</v>
      </c>
      <c r="AC77" s="3">
        <v>7.3884595950778495E-2</v>
      </c>
      <c r="AD77" s="3">
        <v>7.6050407256270186E-2</v>
      </c>
      <c r="AE77" s="3">
        <v>8.3893066680813283E-2</v>
      </c>
      <c r="AF77" s="3">
        <v>8.6864382115662553E-2</v>
      </c>
      <c r="AG77" s="3">
        <v>8.5938529481590475E-2</v>
      </c>
      <c r="AH77" s="3">
        <v>9.9491883015531885E-2</v>
      </c>
      <c r="AI77" s="3">
        <v>8.9234623648672851E-2</v>
      </c>
      <c r="AJ77" s="3">
        <v>0.12035782494668729</v>
      </c>
      <c r="AK77" s="3">
        <v>0.1541501469799699</v>
      </c>
      <c r="AL77" s="3">
        <v>0.12155080099179458</v>
      </c>
    </row>
    <row r="78" spans="1:38" x14ac:dyDescent="0.35">
      <c r="A78" s="7">
        <v>43101</v>
      </c>
      <c r="B78" s="7">
        <v>43190</v>
      </c>
      <c r="C78" s="7" t="s">
        <v>219</v>
      </c>
      <c r="D78" t="s">
        <v>216</v>
      </c>
      <c r="E78" s="4" t="s">
        <v>73</v>
      </c>
      <c r="F78" s="3">
        <v>4.0312982379720072E-2</v>
      </c>
      <c r="G78" s="3">
        <v>3.9470863826427657E-2</v>
      </c>
      <c r="H78" s="3">
        <v>4.3272189463267365E-2</v>
      </c>
      <c r="I78" s="3">
        <v>4.1251364017709527E-2</v>
      </c>
      <c r="J78" s="3">
        <v>4.4343484503988229E-2</v>
      </c>
      <c r="K78" s="3">
        <v>4.469134201961851E-2</v>
      </c>
      <c r="L78" s="3">
        <v>4.616261233902301E-2</v>
      </c>
      <c r="M78" s="3">
        <v>4.5555545551511263E-2</v>
      </c>
      <c r="N78" s="3">
        <v>4.9618632179344743E-2</v>
      </c>
      <c r="O78" s="3">
        <v>4.6106025837637676E-2</v>
      </c>
      <c r="P78" s="3">
        <v>5.2346096550348664E-2</v>
      </c>
      <c r="Q78" s="3">
        <v>4.7377473187230706E-2</v>
      </c>
      <c r="R78" s="3">
        <v>5.4660540987732847E-2</v>
      </c>
      <c r="S78" s="3">
        <v>4.9450464703823915E-2</v>
      </c>
      <c r="T78" s="3">
        <v>5.5969993380739845E-2</v>
      </c>
      <c r="U78" s="3">
        <v>5.2159888659726594E-2</v>
      </c>
      <c r="V78" s="3">
        <v>5.825820570646436E-2</v>
      </c>
      <c r="W78" s="3">
        <v>5.3245864887336611E-2</v>
      </c>
      <c r="X78" s="3">
        <v>6.1565189098086059E-2</v>
      </c>
      <c r="Y78" s="3">
        <v>5.5693615381737824E-2</v>
      </c>
      <c r="Z78" s="3">
        <v>6.5085669834437115E-2</v>
      </c>
      <c r="AA78" s="3">
        <v>6.6226053950022679E-2</v>
      </c>
      <c r="AB78" s="3">
        <v>7.1387327504087467E-2</v>
      </c>
      <c r="AC78" s="3">
        <v>7.4850499388342873E-2</v>
      </c>
      <c r="AD78" s="3">
        <v>7.6995541721114058E-2</v>
      </c>
      <c r="AE78" s="3">
        <v>8.4813620383519556E-2</v>
      </c>
      <c r="AF78" s="3">
        <v>8.7833211364047287E-2</v>
      </c>
      <c r="AG78" s="3">
        <v>8.6856344163987464E-2</v>
      </c>
      <c r="AH78" s="3">
        <v>0.10040720305528478</v>
      </c>
      <c r="AI78" s="3">
        <v>9.0160503509014361E-2</v>
      </c>
      <c r="AJ78" s="3">
        <v>0.12130359887892328</v>
      </c>
      <c r="AK78" s="3">
        <v>0.15511849031913039</v>
      </c>
      <c r="AL78" s="3">
        <v>0.12246881254756178</v>
      </c>
    </row>
    <row r="79" spans="1:38" x14ac:dyDescent="0.35">
      <c r="A79" s="7">
        <v>43101</v>
      </c>
      <c r="B79" s="7">
        <v>43190</v>
      </c>
      <c r="C79" s="7" t="s">
        <v>219</v>
      </c>
      <c r="D79" t="s">
        <v>216</v>
      </c>
      <c r="E79" s="4" t="s">
        <v>74</v>
      </c>
      <c r="F79" s="3">
        <v>4.1290655936053605E-2</v>
      </c>
      <c r="G79" s="3">
        <v>4.0415482453008578E-2</v>
      </c>
      <c r="H79" s="3">
        <v>4.4192327521774252E-2</v>
      </c>
      <c r="I79" s="3">
        <v>4.2167024517393376E-2</v>
      </c>
      <c r="J79" s="3">
        <v>4.5298200600403266E-2</v>
      </c>
      <c r="K79" s="3">
        <v>4.5669033421348502E-2</v>
      </c>
      <c r="L79" s="3">
        <v>4.7106092157626928E-2</v>
      </c>
      <c r="M79" s="3">
        <v>4.6545130551937472E-2</v>
      </c>
      <c r="N79" s="3">
        <v>5.0578105083387996E-2</v>
      </c>
      <c r="O79" s="3">
        <v>4.7041206075774278E-2</v>
      </c>
      <c r="P79" s="3">
        <v>5.327222274277485E-2</v>
      </c>
      <c r="Q79" s="3">
        <v>4.8288973979576766E-2</v>
      </c>
      <c r="R79" s="3">
        <v>5.5609713962831181E-2</v>
      </c>
      <c r="S79" s="3">
        <v>5.0423367860062088E-2</v>
      </c>
      <c r="T79" s="3">
        <v>5.6900284765182829E-2</v>
      </c>
      <c r="U79" s="3">
        <v>5.3116043510631934E-2</v>
      </c>
      <c r="V79" s="3">
        <v>5.9186005067337316E-2</v>
      </c>
      <c r="W79" s="3">
        <v>5.4200134180994543E-2</v>
      </c>
      <c r="X79" s="3">
        <v>6.2472847689605308E-2</v>
      </c>
      <c r="Y79" s="3">
        <v>5.6598365149331156E-2</v>
      </c>
      <c r="Z79" s="3">
        <v>6.6011640450528097E-2</v>
      </c>
      <c r="AA79" s="3">
        <v>6.7220768312793527E-2</v>
      </c>
      <c r="AB79" s="3">
        <v>7.2295568211983768E-2</v>
      </c>
      <c r="AC79" s="3">
        <v>7.5817523142215126E-2</v>
      </c>
      <c r="AD79" s="3">
        <v>7.7934228027242786E-2</v>
      </c>
      <c r="AE79" s="3">
        <v>8.574256969342442E-2</v>
      </c>
      <c r="AF79" s="3">
        <v>8.8746419203997562E-2</v>
      </c>
      <c r="AG79" s="3">
        <v>8.7804327105100027E-2</v>
      </c>
      <c r="AH79" s="3">
        <v>0.10140355033089107</v>
      </c>
      <c r="AI79" s="3">
        <v>9.1092727841256105E-2</v>
      </c>
      <c r="AJ79" s="3">
        <v>0.12222033076272837</v>
      </c>
      <c r="AK79" s="3">
        <v>0.15606721062121739</v>
      </c>
      <c r="AL79" s="3">
        <v>0.12342501005957787</v>
      </c>
    </row>
    <row r="80" spans="1:38" x14ac:dyDescent="0.35">
      <c r="A80" s="7">
        <v>43101</v>
      </c>
      <c r="B80" s="7">
        <v>43190</v>
      </c>
      <c r="C80" s="7" t="s">
        <v>219</v>
      </c>
      <c r="D80" t="s">
        <v>216</v>
      </c>
      <c r="E80" s="4">
        <v>7</v>
      </c>
      <c r="F80" s="3">
        <v>4.2278276553716285E-2</v>
      </c>
      <c r="G80" s="3">
        <v>4.1329177705657583E-2</v>
      </c>
      <c r="H80" s="3">
        <v>4.5099318153345835E-2</v>
      </c>
      <c r="I80" s="3">
        <v>4.3083811526251507E-2</v>
      </c>
      <c r="J80" s="3">
        <v>4.6213419842575459E-2</v>
      </c>
      <c r="K80" s="3">
        <v>4.6583800859561021E-2</v>
      </c>
      <c r="L80" s="3">
        <v>4.8092812186156277E-2</v>
      </c>
      <c r="M80" s="3">
        <v>4.7540381363158704E-2</v>
      </c>
      <c r="N80" s="3">
        <v>5.1541323345427749E-2</v>
      </c>
      <c r="O80" s="3">
        <v>4.7991421638006952E-2</v>
      </c>
      <c r="P80" s="3">
        <v>5.4236981442763746E-2</v>
      </c>
      <c r="Q80" s="3">
        <v>4.9234541478731422E-2</v>
      </c>
      <c r="R80" s="3">
        <v>5.6559390111168402E-2</v>
      </c>
      <c r="S80" s="3">
        <v>5.1346904198118624E-2</v>
      </c>
      <c r="T80" s="3">
        <v>5.7816080504292426E-2</v>
      </c>
      <c r="U80" s="3">
        <v>5.4027736685895597E-2</v>
      </c>
      <c r="V80" s="3">
        <v>6.0124858987900855E-2</v>
      </c>
      <c r="W80" s="3">
        <v>5.5144763825180403E-2</v>
      </c>
      <c r="X80" s="3">
        <v>6.3388336794213074E-2</v>
      </c>
      <c r="Y80" s="3">
        <v>5.7591257052729682E-2</v>
      </c>
      <c r="Z80" s="3">
        <v>6.69770163473562E-2</v>
      </c>
      <c r="AA80" s="3">
        <v>6.8209543585266666E-2</v>
      </c>
      <c r="AB80" s="3">
        <v>7.3258125568611832E-2</v>
      </c>
      <c r="AC80" s="3">
        <v>7.6742287354191974E-2</v>
      </c>
      <c r="AD80" s="3">
        <v>7.8887157903794747E-2</v>
      </c>
      <c r="AE80" s="3">
        <v>8.6662762776687496E-2</v>
      </c>
      <c r="AF80" s="3">
        <v>8.971281396445252E-2</v>
      </c>
      <c r="AG80" s="3">
        <v>8.8782994599508808E-2</v>
      </c>
      <c r="AH80" s="3">
        <v>0.10238231580665266</v>
      </c>
      <c r="AI80" s="3">
        <v>9.2077913935211586E-2</v>
      </c>
      <c r="AJ80" s="3">
        <v>0.12320598351307099</v>
      </c>
      <c r="AK80" s="3">
        <v>0.15697013151438968</v>
      </c>
      <c r="AL80" s="3">
        <v>0.12438501633574686</v>
      </c>
    </row>
    <row r="81" spans="1:38" x14ac:dyDescent="0.35">
      <c r="A81" s="7">
        <v>43101</v>
      </c>
      <c r="B81" s="7">
        <v>43190</v>
      </c>
      <c r="C81" s="7" t="s">
        <v>219</v>
      </c>
      <c r="D81" t="s">
        <v>216</v>
      </c>
      <c r="E81" s="4" t="s">
        <v>75</v>
      </c>
      <c r="F81" s="3">
        <v>4.3182488272635211E-2</v>
      </c>
      <c r="G81" s="3">
        <v>4.2301753966505144E-2</v>
      </c>
      <c r="H81" s="3">
        <v>4.6026838639232931E-2</v>
      </c>
      <c r="I81" s="3">
        <v>4.4067557852125031E-2</v>
      </c>
      <c r="J81" s="3">
        <v>4.7201709327723482E-2</v>
      </c>
      <c r="K81" s="3">
        <v>4.7550622839863749E-2</v>
      </c>
      <c r="L81" s="3">
        <v>4.906601460175096E-2</v>
      </c>
      <c r="M81" s="3">
        <v>4.8515759061131508E-2</v>
      </c>
      <c r="N81" s="3">
        <v>5.2527017636710617E-2</v>
      </c>
      <c r="O81" s="3">
        <v>4.8956748998221201E-2</v>
      </c>
      <c r="P81" s="3">
        <v>5.5147315452805594E-2</v>
      </c>
      <c r="Q81" s="3">
        <v>5.0200116122030652E-2</v>
      </c>
      <c r="R81" s="3">
        <v>5.7524190394425523E-2</v>
      </c>
      <c r="S81" s="3">
        <v>5.2342902962852919E-2</v>
      </c>
      <c r="T81" s="3">
        <v>5.8756386656798408E-2</v>
      </c>
      <c r="U81" s="3">
        <v>5.5005559472231805E-2</v>
      </c>
      <c r="V81" s="3">
        <v>6.1047358524636865E-2</v>
      </c>
      <c r="W81" s="3">
        <v>5.6140598489951503E-2</v>
      </c>
      <c r="X81" s="3">
        <v>6.4328808699077422E-2</v>
      </c>
      <c r="Y81" s="3">
        <v>5.8560360891625425E-2</v>
      </c>
      <c r="Z81" s="3">
        <v>6.7974746221220003E-2</v>
      </c>
      <c r="AA81" s="3">
        <v>6.9143034001964809E-2</v>
      </c>
      <c r="AB81" s="3">
        <v>7.4196010653543365E-2</v>
      </c>
      <c r="AC81" s="3">
        <v>7.7649617469505106E-2</v>
      </c>
      <c r="AD81" s="3">
        <v>7.9819400436061255E-2</v>
      </c>
      <c r="AE81" s="3">
        <v>8.7639145127280965E-2</v>
      </c>
      <c r="AF81" s="3">
        <v>9.0675499657925512E-2</v>
      </c>
      <c r="AG81" s="3">
        <v>8.9723641932776488E-2</v>
      </c>
      <c r="AH81" s="3">
        <v>0.10331303051295471</v>
      </c>
      <c r="AI81" s="3">
        <v>9.3039773112474744E-2</v>
      </c>
      <c r="AJ81" s="3">
        <v>0.12416032095937948</v>
      </c>
      <c r="AK81" s="3">
        <v>0.15792404775594543</v>
      </c>
      <c r="AL81" s="3">
        <v>0.12532571407201984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5:C7"/>
  <sheetViews>
    <sheetView workbookViewId="0">
      <selection activeCell="G20" sqref="G20"/>
    </sheetView>
  </sheetViews>
  <sheetFormatPr baseColWidth="10" defaultRowHeight="14.5" x14ac:dyDescent="0.35"/>
  <cols>
    <col min="1" max="1" width="15.1796875" customWidth="1"/>
    <col min="2" max="2" width="22.26953125" bestFit="1" customWidth="1"/>
    <col min="3" max="3" width="27.26953125" bestFit="1" customWidth="1"/>
  </cols>
  <sheetData>
    <row r="5" spans="1:3" x14ac:dyDescent="0.35">
      <c r="A5" t="s">
        <v>199</v>
      </c>
      <c r="B5" t="s">
        <v>200</v>
      </c>
      <c r="C5" t="s">
        <v>100</v>
      </c>
    </row>
    <row r="6" spans="1:3" x14ac:dyDescent="0.35">
      <c r="A6" t="s">
        <v>202</v>
      </c>
      <c r="B6" t="s">
        <v>201</v>
      </c>
      <c r="C6" t="s">
        <v>204</v>
      </c>
    </row>
    <row r="7" spans="1:3" x14ac:dyDescent="0.35">
      <c r="A7" t="s">
        <v>203</v>
      </c>
      <c r="B7" t="s">
        <v>201</v>
      </c>
      <c r="C7" t="s">
        <v>205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sheetPr>
    <tabColor theme="4"/>
  </sheetPr>
  <dimension ref="A1:AJ119"/>
  <sheetViews>
    <sheetView zoomScale="70" zoomScaleNormal="70" workbookViewId="0">
      <selection activeCell="D5" sqref="D5"/>
    </sheetView>
  </sheetViews>
  <sheetFormatPr baseColWidth="10" defaultRowHeight="14.5" x14ac:dyDescent="0.35"/>
  <cols>
    <col min="1" max="1" width="16.453125" bestFit="1" customWidth="1"/>
    <col min="35" max="36" width="12.26953125" bestFit="1" customWidth="1"/>
  </cols>
  <sheetData>
    <row r="1" spans="1:36" x14ac:dyDescent="0.35">
      <c r="A1" t="s">
        <v>107</v>
      </c>
    </row>
    <row r="2" spans="1:36" x14ac:dyDescent="0.35">
      <c r="A2" t="s">
        <v>108</v>
      </c>
    </row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A4" t="s">
        <v>109</v>
      </c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s="2" t="s">
        <v>126</v>
      </c>
      <c r="B5" s="2" t="s">
        <v>26</v>
      </c>
      <c r="C5" s="2" t="s">
        <v>27</v>
      </c>
      <c r="D5" s="2" t="s">
        <v>127</v>
      </c>
      <c r="E5" s="2" t="s">
        <v>128</v>
      </c>
      <c r="F5" s="2" t="s">
        <v>129</v>
      </c>
      <c r="G5" s="2" t="s">
        <v>130</v>
      </c>
      <c r="H5" s="2" t="s">
        <v>131</v>
      </c>
      <c r="I5" s="2" t="s">
        <v>132</v>
      </c>
      <c r="J5" s="2" t="s">
        <v>133</v>
      </c>
      <c r="K5" s="2" t="s">
        <v>134</v>
      </c>
      <c r="L5" s="2" t="s">
        <v>135</v>
      </c>
      <c r="M5" s="2" t="s">
        <v>136</v>
      </c>
      <c r="N5" s="2" t="s">
        <v>137</v>
      </c>
      <c r="O5" s="2" t="s">
        <v>138</v>
      </c>
      <c r="P5" s="2" t="s">
        <v>139</v>
      </c>
      <c r="Q5" s="2" t="s">
        <v>140</v>
      </c>
      <c r="R5" s="2" t="s">
        <v>141</v>
      </c>
      <c r="S5" s="2" t="s">
        <v>142</v>
      </c>
      <c r="T5" s="2" t="s">
        <v>143</v>
      </c>
      <c r="U5" s="2" t="s">
        <v>144</v>
      </c>
      <c r="V5" s="2" t="s">
        <v>145</v>
      </c>
      <c r="W5" s="2" t="s">
        <v>146</v>
      </c>
      <c r="X5" s="2" t="s">
        <v>147</v>
      </c>
      <c r="Y5" s="2" t="s">
        <v>148</v>
      </c>
      <c r="Z5" s="2" t="s">
        <v>149</v>
      </c>
      <c r="AA5" s="2" t="s">
        <v>150</v>
      </c>
      <c r="AB5" s="2" t="s">
        <v>151</v>
      </c>
      <c r="AC5" s="2" t="s">
        <v>152</v>
      </c>
      <c r="AD5" s="2" t="s">
        <v>153</v>
      </c>
      <c r="AE5" s="2" t="s">
        <v>154</v>
      </c>
      <c r="AF5" s="2" t="s">
        <v>155</v>
      </c>
      <c r="AG5" s="2" t="s">
        <v>156</v>
      </c>
      <c r="AH5" s="2" t="s">
        <v>157</v>
      </c>
      <c r="AI5" s="2" t="s">
        <v>158</v>
      </c>
      <c r="AJ5" s="2" t="s">
        <v>159</v>
      </c>
    </row>
    <row r="6" spans="1:36" x14ac:dyDescent="0.35">
      <c r="A6" t="s">
        <v>63</v>
      </c>
      <c r="B6" t="s">
        <v>76</v>
      </c>
      <c r="C6" s="4">
        <v>1</v>
      </c>
      <c r="D6" s="3">
        <f ca="1">RAND()*(D$3-C$3)+C$3</f>
        <v>9.1370590984756329E-4</v>
      </c>
      <c r="E6" s="3">
        <f ca="1">RAND()*(E$3-D$3)+D$3-D6</f>
        <v>1.0148911074279699E-3</v>
      </c>
      <c r="F6" s="3">
        <f t="shared" ref="F6:AJ6" ca="1" si="2">RAND()*(F$3-E$3)+E$3-E6</f>
        <v>3.1944444701848037E-3</v>
      </c>
      <c r="G6" s="3">
        <f t="shared" ca="1" si="2"/>
        <v>3.5160497555812983E-3</v>
      </c>
      <c r="H6" s="3">
        <f t="shared" ca="1" si="2"/>
        <v>4.6186018181096642E-3</v>
      </c>
      <c r="I6" s="3">
        <f t="shared" ca="1" si="2"/>
        <v>5.5609437641072545E-3</v>
      </c>
      <c r="J6" s="3">
        <f t="shared" ca="1" si="2"/>
        <v>6.6141388341514765E-3</v>
      </c>
      <c r="K6" s="3">
        <f t="shared" ca="1" si="2"/>
        <v>7.290571818734594E-3</v>
      </c>
      <c r="L6" s="3">
        <f t="shared" ca="1" si="2"/>
        <v>9.0824342046090731E-3</v>
      </c>
      <c r="M6" s="3">
        <f t="shared" ca="1" si="2"/>
        <v>8.0582482394381365E-3</v>
      </c>
      <c r="N6" s="3">
        <f t="shared" ca="1" si="2"/>
        <v>1.2055500390365209E-2</v>
      </c>
      <c r="O6" s="3">
        <f t="shared" ca="1" si="2"/>
        <v>9.0296213945405997E-3</v>
      </c>
      <c r="P6" s="3">
        <f t="shared" ca="1" si="2"/>
        <v>1.3997233402660923E-2</v>
      </c>
      <c r="Q6" s="3">
        <f t="shared" ca="1" si="2"/>
        <v>1.2083634915801889E-2</v>
      </c>
      <c r="R6" s="3">
        <f t="shared" ca="1" si="2"/>
        <v>1.6064857934216605E-2</v>
      </c>
      <c r="S6" s="3">
        <f t="shared" ca="1" si="2"/>
        <v>1.4896046395142932E-2</v>
      </c>
      <c r="T6" s="3">
        <f t="shared" ca="1" si="2"/>
        <v>1.6590905782288615E-2</v>
      </c>
      <c r="U6" s="3">
        <f t="shared" ca="1" si="2"/>
        <v>1.644457354065729E-2</v>
      </c>
      <c r="V6" s="3">
        <f t="shared" ca="1" si="2"/>
        <v>2.0474417489700084E-2</v>
      </c>
      <c r="W6" s="3">
        <f t="shared" ca="1" si="2"/>
        <v>1.7911075326445331E-2</v>
      </c>
      <c r="X6" s="3">
        <f t="shared" ca="1" si="2"/>
        <v>2.7015268972069639E-2</v>
      </c>
      <c r="Y6" s="3">
        <f t="shared" ca="1" si="2"/>
        <v>2.6669398032775227E-2</v>
      </c>
      <c r="Z6" s="3">
        <f t="shared" ca="1" si="2"/>
        <v>3.2211387944149447E-2</v>
      </c>
      <c r="AA6" s="3">
        <f t="shared" ca="1" si="2"/>
        <v>3.6427035773633279E-2</v>
      </c>
      <c r="AB6" s="3">
        <f t="shared" ca="1" si="2"/>
        <v>3.7009861435001373E-2</v>
      </c>
      <c r="AC6" s="3">
        <f t="shared" ca="1" si="2"/>
        <v>4.703992273363522E-2</v>
      </c>
      <c r="AD6" s="3">
        <f t="shared" ca="1" si="2"/>
        <v>4.258455407874133E-2</v>
      </c>
      <c r="AE6" s="3">
        <f t="shared" ca="1" si="2"/>
        <v>5.6909917212217789E-2</v>
      </c>
      <c r="AF6" s="3">
        <f t="shared" ca="1" si="2"/>
        <v>5.2385227567861542E-2</v>
      </c>
      <c r="AG6" s="3">
        <f t="shared" ca="1" si="2"/>
        <v>6.3414225348875253E-2</v>
      </c>
      <c r="AH6" s="3">
        <f t="shared" ca="1" si="2"/>
        <v>8.0223404218132288E-2</v>
      </c>
      <c r="AI6" s="3">
        <f t="shared" ca="1" si="2"/>
        <v>8.9779280750684115E-2</v>
      </c>
      <c r="AJ6" s="3">
        <f t="shared" ca="1" si="2"/>
        <v>0.14643416287807257</v>
      </c>
    </row>
    <row r="7" spans="1:36" x14ac:dyDescent="0.35">
      <c r="A7" t="s">
        <v>63</v>
      </c>
      <c r="B7" t="s">
        <v>76</v>
      </c>
      <c r="C7" s="4" t="s">
        <v>64</v>
      </c>
      <c r="D7" s="3">
        <f ca="1">D6+RAND()*($D$3-$C$3)+$C$3</f>
        <v>1.8593690850967266E-3</v>
      </c>
      <c r="E7" s="3">
        <f t="shared" ref="E7:AJ14" ca="1" si="3">E6+RAND()*($D$3-$C$3)+$C$3</f>
        <v>1.952874469364628E-3</v>
      </c>
      <c r="F7" s="3">
        <f t="shared" ca="1" si="3"/>
        <v>4.1364202641316402E-3</v>
      </c>
      <c r="G7" s="3">
        <f t="shared" ca="1" si="3"/>
        <v>4.4612712335849996E-3</v>
      </c>
      <c r="H7" s="3">
        <f t="shared" ca="1" si="3"/>
        <v>5.5657503326904719E-3</v>
      </c>
      <c r="I7" s="3">
        <f t="shared" ca="1" si="3"/>
        <v>6.4837032573622161E-3</v>
      </c>
      <c r="J7" s="3">
        <f t="shared" ca="1" si="3"/>
        <v>7.5304275547686756E-3</v>
      </c>
      <c r="K7" s="3">
        <f t="shared" ca="1" si="3"/>
        <v>8.2250092129335112E-3</v>
      </c>
      <c r="L7" s="3">
        <f t="shared" ca="1" si="3"/>
        <v>1.0032238065345107E-2</v>
      </c>
      <c r="M7" s="3">
        <f t="shared" ca="1" si="3"/>
        <v>9.0151418402307521E-3</v>
      </c>
      <c r="N7" s="3">
        <f t="shared" ca="1" si="3"/>
        <v>1.30055048036088E-2</v>
      </c>
      <c r="O7" s="3">
        <f t="shared" ca="1" si="3"/>
        <v>9.9760877555447724E-3</v>
      </c>
      <c r="P7" s="3">
        <f t="shared" ca="1" si="3"/>
        <v>1.4973100783297739E-2</v>
      </c>
      <c r="Q7" s="3">
        <f t="shared" ca="1" si="3"/>
        <v>1.3035628708584225E-2</v>
      </c>
      <c r="R7" s="3">
        <f t="shared" ca="1" si="3"/>
        <v>1.7008718824845118E-2</v>
      </c>
      <c r="S7" s="3">
        <f t="shared" ca="1" si="3"/>
        <v>1.583324613575695E-2</v>
      </c>
      <c r="T7" s="3">
        <f t="shared" ca="1" si="3"/>
        <v>1.7517323755621865E-2</v>
      </c>
      <c r="U7" s="3">
        <f t="shared" ca="1" si="3"/>
        <v>1.7358018967929746E-2</v>
      </c>
      <c r="V7" s="3">
        <f t="shared" ca="1" si="3"/>
        <v>2.1413827681672361E-2</v>
      </c>
      <c r="W7" s="3">
        <f t="shared" ca="1" si="3"/>
        <v>1.8848944283317341E-2</v>
      </c>
      <c r="X7" s="3">
        <f t="shared" ca="1" si="3"/>
        <v>2.7945560605902385E-2</v>
      </c>
      <c r="Y7" s="3">
        <f t="shared" ca="1" si="3"/>
        <v>2.7655488296011929E-2</v>
      </c>
      <c r="Z7" s="3">
        <f t="shared" ca="1" si="3"/>
        <v>3.318036833698567E-2</v>
      </c>
      <c r="AA7" s="3">
        <f t="shared" ca="1" si="3"/>
        <v>3.7412512025703316E-2</v>
      </c>
      <c r="AB7" s="3">
        <f t="shared" ca="1" si="3"/>
        <v>3.7934171179409185E-2</v>
      </c>
      <c r="AC7" s="3">
        <f t="shared" ca="1" si="3"/>
        <v>4.8009224929046648E-2</v>
      </c>
      <c r="AD7" s="3">
        <f t="shared" ca="1" si="3"/>
        <v>4.3564747644908391E-2</v>
      </c>
      <c r="AE7" s="3">
        <f t="shared" ca="1" si="3"/>
        <v>5.78214630797136E-2</v>
      </c>
      <c r="AF7" s="3">
        <f t="shared" ca="1" si="3"/>
        <v>5.3341394106224883E-2</v>
      </c>
      <c r="AG7" s="3">
        <f t="shared" ca="1" si="3"/>
        <v>6.4406165541363899E-2</v>
      </c>
      <c r="AH7" s="3">
        <f t="shared" ca="1" si="3"/>
        <v>8.120115255780723E-2</v>
      </c>
      <c r="AI7" s="3">
        <f t="shared" ca="1" si="3"/>
        <v>9.0773627881814811E-2</v>
      </c>
      <c r="AJ7" s="3">
        <f t="shared" ca="1" si="3"/>
        <v>0.14740802984172169</v>
      </c>
    </row>
    <row r="8" spans="1:36" x14ac:dyDescent="0.35">
      <c r="A8" t="s">
        <v>63</v>
      </c>
      <c r="B8" t="s">
        <v>76</v>
      </c>
      <c r="C8" s="4">
        <v>2</v>
      </c>
      <c r="D8" s="3">
        <f t="shared" ref="D8:D24" ca="1" si="4">D7+RAND()*($D$3-$C$3)+$C$3</f>
        <v>2.8082300565452582E-3</v>
      </c>
      <c r="E8" s="3">
        <f t="shared" ca="1" si="3"/>
        <v>2.9107712312871886E-3</v>
      </c>
      <c r="F8" s="3">
        <f t="shared" ca="1" si="3"/>
        <v>5.1342144682510046E-3</v>
      </c>
      <c r="G8" s="3">
        <f t="shared" ca="1" si="3"/>
        <v>5.449986216935156E-3</v>
      </c>
      <c r="H8" s="3">
        <f t="shared" ca="1" si="3"/>
        <v>6.4850166848050006E-3</v>
      </c>
      <c r="I8" s="3">
        <f t="shared" ca="1" si="3"/>
        <v>7.4063624888340718E-3</v>
      </c>
      <c r="J8" s="3">
        <f t="shared" ca="1" si="3"/>
        <v>8.4761349055543344E-3</v>
      </c>
      <c r="K8" s="3">
        <f t="shared" ca="1" si="3"/>
        <v>9.1289292437823355E-3</v>
      </c>
      <c r="L8" s="3">
        <f t="shared" ca="1" si="3"/>
        <v>1.0966265956155592E-2</v>
      </c>
      <c r="M8" s="3">
        <f t="shared" ca="1" si="3"/>
        <v>9.9172538513714915E-3</v>
      </c>
      <c r="N8" s="3">
        <f t="shared" ca="1" si="3"/>
        <v>1.3958403473875915E-2</v>
      </c>
      <c r="O8" s="3">
        <f t="shared" ca="1" si="3"/>
        <v>1.0891319465371896E-2</v>
      </c>
      <c r="P8" s="3">
        <f t="shared" ca="1" si="3"/>
        <v>1.5922422200451935E-2</v>
      </c>
      <c r="Q8" s="3">
        <f t="shared" ca="1" si="3"/>
        <v>1.4020248104859703E-2</v>
      </c>
      <c r="R8" s="3">
        <f t="shared" ca="1" si="3"/>
        <v>1.7974093514756165E-2</v>
      </c>
      <c r="S8" s="3">
        <f t="shared" ca="1" si="3"/>
        <v>1.6733364832246061E-2</v>
      </c>
      <c r="T8" s="3">
        <f t="shared" ca="1" si="3"/>
        <v>1.8491267302027988E-2</v>
      </c>
      <c r="U8" s="3">
        <f t="shared" ca="1" si="3"/>
        <v>1.8342966228622724E-2</v>
      </c>
      <c r="V8" s="3">
        <f t="shared" ca="1" si="3"/>
        <v>2.2363804915033723E-2</v>
      </c>
      <c r="W8" s="3">
        <f t="shared" ca="1" si="3"/>
        <v>1.9768143392335232E-2</v>
      </c>
      <c r="X8" s="3">
        <f t="shared" ca="1" si="3"/>
        <v>2.8862942597823397E-2</v>
      </c>
      <c r="Y8" s="3">
        <f t="shared" ca="1" si="3"/>
        <v>2.8640897707001216E-2</v>
      </c>
      <c r="Z8" s="3">
        <f t="shared" ca="1" si="3"/>
        <v>3.4098541840124924E-2</v>
      </c>
      <c r="AA8" s="3">
        <f t="shared" ca="1" si="3"/>
        <v>3.8332948039680188E-2</v>
      </c>
      <c r="AB8" s="3">
        <f t="shared" ca="1" si="3"/>
        <v>3.885579679533499E-2</v>
      </c>
      <c r="AC8" s="3">
        <f t="shared" ca="1" si="3"/>
        <v>4.8990470493755996E-2</v>
      </c>
      <c r="AD8" s="3">
        <f t="shared" ca="1" si="3"/>
        <v>4.4478437603692578E-2</v>
      </c>
      <c r="AE8" s="3">
        <f t="shared" ca="1" si="3"/>
        <v>5.8747914709393556E-2</v>
      </c>
      <c r="AF8" s="3">
        <f t="shared" ca="1" si="3"/>
        <v>5.424593702481726E-2</v>
      </c>
      <c r="AG8" s="3">
        <f t="shared" ca="1" si="3"/>
        <v>6.5340071320366996E-2</v>
      </c>
      <c r="AH8" s="3">
        <f t="shared" ca="1" si="3"/>
        <v>8.2192203928552476E-2</v>
      </c>
      <c r="AI8" s="3">
        <f t="shared" ca="1" si="3"/>
        <v>9.1746344194603091E-2</v>
      </c>
      <c r="AJ8" s="3">
        <f t="shared" ca="1" si="3"/>
        <v>0.14836323266674981</v>
      </c>
    </row>
    <row r="9" spans="1:36" x14ac:dyDescent="0.35">
      <c r="A9" t="s">
        <v>63</v>
      </c>
      <c r="B9" t="s">
        <v>76</v>
      </c>
      <c r="C9" s="4" t="s">
        <v>65</v>
      </c>
      <c r="D9" s="3">
        <f t="shared" ca="1" si="4"/>
        <v>3.708986657541615E-3</v>
      </c>
      <c r="E9" s="3">
        <f t="shared" ca="1" si="3"/>
        <v>3.8713560195413081E-3</v>
      </c>
      <c r="F9" s="3">
        <f t="shared" ca="1" si="3"/>
        <v>6.0477605989534599E-3</v>
      </c>
      <c r="G9" s="3">
        <f t="shared" ca="1" si="3"/>
        <v>6.3692124566044764E-3</v>
      </c>
      <c r="H9" s="3">
        <f t="shared" ca="1" si="3"/>
        <v>7.4315963014003027E-3</v>
      </c>
      <c r="I9" s="3">
        <f t="shared" ca="1" si="3"/>
        <v>8.3710005928038858E-3</v>
      </c>
      <c r="J9" s="3">
        <f t="shared" ca="1" si="3"/>
        <v>9.4457802973517153E-3</v>
      </c>
      <c r="K9" s="3">
        <f t="shared" ca="1" si="3"/>
        <v>1.0077174559546053E-2</v>
      </c>
      <c r="L9" s="3">
        <f t="shared" ca="1" si="3"/>
        <v>1.196474931201472E-2</v>
      </c>
      <c r="M9" s="3">
        <f t="shared" ca="1" si="3"/>
        <v>1.0850757813487362E-2</v>
      </c>
      <c r="N9" s="3">
        <f t="shared" ca="1" si="3"/>
        <v>1.4891106708963623E-2</v>
      </c>
      <c r="O9" s="3">
        <f t="shared" ca="1" si="3"/>
        <v>1.185570662382858E-2</v>
      </c>
      <c r="P9" s="3">
        <f t="shared" ca="1" si="3"/>
        <v>1.6887270668877269E-2</v>
      </c>
      <c r="Q9" s="3">
        <f t="shared" ca="1" si="3"/>
        <v>1.4922992518657162E-2</v>
      </c>
      <c r="R9" s="3">
        <f t="shared" ca="1" si="3"/>
        <v>1.8914876549807912E-2</v>
      </c>
      <c r="S9" s="3">
        <f t="shared" ca="1" si="3"/>
        <v>1.7696774126957759E-2</v>
      </c>
      <c r="T9" s="3">
        <f t="shared" ca="1" si="3"/>
        <v>1.9432137864852921E-2</v>
      </c>
      <c r="U9" s="3">
        <f t="shared" ca="1" si="3"/>
        <v>1.9251906500653431E-2</v>
      </c>
      <c r="V9" s="3">
        <f t="shared" ca="1" si="3"/>
        <v>2.3288681499768555E-2</v>
      </c>
      <c r="W9" s="3">
        <f t="shared" ca="1" si="3"/>
        <v>2.0698751350014314E-2</v>
      </c>
      <c r="X9" s="3">
        <f t="shared" ca="1" si="3"/>
        <v>2.9842200822334925E-2</v>
      </c>
      <c r="Y9" s="3">
        <f t="shared" ca="1" si="3"/>
        <v>2.9551705687135856E-2</v>
      </c>
      <c r="Z9" s="3">
        <f t="shared" ca="1" si="3"/>
        <v>3.50939543949556E-2</v>
      </c>
      <c r="AA9" s="3">
        <f t="shared" ca="1" si="3"/>
        <v>3.9332863582856446E-2</v>
      </c>
      <c r="AB9" s="3">
        <f t="shared" ca="1" si="3"/>
        <v>3.9849713178535744E-2</v>
      </c>
      <c r="AC9" s="3">
        <f t="shared" ca="1" si="3"/>
        <v>4.9912339198120145E-2</v>
      </c>
      <c r="AD9" s="3">
        <f t="shared" ca="1" si="3"/>
        <v>4.542151852217384E-2</v>
      </c>
      <c r="AE9" s="3">
        <f t="shared" ca="1" si="3"/>
        <v>5.9741929561125416E-2</v>
      </c>
      <c r="AF9" s="3">
        <f t="shared" ca="1" si="3"/>
        <v>5.5234317779736808E-2</v>
      </c>
      <c r="AG9" s="3">
        <f t="shared" ca="1" si="3"/>
        <v>6.6288493445900071E-2</v>
      </c>
      <c r="AH9" s="3">
        <f t="shared" ca="1" si="3"/>
        <v>8.3119455923485921E-2</v>
      </c>
      <c r="AI9" s="3">
        <f t="shared" ca="1" si="3"/>
        <v>9.267211302804762E-2</v>
      </c>
      <c r="AJ9" s="3">
        <f t="shared" ca="1" si="3"/>
        <v>0.14934132105259659</v>
      </c>
    </row>
    <row r="10" spans="1:36" x14ac:dyDescent="0.35">
      <c r="A10" t="s">
        <v>63</v>
      </c>
      <c r="B10" t="s">
        <v>76</v>
      </c>
      <c r="C10" s="4" t="s">
        <v>66</v>
      </c>
      <c r="D10" s="3">
        <f t="shared" ca="1" si="4"/>
        <v>4.6327364919427575E-3</v>
      </c>
      <c r="E10" s="3">
        <f t="shared" ca="1" si="3"/>
        <v>4.8105397571632331E-3</v>
      </c>
      <c r="F10" s="3">
        <f t="shared" ca="1" si="3"/>
        <v>6.9966414393711086E-3</v>
      </c>
      <c r="G10" s="3">
        <f t="shared" ca="1" si="3"/>
        <v>7.349656612801141E-3</v>
      </c>
      <c r="H10" s="3">
        <f t="shared" ca="1" si="3"/>
        <v>8.3332917269697861E-3</v>
      </c>
      <c r="I10" s="3">
        <f t="shared" ca="1" si="3"/>
        <v>9.3525803768401243E-3</v>
      </c>
      <c r="J10" s="3">
        <f t="shared" ca="1" si="3"/>
        <v>1.0445257628025799E-2</v>
      </c>
      <c r="K10" s="3">
        <f t="shared" ca="1" si="3"/>
        <v>1.1064841418840357E-2</v>
      </c>
      <c r="L10" s="3">
        <f t="shared" ca="1" si="3"/>
        <v>1.289789393576248E-2</v>
      </c>
      <c r="M10" s="3">
        <f t="shared" ca="1" si="3"/>
        <v>1.1838331764831124E-2</v>
      </c>
      <c r="N10" s="3">
        <f t="shared" ca="1" si="3"/>
        <v>1.5841137233188231E-2</v>
      </c>
      <c r="O10" s="3">
        <f t="shared" ca="1" si="3"/>
        <v>1.2840562383286652E-2</v>
      </c>
      <c r="P10" s="3">
        <f t="shared" ca="1" si="3"/>
        <v>1.786397898509768E-2</v>
      </c>
      <c r="Q10" s="3">
        <f t="shared" ca="1" si="3"/>
        <v>1.5833220359931007E-2</v>
      </c>
      <c r="R10" s="3">
        <f t="shared" ca="1" si="3"/>
        <v>1.9913690909378005E-2</v>
      </c>
      <c r="S10" s="3">
        <f t="shared" ca="1" si="3"/>
        <v>1.8678987199078345E-2</v>
      </c>
      <c r="T10" s="3">
        <f t="shared" ca="1" si="3"/>
        <v>2.0384162633159883E-2</v>
      </c>
      <c r="U10" s="3">
        <f t="shared" ca="1" si="3"/>
        <v>2.0174715616295608E-2</v>
      </c>
      <c r="V10" s="3">
        <f t="shared" ca="1" si="3"/>
        <v>2.4236651412355925E-2</v>
      </c>
      <c r="W10" s="3">
        <f t="shared" ca="1" si="3"/>
        <v>2.1612092817120711E-2</v>
      </c>
      <c r="X10" s="3">
        <f t="shared" ca="1" si="3"/>
        <v>3.0799350238133922E-2</v>
      </c>
      <c r="Y10" s="3">
        <f t="shared" ca="1" si="3"/>
        <v>3.0492017354123966E-2</v>
      </c>
      <c r="Z10" s="3">
        <f t="shared" ca="1" si="3"/>
        <v>3.606190159600544E-2</v>
      </c>
      <c r="AA10" s="3">
        <f t="shared" ca="1" si="3"/>
        <v>4.0290823616776043E-2</v>
      </c>
      <c r="AB10" s="3">
        <f t="shared" ca="1" si="3"/>
        <v>4.0797018963729323E-2</v>
      </c>
      <c r="AC10" s="3">
        <f t="shared" ca="1" si="3"/>
        <v>5.0870820272367556E-2</v>
      </c>
      <c r="AD10" s="3">
        <f t="shared" ca="1" si="3"/>
        <v>4.6406851262124002E-2</v>
      </c>
      <c r="AE10" s="3">
        <f t="shared" ca="1" si="3"/>
        <v>6.0649428229579673E-2</v>
      </c>
      <c r="AF10" s="3">
        <f t="shared" ca="1" si="3"/>
        <v>5.6144691183232689E-2</v>
      </c>
      <c r="AG10" s="3">
        <f t="shared" ca="1" si="3"/>
        <v>6.7286691592781195E-2</v>
      </c>
      <c r="AH10" s="3">
        <f t="shared" ca="1" si="3"/>
        <v>8.4097941283547611E-2</v>
      </c>
      <c r="AI10" s="3">
        <f t="shared" ca="1" si="3"/>
        <v>9.3581756995568421E-2</v>
      </c>
      <c r="AJ10" s="3">
        <f t="shared" ca="1" si="3"/>
        <v>0.15033633138748026</v>
      </c>
    </row>
    <row r="11" spans="1:36" x14ac:dyDescent="0.35">
      <c r="A11" t="s">
        <v>63</v>
      </c>
      <c r="B11" t="s">
        <v>76</v>
      </c>
      <c r="C11" s="4">
        <v>3</v>
      </c>
      <c r="D11" s="3">
        <f t="shared" ca="1" si="4"/>
        <v>5.5354188998003317E-3</v>
      </c>
      <c r="E11" s="3">
        <f t="shared" ca="1" si="3"/>
        <v>5.7568472174221374E-3</v>
      </c>
      <c r="F11" s="3">
        <f t="shared" ca="1" si="3"/>
        <v>7.9021933817806922E-3</v>
      </c>
      <c r="G11" s="3">
        <f t="shared" ca="1" si="3"/>
        <v>8.3193566172593148E-3</v>
      </c>
      <c r="H11" s="3">
        <f t="shared" ca="1" si="3"/>
        <v>9.324404908782372E-3</v>
      </c>
      <c r="I11" s="3">
        <f t="shared" ca="1" si="3"/>
        <v>1.0321189068105722E-2</v>
      </c>
      <c r="J11" s="3">
        <f t="shared" ca="1" si="3"/>
        <v>1.1366055130992722E-2</v>
      </c>
      <c r="K11" s="3">
        <f t="shared" ca="1" si="3"/>
        <v>1.2054291289198665E-2</v>
      </c>
      <c r="L11" s="3">
        <f t="shared" ca="1" si="3"/>
        <v>1.3841578856936558E-2</v>
      </c>
      <c r="M11" s="3">
        <f t="shared" ca="1" si="3"/>
        <v>1.2799616003714386E-2</v>
      </c>
      <c r="N11" s="3">
        <f t="shared" ca="1" si="3"/>
        <v>1.6774661628305373E-2</v>
      </c>
      <c r="O11" s="3">
        <f t="shared" ca="1" si="3"/>
        <v>1.3819145554687842E-2</v>
      </c>
      <c r="P11" s="3">
        <f t="shared" ca="1" si="3"/>
        <v>1.8772022416589446E-2</v>
      </c>
      <c r="Q11" s="3">
        <f t="shared" ca="1" si="3"/>
        <v>1.6816667110201633E-2</v>
      </c>
      <c r="R11" s="3">
        <f t="shared" ca="1" si="3"/>
        <v>2.0900383735384595E-2</v>
      </c>
      <c r="S11" s="3">
        <f t="shared" ca="1" si="3"/>
        <v>1.9633224898428357E-2</v>
      </c>
      <c r="T11" s="3">
        <f t="shared" ca="1" si="3"/>
        <v>2.133632632314069E-2</v>
      </c>
      <c r="U11" s="3">
        <f t="shared" ca="1" si="3"/>
        <v>2.1170541774706383E-2</v>
      </c>
      <c r="V11" s="3">
        <f t="shared" ca="1" si="3"/>
        <v>2.5162682533392794E-2</v>
      </c>
      <c r="W11" s="3">
        <f t="shared" ca="1" si="3"/>
        <v>2.2576200663516375E-2</v>
      </c>
      <c r="X11" s="3">
        <f t="shared" ca="1" si="3"/>
        <v>3.1748592196886007E-2</v>
      </c>
      <c r="Y11" s="3">
        <f t="shared" ca="1" si="3"/>
        <v>3.1489087370722785E-2</v>
      </c>
      <c r="Z11" s="3">
        <f t="shared" ca="1" si="3"/>
        <v>3.7045434060242646E-2</v>
      </c>
      <c r="AA11" s="3">
        <f t="shared" ca="1" si="3"/>
        <v>4.1207726995219476E-2</v>
      </c>
      <c r="AB11" s="3">
        <f t="shared" ca="1" si="3"/>
        <v>4.1753314758215851E-2</v>
      </c>
      <c r="AC11" s="3">
        <f t="shared" ca="1" si="3"/>
        <v>5.1779794575989198E-2</v>
      </c>
      <c r="AD11" s="3">
        <f t="shared" ca="1" si="3"/>
        <v>4.7321129724457608E-2</v>
      </c>
      <c r="AE11" s="3">
        <f t="shared" ca="1" si="3"/>
        <v>6.1554916437570918E-2</v>
      </c>
      <c r="AF11" s="3">
        <f t="shared" ca="1" si="3"/>
        <v>5.7087085794999229E-2</v>
      </c>
      <c r="AG11" s="3">
        <f t="shared" ca="1" si="3"/>
        <v>6.8264153112874121E-2</v>
      </c>
      <c r="AH11" s="3">
        <f t="shared" ca="1" si="3"/>
        <v>8.5096837151539109E-2</v>
      </c>
      <c r="AI11" s="3">
        <f t="shared" ca="1" si="3"/>
        <v>9.4503659307368024E-2</v>
      </c>
      <c r="AJ11" s="3">
        <f t="shared" ca="1" si="3"/>
        <v>0.15131590924834729</v>
      </c>
    </row>
    <row r="12" spans="1:36" x14ac:dyDescent="0.35">
      <c r="A12" t="s">
        <v>63</v>
      </c>
      <c r="B12" t="s">
        <v>76</v>
      </c>
      <c r="C12" s="4" t="s">
        <v>67</v>
      </c>
      <c r="D12" s="3">
        <f t="shared" ca="1" si="4"/>
        <v>6.5106229808475366E-3</v>
      </c>
      <c r="E12" s="3">
        <f t="shared" ca="1" si="3"/>
        <v>6.7057993623293516E-3</v>
      </c>
      <c r="F12" s="3">
        <f t="shared" ca="1" si="3"/>
        <v>8.85412417621813E-3</v>
      </c>
      <c r="G12" s="3">
        <f t="shared" ca="1" si="3"/>
        <v>9.2678271443200483E-3</v>
      </c>
      <c r="H12" s="3">
        <f t="shared" ca="1" si="3"/>
        <v>1.0241966778974666E-2</v>
      </c>
      <c r="I12" s="3">
        <f t="shared" ca="1" si="3"/>
        <v>1.1260629029326926E-2</v>
      </c>
      <c r="J12" s="3">
        <f t="shared" ca="1" si="3"/>
        <v>1.2359835827577886E-2</v>
      </c>
      <c r="K12" s="3">
        <f t="shared" ca="1" si="3"/>
        <v>1.3008935136804199E-2</v>
      </c>
      <c r="L12" s="3">
        <f t="shared" ca="1" si="3"/>
        <v>1.4822250648340458E-2</v>
      </c>
      <c r="M12" s="3">
        <f t="shared" ca="1" si="3"/>
        <v>1.376281978608359E-2</v>
      </c>
      <c r="N12" s="3">
        <f t="shared" ca="1" si="3"/>
        <v>1.773249575977482E-2</v>
      </c>
      <c r="O12" s="3">
        <f t="shared" ca="1" si="3"/>
        <v>1.4803701985589538E-2</v>
      </c>
      <c r="P12" s="3">
        <f t="shared" ca="1" si="3"/>
        <v>1.9704116811724664E-2</v>
      </c>
      <c r="Q12" s="3">
        <f t="shared" ca="1" si="3"/>
        <v>1.7741243084011302E-2</v>
      </c>
      <c r="R12" s="3">
        <f t="shared" ca="1" si="3"/>
        <v>2.1830146296141162E-2</v>
      </c>
      <c r="S12" s="3">
        <f t="shared" ca="1" si="3"/>
        <v>2.0604001596953588E-2</v>
      </c>
      <c r="T12" s="3">
        <f t="shared" ca="1" si="3"/>
        <v>2.2260814987765404E-2</v>
      </c>
      <c r="U12" s="3">
        <f t="shared" ca="1" si="3"/>
        <v>2.2089939795012534E-2</v>
      </c>
      <c r="V12" s="3">
        <f t="shared" ca="1" si="3"/>
        <v>2.6078668308939391E-2</v>
      </c>
      <c r="W12" s="3">
        <f t="shared" ca="1" si="3"/>
        <v>2.3513808931606563E-2</v>
      </c>
      <c r="X12" s="3">
        <f t="shared" ca="1" si="3"/>
        <v>3.2682838270696818E-2</v>
      </c>
      <c r="Y12" s="3">
        <f t="shared" ca="1" si="3"/>
        <v>3.2435207387835147E-2</v>
      </c>
      <c r="Z12" s="3">
        <f t="shared" ca="1" si="3"/>
        <v>3.7962198162292592E-2</v>
      </c>
      <c r="AA12" s="3">
        <f t="shared" ca="1" si="3"/>
        <v>4.2202441290445585E-2</v>
      </c>
      <c r="AB12" s="3">
        <f t="shared" ca="1" si="3"/>
        <v>4.2671610864655422E-2</v>
      </c>
      <c r="AC12" s="3">
        <f t="shared" ca="1" si="3"/>
        <v>5.2734017177726869E-2</v>
      </c>
      <c r="AD12" s="3">
        <f t="shared" ca="1" si="3"/>
        <v>4.8228043341401336E-2</v>
      </c>
      <c r="AE12" s="3">
        <f t="shared" ca="1" si="3"/>
        <v>6.2549592362791465E-2</v>
      </c>
      <c r="AF12" s="3">
        <f t="shared" ca="1" si="3"/>
        <v>5.8049294447893598E-2</v>
      </c>
      <c r="AG12" s="3">
        <f t="shared" ca="1" si="3"/>
        <v>6.9165781092361198E-2</v>
      </c>
      <c r="AH12" s="3">
        <f t="shared" ca="1" si="3"/>
        <v>8.6083627789772452E-2</v>
      </c>
      <c r="AI12" s="3">
        <f t="shared" ca="1" si="3"/>
        <v>9.5429377824475345E-2</v>
      </c>
      <c r="AJ12" s="3">
        <f t="shared" ca="1" si="3"/>
        <v>0.15227502747557742</v>
      </c>
    </row>
    <row r="13" spans="1:36" x14ac:dyDescent="0.35">
      <c r="A13" t="s">
        <v>63</v>
      </c>
      <c r="B13" t="s">
        <v>76</v>
      </c>
      <c r="C13" s="4" t="s">
        <v>68</v>
      </c>
      <c r="D13" s="3">
        <f t="shared" ca="1" si="4"/>
        <v>7.4220162520994898E-3</v>
      </c>
      <c r="E13" s="3">
        <f t="shared" ca="1" si="3"/>
        <v>7.6497875937765261E-3</v>
      </c>
      <c r="F13" s="3">
        <f t="shared" ca="1" si="3"/>
        <v>9.8493503030954461E-3</v>
      </c>
      <c r="G13" s="3">
        <f t="shared" ca="1" si="3"/>
        <v>1.0214582663345092E-2</v>
      </c>
      <c r="H13" s="3">
        <f t="shared" ca="1" si="3"/>
        <v>1.1169522384931786E-2</v>
      </c>
      <c r="I13" s="3">
        <f t="shared" ca="1" si="3"/>
        <v>1.2249949219688368E-2</v>
      </c>
      <c r="J13" s="3">
        <f t="shared" ca="1" si="3"/>
        <v>1.3315778297119947E-2</v>
      </c>
      <c r="K13" s="3">
        <f t="shared" ca="1" si="3"/>
        <v>1.3955267408858335E-2</v>
      </c>
      <c r="L13" s="3">
        <f t="shared" ca="1" si="3"/>
        <v>1.5761893085030457E-2</v>
      </c>
      <c r="M13" s="3">
        <f t="shared" ca="1" si="3"/>
        <v>1.4739408119132198E-2</v>
      </c>
      <c r="N13" s="3">
        <f t="shared" ca="1" si="3"/>
        <v>1.8638827815214757E-2</v>
      </c>
      <c r="O13" s="3">
        <f t="shared" ca="1" si="3"/>
        <v>1.5803672328245852E-2</v>
      </c>
      <c r="P13" s="3">
        <f t="shared" ca="1" si="3"/>
        <v>2.0688162760386652E-2</v>
      </c>
      <c r="Q13" s="3">
        <f t="shared" ca="1" si="3"/>
        <v>1.8669036729938301E-2</v>
      </c>
      <c r="R13" s="3">
        <f t="shared" ca="1" si="3"/>
        <v>2.2739692308070991E-2</v>
      </c>
      <c r="S13" s="3">
        <f t="shared" ca="1" si="3"/>
        <v>2.1506900017459234E-2</v>
      </c>
      <c r="T13" s="3">
        <f t="shared" ca="1" si="3"/>
        <v>2.3182358962920924E-2</v>
      </c>
      <c r="U13" s="3">
        <f t="shared" ca="1" si="3"/>
        <v>2.3052843780424461E-2</v>
      </c>
      <c r="V13" s="3">
        <f t="shared" ca="1" si="3"/>
        <v>2.7029186935479305E-2</v>
      </c>
      <c r="W13" s="3">
        <f t="shared" ca="1" si="3"/>
        <v>2.4484583950980649E-2</v>
      </c>
      <c r="X13" s="3">
        <f t="shared" ca="1" si="3"/>
        <v>3.3671693500971552E-2</v>
      </c>
      <c r="Y13" s="3">
        <f t="shared" ca="1" si="3"/>
        <v>3.3351374772753857E-2</v>
      </c>
      <c r="Z13" s="3">
        <f t="shared" ca="1" si="3"/>
        <v>3.8875780244345307E-2</v>
      </c>
      <c r="AA13" s="3">
        <f t="shared" ca="1" si="3"/>
        <v>4.311188558227682E-2</v>
      </c>
      <c r="AB13" s="3">
        <f t="shared" ca="1" si="3"/>
        <v>4.3665847360598781E-2</v>
      </c>
      <c r="AC13" s="3">
        <f t="shared" ca="1" si="3"/>
        <v>5.3670777012293891E-2</v>
      </c>
      <c r="AD13" s="3">
        <f t="shared" ca="1" si="3"/>
        <v>4.9138271997898324E-2</v>
      </c>
      <c r="AE13" s="3">
        <f t="shared" ca="1" si="3"/>
        <v>6.3453371654723978E-2</v>
      </c>
      <c r="AF13" s="3">
        <f t="shared" ca="1" si="3"/>
        <v>5.8951037429639121E-2</v>
      </c>
      <c r="AG13" s="3">
        <f t="shared" ca="1" si="3"/>
        <v>7.0135608880384254E-2</v>
      </c>
      <c r="AH13" s="3">
        <f t="shared" ca="1" si="3"/>
        <v>8.703514212197111E-2</v>
      </c>
      <c r="AI13" s="3">
        <f t="shared" ca="1" si="3"/>
        <v>9.6356404999011477E-2</v>
      </c>
      <c r="AJ13" s="3">
        <f t="shared" ca="1" si="3"/>
        <v>0.15320785585581995</v>
      </c>
    </row>
    <row r="14" spans="1:36" x14ac:dyDescent="0.35">
      <c r="A14" t="s">
        <v>63</v>
      </c>
      <c r="B14" t="s">
        <v>76</v>
      </c>
      <c r="C14" s="4">
        <v>4</v>
      </c>
      <c r="D14" s="3">
        <f t="shared" ca="1" si="4"/>
        <v>8.35369752274818E-3</v>
      </c>
      <c r="E14" s="3">
        <f t="shared" ca="1" si="3"/>
        <v>8.6218273503102846E-3</v>
      </c>
      <c r="F14" s="3">
        <f t="shared" ca="1" si="3"/>
        <v>1.0845392329472138E-2</v>
      </c>
      <c r="G14" s="3">
        <f t="shared" ca="1" si="3"/>
        <v>1.113938343968764E-2</v>
      </c>
      <c r="H14" s="3">
        <f t="shared" ca="1" si="3"/>
        <v>1.2075058875749578E-2</v>
      </c>
      <c r="I14" s="3">
        <f t="shared" ca="1" si="3"/>
        <v>1.316667055755605E-2</v>
      </c>
      <c r="J14" s="3">
        <f t="shared" ca="1" si="3"/>
        <v>1.4245464210301749E-2</v>
      </c>
      <c r="K14" s="3">
        <f t="shared" ca="1" si="3"/>
        <v>1.4879871362227676E-2</v>
      </c>
      <c r="L14" s="3">
        <f t="shared" ca="1" si="3"/>
        <v>1.6755308482763992E-2</v>
      </c>
      <c r="M14" s="3">
        <f t="shared" ca="1" si="3"/>
        <v>1.5711046939209643E-2</v>
      </c>
      <c r="N14" s="3">
        <f t="shared" ca="1" si="3"/>
        <v>1.9589041605893233E-2</v>
      </c>
      <c r="O14" s="3">
        <f t="shared" ca="1" si="3"/>
        <v>1.6710756430602255E-2</v>
      </c>
      <c r="P14" s="3">
        <f t="shared" ca="1" si="3"/>
        <v>2.1592371834465943E-2</v>
      </c>
      <c r="Q14" s="3">
        <f t="shared" ca="1" si="3"/>
        <v>1.9667368477124893E-2</v>
      </c>
      <c r="R14" s="3">
        <f t="shared" ca="1" si="3"/>
        <v>2.3692499694547158E-2</v>
      </c>
      <c r="S14" s="3">
        <f t="shared" ca="1" si="3"/>
        <v>2.2468895932076169E-2</v>
      </c>
      <c r="T14" s="3">
        <f t="shared" ca="1" si="3"/>
        <v>2.4180190530957681E-2</v>
      </c>
      <c r="U14" s="3">
        <f t="shared" ca="1" si="3"/>
        <v>2.4023431437911368E-2</v>
      </c>
      <c r="V14" s="3">
        <f t="shared" ca="1" si="3"/>
        <v>2.7993280816635477E-2</v>
      </c>
      <c r="W14" s="3">
        <f t="shared" ca="1" si="3"/>
        <v>2.5392216027804507E-2</v>
      </c>
      <c r="X14" s="3">
        <f t="shared" ca="1" si="3"/>
        <v>3.4584822502365206E-2</v>
      </c>
      <c r="Y14" s="3">
        <f t="shared" ca="1" si="3"/>
        <v>3.4328585201283207E-2</v>
      </c>
      <c r="Z14" s="3">
        <f t="shared" ca="1" si="3"/>
        <v>3.977702783956031E-2</v>
      </c>
      <c r="AA14" s="3">
        <f t="shared" ca="1" si="3"/>
        <v>4.4015618671197118E-2</v>
      </c>
      <c r="AB14" s="3">
        <f t="shared" ca="1" si="3"/>
        <v>4.464866456988615E-2</v>
      </c>
      <c r="AC14" s="3">
        <f t="shared" ca="1" si="3"/>
        <v>5.4617280978708965E-2</v>
      </c>
      <c r="AD14" s="3">
        <f t="shared" ca="1" si="3"/>
        <v>5.0127294390794663E-2</v>
      </c>
      <c r="AE14" s="3">
        <f t="shared" ca="1" si="3"/>
        <v>6.4372679032820179E-2</v>
      </c>
      <c r="AF14" s="3">
        <f t="shared" ca="1" si="3"/>
        <v>5.9872124704446909E-2</v>
      </c>
      <c r="AG14" s="3">
        <f t="shared" ca="1" si="3"/>
        <v>7.11080306318852E-2</v>
      </c>
      <c r="AH14" s="3">
        <f t="shared" ca="1" si="3"/>
        <v>8.7966618357918247E-2</v>
      </c>
      <c r="AI14" s="3">
        <f t="shared" ca="1" si="3"/>
        <v>9.7313755789611864E-2</v>
      </c>
      <c r="AJ14" s="3">
        <f t="shared" ref="AJ14:AJ24" ca="1" si="5">AJ13+RAND()*($D$3-$C$3)+$C$3</f>
        <v>0.15416856842828727</v>
      </c>
    </row>
    <row r="15" spans="1:36" x14ac:dyDescent="0.35">
      <c r="A15" t="s">
        <v>63</v>
      </c>
      <c r="B15" t="s">
        <v>76</v>
      </c>
      <c r="C15" s="4" t="s">
        <v>69</v>
      </c>
      <c r="D15" s="3">
        <f t="shared" ca="1" si="4"/>
        <v>9.3217941820564303E-3</v>
      </c>
      <c r="E15" s="3">
        <f t="shared" ref="E15:E24" ca="1" si="6">E14+RAND()*($D$3-$C$3)+$C$3</f>
        <v>9.6171474978031055E-3</v>
      </c>
      <c r="F15" s="3">
        <f t="shared" ref="F15:F24" ca="1" si="7">F14+RAND()*($D$3-$C$3)+$C$3</f>
        <v>1.1786530317218066E-2</v>
      </c>
      <c r="G15" s="3">
        <f t="shared" ref="G15:G24" ca="1" si="8">G14+RAND()*($D$3-$C$3)+$C$3</f>
        <v>1.2077026484538553E-2</v>
      </c>
      <c r="H15" s="3">
        <f t="shared" ref="H15:H24" ca="1" si="9">H14+RAND()*($D$3-$C$3)+$C$3</f>
        <v>1.3003056957058556E-2</v>
      </c>
      <c r="I15" s="3">
        <f t="shared" ref="I15:I24" ca="1" si="10">I14+RAND()*($D$3-$C$3)+$C$3</f>
        <v>1.4111435486877275E-2</v>
      </c>
      <c r="J15" s="3">
        <f t="shared" ref="J15:J24" ca="1" si="11">J14+RAND()*($D$3-$C$3)+$C$3</f>
        <v>1.5222483490849523E-2</v>
      </c>
      <c r="K15" s="3">
        <f t="shared" ref="K15:K24" ca="1" si="12">K14+RAND()*($D$3-$C$3)+$C$3</f>
        <v>1.5841121995803148E-2</v>
      </c>
      <c r="L15" s="3">
        <f t="shared" ref="L15:L24" ca="1" si="13">L14+RAND()*($D$3-$C$3)+$C$3</f>
        <v>1.7723694744726039E-2</v>
      </c>
      <c r="M15" s="3">
        <f t="shared" ref="M15:M24" ca="1" si="14">M14+RAND()*($D$3-$C$3)+$C$3</f>
        <v>1.6649290678108209E-2</v>
      </c>
      <c r="N15" s="3">
        <f t="shared" ref="N15:N24" ca="1" si="15">N14+RAND()*($D$3-$C$3)+$C$3</f>
        <v>2.0515811346744059E-2</v>
      </c>
      <c r="O15" s="3">
        <f t="shared" ref="O15:O24" ca="1" si="16">O14+RAND()*($D$3-$C$3)+$C$3</f>
        <v>1.7662621471962993E-2</v>
      </c>
      <c r="P15" s="3">
        <f t="shared" ref="P15:P24" ca="1" si="17">P14+RAND()*($D$3-$C$3)+$C$3</f>
        <v>2.2540757391633831E-2</v>
      </c>
      <c r="Q15" s="3">
        <f t="shared" ref="Q15:Q24" ca="1" si="18">Q14+RAND()*($D$3-$C$3)+$C$3</f>
        <v>2.0657151963836967E-2</v>
      </c>
      <c r="R15" s="3">
        <f t="shared" ref="R15:R24" ca="1" si="19">R14+RAND()*($D$3-$C$3)+$C$3</f>
        <v>2.4691279745688077E-2</v>
      </c>
      <c r="S15" s="3">
        <f t="shared" ref="S15:S24" ca="1" si="20">S14+RAND()*($D$3-$C$3)+$C$3</f>
        <v>2.3456641665537254E-2</v>
      </c>
      <c r="T15" s="3">
        <f t="shared" ref="T15:T24" ca="1" si="21">T14+RAND()*($D$3-$C$3)+$C$3</f>
        <v>2.5091798188571122E-2</v>
      </c>
      <c r="U15" s="3">
        <f t="shared" ref="U15:U24" ca="1" si="22">U14+RAND()*($D$3-$C$3)+$C$3</f>
        <v>2.4932641023434607E-2</v>
      </c>
      <c r="V15" s="3">
        <f t="shared" ref="V15:V24" ca="1" si="23">V14+RAND()*($D$3-$C$3)+$C$3</f>
        <v>2.8991299239981488E-2</v>
      </c>
      <c r="W15" s="3">
        <f t="shared" ref="W15:W24" ca="1" si="24">W14+RAND()*($D$3-$C$3)+$C$3</f>
        <v>2.6375350655192205E-2</v>
      </c>
      <c r="X15" s="3">
        <f t="shared" ref="X15:X24" ca="1" si="25">X14+RAND()*($D$3-$C$3)+$C$3</f>
        <v>3.5523825763146943E-2</v>
      </c>
      <c r="Y15" s="3">
        <f t="shared" ref="Y15:Y24" ca="1" si="26">Y14+RAND()*($D$3-$C$3)+$C$3</f>
        <v>3.5292073239655747E-2</v>
      </c>
      <c r="Z15" s="3">
        <f t="shared" ref="Z15:Z24" ca="1" si="27">Z14+RAND()*($D$3-$C$3)+$C$3</f>
        <v>4.0716902951886999E-2</v>
      </c>
      <c r="AA15" s="3">
        <f t="shared" ref="AA15:AA24" ca="1" si="28">AA14+RAND()*($D$3-$C$3)+$C$3</f>
        <v>4.4918922007563276E-2</v>
      </c>
      <c r="AB15" s="3">
        <f t="shared" ref="AB15:AB24" ca="1" si="29">AB14+RAND()*($D$3-$C$3)+$C$3</f>
        <v>4.5607484743148095E-2</v>
      </c>
      <c r="AC15" s="3">
        <f t="shared" ref="AC15:AC24" ca="1" si="30">AC14+RAND()*($D$3-$C$3)+$C$3</f>
        <v>5.5534860762902261E-2</v>
      </c>
      <c r="AD15" s="3">
        <f t="shared" ref="AD15:AD24" ca="1" si="31">AD14+RAND()*($D$3-$C$3)+$C$3</f>
        <v>5.1072834968488114E-2</v>
      </c>
      <c r="AE15" s="3">
        <f t="shared" ref="AE15:AE24" ca="1" si="32">AE14+RAND()*($D$3-$C$3)+$C$3</f>
        <v>6.5371786005469334E-2</v>
      </c>
      <c r="AF15" s="3">
        <f t="shared" ref="AF15:AF24" ca="1" si="33">AF14+RAND()*($D$3-$C$3)+$C$3</f>
        <v>6.0870166430794882E-2</v>
      </c>
      <c r="AG15" s="3">
        <f t="shared" ref="AG15:AG24" ca="1" si="34">AG14+RAND()*($D$3-$C$3)+$C$3</f>
        <v>7.2103114173284508E-2</v>
      </c>
      <c r="AH15" s="3">
        <f t="shared" ref="AH15:AH24" ca="1" si="35">AH14+RAND()*($D$3-$C$3)+$C$3</f>
        <v>8.8956323394054473E-2</v>
      </c>
      <c r="AI15" s="3">
        <f t="shared" ref="AI15:AI24" ca="1" si="36">AI14+RAND()*($D$3-$C$3)+$C$3</f>
        <v>9.8230503899027696E-2</v>
      </c>
      <c r="AJ15" s="3">
        <f t="shared" ca="1" si="5"/>
        <v>0.15509447556301206</v>
      </c>
    </row>
    <row r="16" spans="1:36" x14ac:dyDescent="0.35">
      <c r="A16" t="s">
        <v>63</v>
      </c>
      <c r="B16" t="s">
        <v>76</v>
      </c>
      <c r="C16" s="4" t="s">
        <v>70</v>
      </c>
      <c r="D16" s="3">
        <f t="shared" ca="1" si="4"/>
        <v>1.0320062572296495E-2</v>
      </c>
      <c r="E16" s="3">
        <f t="shared" ca="1" si="6"/>
        <v>1.053825113951919E-2</v>
      </c>
      <c r="F16" s="3">
        <f t="shared" ca="1" si="7"/>
        <v>1.2784089630028398E-2</v>
      </c>
      <c r="G16" s="3">
        <f t="shared" ca="1" si="8"/>
        <v>1.3025333612648989E-2</v>
      </c>
      <c r="H16" s="3">
        <f t="shared" ca="1" si="9"/>
        <v>1.4000467265193309E-2</v>
      </c>
      <c r="I16" s="3">
        <f t="shared" ca="1" si="10"/>
        <v>1.5097466589309605E-2</v>
      </c>
      <c r="J16" s="3">
        <f t="shared" ca="1" si="11"/>
        <v>1.6180294845313293E-2</v>
      </c>
      <c r="K16" s="3">
        <f t="shared" ca="1" si="12"/>
        <v>1.6815330208830626E-2</v>
      </c>
      <c r="L16" s="3">
        <f t="shared" ca="1" si="13"/>
        <v>1.8666312972172333E-2</v>
      </c>
      <c r="M16" s="3">
        <f t="shared" ca="1" si="14"/>
        <v>1.7603014671515937E-2</v>
      </c>
      <c r="N16" s="3">
        <f t="shared" ca="1" si="15"/>
        <v>2.150014817948101E-2</v>
      </c>
      <c r="O16" s="3">
        <f t="shared" ca="1" si="16"/>
        <v>1.8649534327212686E-2</v>
      </c>
      <c r="P16" s="3">
        <f t="shared" ca="1" si="17"/>
        <v>2.351507899607147E-2</v>
      </c>
      <c r="Q16" s="3">
        <f t="shared" ca="1" si="18"/>
        <v>2.1612446092076583E-2</v>
      </c>
      <c r="R16" s="3">
        <f t="shared" ca="1" si="19"/>
        <v>2.5608276079926762E-2</v>
      </c>
      <c r="S16" s="3">
        <f t="shared" ca="1" si="20"/>
        <v>2.4434890555675194E-2</v>
      </c>
      <c r="T16" s="3">
        <f t="shared" ca="1" si="21"/>
        <v>2.6081579213357717E-2</v>
      </c>
      <c r="U16" s="3">
        <f t="shared" ca="1" si="22"/>
        <v>2.5879508321764281E-2</v>
      </c>
      <c r="V16" s="3">
        <f t="shared" ca="1" si="23"/>
        <v>2.9956474773497305E-2</v>
      </c>
      <c r="W16" s="3">
        <f t="shared" ca="1" si="24"/>
        <v>2.7300556521033973E-2</v>
      </c>
      <c r="X16" s="3">
        <f t="shared" ca="1" si="25"/>
        <v>3.6449737581022087E-2</v>
      </c>
      <c r="Y16" s="3">
        <f t="shared" ca="1" si="26"/>
        <v>3.6291185344650555E-2</v>
      </c>
      <c r="Z16" s="3">
        <f t="shared" ca="1" si="27"/>
        <v>4.1703738102717901E-2</v>
      </c>
      <c r="AA16" s="3">
        <f t="shared" ca="1" si="28"/>
        <v>4.5867247365775903E-2</v>
      </c>
      <c r="AB16" s="3">
        <f t="shared" ca="1" si="29"/>
        <v>4.6522271760022285E-2</v>
      </c>
      <c r="AC16" s="3">
        <f t="shared" ca="1" si="30"/>
        <v>5.6483824815140984E-2</v>
      </c>
      <c r="AD16" s="3">
        <f t="shared" ca="1" si="31"/>
        <v>5.1993590714268519E-2</v>
      </c>
      <c r="AE16" s="3">
        <f t="shared" ca="1" si="32"/>
        <v>6.6341413037694599E-2</v>
      </c>
      <c r="AF16" s="3">
        <f t="shared" ca="1" si="33"/>
        <v>6.180462617265698E-2</v>
      </c>
      <c r="AG16" s="3">
        <f t="shared" ca="1" si="34"/>
        <v>7.3085122276809189E-2</v>
      </c>
      <c r="AH16" s="3">
        <f t="shared" ca="1" si="35"/>
        <v>8.9881262115532545E-2</v>
      </c>
      <c r="AI16" s="3">
        <f t="shared" ca="1" si="36"/>
        <v>9.9186682801606654E-2</v>
      </c>
      <c r="AJ16" s="3">
        <f t="shared" ca="1" si="5"/>
        <v>0.15604127982700894</v>
      </c>
    </row>
    <row r="17" spans="1:36" x14ac:dyDescent="0.35">
      <c r="A17" t="s">
        <v>63</v>
      </c>
      <c r="B17" t="s">
        <v>76</v>
      </c>
      <c r="C17" s="4">
        <v>5</v>
      </c>
      <c r="D17" s="3">
        <f t="shared" ca="1" si="4"/>
        <v>1.1290481775973521E-2</v>
      </c>
      <c r="E17" s="3">
        <f t="shared" ca="1" si="6"/>
        <v>1.1479441520624621E-2</v>
      </c>
      <c r="F17" s="3">
        <f t="shared" ca="1" si="7"/>
        <v>1.374549316483281E-2</v>
      </c>
      <c r="G17" s="3">
        <f t="shared" ca="1" si="8"/>
        <v>1.3925403352093623E-2</v>
      </c>
      <c r="H17" s="3">
        <f t="shared" ca="1" si="9"/>
        <v>1.4943915025675372E-2</v>
      </c>
      <c r="I17" s="3">
        <f t="shared" ca="1" si="10"/>
        <v>1.603620729058251E-2</v>
      </c>
      <c r="J17" s="3">
        <f t="shared" ca="1" si="11"/>
        <v>1.7168864345776705E-2</v>
      </c>
      <c r="K17" s="3">
        <f t="shared" ca="1" si="12"/>
        <v>1.7784152021837824E-2</v>
      </c>
      <c r="L17" s="3">
        <f t="shared" ca="1" si="13"/>
        <v>1.9601096057983044E-2</v>
      </c>
      <c r="M17" s="3">
        <f t="shared" ca="1" si="14"/>
        <v>1.8512547071963596E-2</v>
      </c>
      <c r="N17" s="3">
        <f t="shared" ca="1" si="15"/>
        <v>2.2472245662050448E-2</v>
      </c>
      <c r="O17" s="3">
        <f t="shared" ca="1" si="16"/>
        <v>1.9647524861742673E-2</v>
      </c>
      <c r="P17" s="3">
        <f t="shared" ca="1" si="17"/>
        <v>2.445826008245084E-2</v>
      </c>
      <c r="Q17" s="3">
        <f t="shared" ca="1" si="18"/>
        <v>2.2559873163735471E-2</v>
      </c>
      <c r="R17" s="3">
        <f t="shared" ca="1" si="19"/>
        <v>2.6602352222499771E-2</v>
      </c>
      <c r="S17" s="3">
        <f t="shared" ca="1" si="20"/>
        <v>2.541982009960965E-2</v>
      </c>
      <c r="T17" s="3">
        <f t="shared" ca="1" si="21"/>
        <v>2.7051564396724469E-2</v>
      </c>
      <c r="U17" s="3">
        <f t="shared" ca="1" si="22"/>
        <v>2.6835606087200422E-2</v>
      </c>
      <c r="V17" s="3">
        <f t="shared" ca="1" si="23"/>
        <v>3.093901162713911E-2</v>
      </c>
      <c r="W17" s="3">
        <f t="shared" ca="1" si="24"/>
        <v>2.8259675682486537E-2</v>
      </c>
      <c r="X17" s="3">
        <f t="shared" ca="1" si="25"/>
        <v>3.742381498716791E-2</v>
      </c>
      <c r="Y17" s="3">
        <f t="shared" ca="1" si="26"/>
        <v>3.7286224095366971E-2</v>
      </c>
      <c r="Z17" s="3">
        <f t="shared" ca="1" si="27"/>
        <v>4.2633414124821467E-2</v>
      </c>
      <c r="AA17" s="3">
        <f t="shared" ca="1" si="28"/>
        <v>4.6812541998760275E-2</v>
      </c>
      <c r="AB17" s="3">
        <f t="shared" ca="1" si="29"/>
        <v>4.7518606168177373E-2</v>
      </c>
      <c r="AC17" s="3">
        <f t="shared" ca="1" si="30"/>
        <v>5.7482016904741619E-2</v>
      </c>
      <c r="AD17" s="3">
        <f t="shared" ca="1" si="31"/>
        <v>5.2946838091091415E-2</v>
      </c>
      <c r="AE17" s="3">
        <f t="shared" ca="1" si="32"/>
        <v>6.7302592756005836E-2</v>
      </c>
      <c r="AF17" s="3">
        <f t="shared" ca="1" si="33"/>
        <v>6.2785414386521105E-2</v>
      </c>
      <c r="AG17" s="3">
        <f t="shared" ca="1" si="34"/>
        <v>7.4026123025395893E-2</v>
      </c>
      <c r="AH17" s="3">
        <f t="shared" ca="1" si="35"/>
        <v>9.0879390331613075E-2</v>
      </c>
      <c r="AI17" s="3">
        <f t="shared" ca="1" si="36"/>
        <v>0.10013860465451817</v>
      </c>
      <c r="AJ17" s="3">
        <f t="shared" ca="1" si="5"/>
        <v>0.15698523237737785</v>
      </c>
    </row>
    <row r="18" spans="1:36" x14ac:dyDescent="0.35">
      <c r="A18" t="s">
        <v>63</v>
      </c>
      <c r="B18" t="s">
        <v>76</v>
      </c>
      <c r="C18" s="4" t="s">
        <v>71</v>
      </c>
      <c r="D18" s="3">
        <f t="shared" ca="1" si="4"/>
        <v>1.2252315814816167E-2</v>
      </c>
      <c r="E18" s="3">
        <f t="shared" ca="1" si="6"/>
        <v>1.2437199667640094E-2</v>
      </c>
      <c r="F18" s="3">
        <f t="shared" ca="1" si="7"/>
        <v>1.4660333644560706E-2</v>
      </c>
      <c r="G18" s="3">
        <f t="shared" ca="1" si="8"/>
        <v>1.486908297622227E-2</v>
      </c>
      <c r="H18" s="3">
        <f t="shared" ca="1" si="9"/>
        <v>1.5886063899263048E-2</v>
      </c>
      <c r="I18" s="3">
        <f t="shared" ca="1" si="10"/>
        <v>1.6966169586575208E-2</v>
      </c>
      <c r="J18" s="3">
        <f t="shared" ca="1" si="11"/>
        <v>1.8106491918994386E-2</v>
      </c>
      <c r="K18" s="3">
        <f t="shared" ca="1" si="12"/>
        <v>1.8761875681039323E-2</v>
      </c>
      <c r="L18" s="3">
        <f t="shared" ca="1" si="13"/>
        <v>2.0592385185048124E-2</v>
      </c>
      <c r="M18" s="3">
        <f t="shared" ca="1" si="14"/>
        <v>1.9434156758302151E-2</v>
      </c>
      <c r="N18" s="3">
        <f t="shared" ca="1" si="15"/>
        <v>2.3465510718404567E-2</v>
      </c>
      <c r="O18" s="3">
        <f t="shared" ca="1" si="16"/>
        <v>2.061631836762557E-2</v>
      </c>
      <c r="P18" s="3">
        <f t="shared" ca="1" si="17"/>
        <v>2.5366683199747726E-2</v>
      </c>
      <c r="Q18" s="3">
        <f t="shared" ca="1" si="18"/>
        <v>2.3492329944718525E-2</v>
      </c>
      <c r="R18" s="3">
        <f t="shared" ca="1" si="19"/>
        <v>2.7521281351998224E-2</v>
      </c>
      <c r="S18" s="3">
        <f t="shared" ca="1" si="20"/>
        <v>2.6372957799791152E-2</v>
      </c>
      <c r="T18" s="3">
        <f t="shared" ca="1" si="21"/>
        <v>2.8014582899917984E-2</v>
      </c>
      <c r="U18" s="3">
        <f t="shared" ca="1" si="22"/>
        <v>2.7748606684286633E-2</v>
      </c>
      <c r="V18" s="3">
        <f t="shared" ca="1" si="23"/>
        <v>3.1914908918971814E-2</v>
      </c>
      <c r="W18" s="3">
        <f t="shared" ca="1" si="24"/>
        <v>2.9194419073828051E-2</v>
      </c>
      <c r="X18" s="3">
        <f t="shared" ca="1" si="25"/>
        <v>3.8405021625515672E-2</v>
      </c>
      <c r="Y18" s="3">
        <f t="shared" ca="1" si="26"/>
        <v>3.8245743187725376E-2</v>
      </c>
      <c r="Z18" s="3">
        <f t="shared" ca="1" si="27"/>
        <v>4.3587422231627516E-2</v>
      </c>
      <c r="AA18" s="3">
        <f t="shared" ca="1" si="28"/>
        <v>4.7812046341835626E-2</v>
      </c>
      <c r="AB18" s="3">
        <f t="shared" ca="1" si="29"/>
        <v>4.8481133173866896E-2</v>
      </c>
      <c r="AC18" s="3">
        <f t="shared" ca="1" si="30"/>
        <v>5.844366872324655E-2</v>
      </c>
      <c r="AD18" s="3">
        <f t="shared" ca="1" si="31"/>
        <v>5.392475262919403E-2</v>
      </c>
      <c r="AE18" s="3">
        <f t="shared" ca="1" si="32"/>
        <v>6.8262066743059804E-2</v>
      </c>
      <c r="AF18" s="3">
        <f t="shared" ca="1" si="33"/>
        <v>6.3743806383389792E-2</v>
      </c>
      <c r="AG18" s="3">
        <f t="shared" ca="1" si="34"/>
        <v>7.50057192823462E-2</v>
      </c>
      <c r="AH18" s="3">
        <f t="shared" ca="1" si="35"/>
        <v>9.1858296828671193E-2</v>
      </c>
      <c r="AI18" s="3">
        <f t="shared" ca="1" si="36"/>
        <v>0.10104711762559196</v>
      </c>
      <c r="AJ18" s="3">
        <f t="shared" ca="1" si="5"/>
        <v>0.15797103985528302</v>
      </c>
    </row>
    <row r="19" spans="1:36" x14ac:dyDescent="0.35">
      <c r="A19" t="s">
        <v>63</v>
      </c>
      <c r="B19" t="s">
        <v>76</v>
      </c>
      <c r="C19" s="4" t="s">
        <v>72</v>
      </c>
      <c r="D19" s="3">
        <f t="shared" ca="1" si="4"/>
        <v>1.3152445030916927E-2</v>
      </c>
      <c r="E19" s="3">
        <f t="shared" ca="1" si="6"/>
        <v>1.3350829701458814E-2</v>
      </c>
      <c r="F19" s="3">
        <f t="shared" ca="1" si="7"/>
        <v>1.5580161000270969E-2</v>
      </c>
      <c r="G19" s="3">
        <f t="shared" ca="1" si="8"/>
        <v>1.5825488412896865E-2</v>
      </c>
      <c r="H19" s="3">
        <f t="shared" ca="1" si="9"/>
        <v>1.6798407985671449E-2</v>
      </c>
      <c r="I19" s="3">
        <f t="shared" ca="1" si="10"/>
        <v>1.7942231093108486E-2</v>
      </c>
      <c r="J19" s="3">
        <f t="shared" ca="1" si="11"/>
        <v>1.900909611348969E-2</v>
      </c>
      <c r="K19" s="3">
        <f t="shared" ca="1" si="12"/>
        <v>1.968061376153878E-2</v>
      </c>
      <c r="L19" s="3">
        <f t="shared" ca="1" si="13"/>
        <v>2.1579345557199987E-2</v>
      </c>
      <c r="M19" s="3">
        <f t="shared" ca="1" si="14"/>
        <v>2.040819768374216E-2</v>
      </c>
      <c r="N19" s="3">
        <f t="shared" ca="1" si="15"/>
        <v>2.441509959284446E-2</v>
      </c>
      <c r="O19" s="3">
        <f t="shared" ca="1" si="16"/>
        <v>2.1614953832701365E-2</v>
      </c>
      <c r="P19" s="3">
        <f t="shared" ca="1" si="17"/>
        <v>2.6334759832945254E-2</v>
      </c>
      <c r="Q19" s="3">
        <f t="shared" ca="1" si="18"/>
        <v>2.4470127589873707E-2</v>
      </c>
      <c r="R19" s="3">
        <f t="shared" ca="1" si="19"/>
        <v>2.8506015768321704E-2</v>
      </c>
      <c r="S19" s="3">
        <f t="shared" ca="1" si="20"/>
        <v>2.7310219539041981E-2</v>
      </c>
      <c r="T19" s="3">
        <f t="shared" ca="1" si="21"/>
        <v>2.8925925344397137E-2</v>
      </c>
      <c r="U19" s="3">
        <f t="shared" ca="1" si="22"/>
        <v>2.8737723038825491E-2</v>
      </c>
      <c r="V19" s="3">
        <f t="shared" ca="1" si="23"/>
        <v>3.2833397104936421E-2</v>
      </c>
      <c r="W19" s="3">
        <f t="shared" ca="1" si="24"/>
        <v>3.0111173693610601E-2</v>
      </c>
      <c r="X19" s="3">
        <f t="shared" ca="1" si="25"/>
        <v>3.9400387702887993E-2</v>
      </c>
      <c r="Y19" s="3">
        <f t="shared" ca="1" si="26"/>
        <v>3.9212145655377242E-2</v>
      </c>
      <c r="Z19" s="3">
        <f t="shared" ca="1" si="27"/>
        <v>4.451250658029194E-2</v>
      </c>
      <c r="AA19" s="3">
        <f t="shared" ca="1" si="28"/>
        <v>4.8736347948423457E-2</v>
      </c>
      <c r="AB19" s="3">
        <f t="shared" ca="1" si="29"/>
        <v>4.9467480710824817E-2</v>
      </c>
      <c r="AC19" s="3">
        <f t="shared" ca="1" si="30"/>
        <v>5.9375486760457521E-2</v>
      </c>
      <c r="AD19" s="3">
        <f t="shared" ca="1" si="31"/>
        <v>5.4883747964579815E-2</v>
      </c>
      <c r="AE19" s="3">
        <f t="shared" ca="1" si="32"/>
        <v>6.9166855258105522E-2</v>
      </c>
      <c r="AF19" s="3">
        <f t="shared" ca="1" si="33"/>
        <v>6.4686936452229005E-2</v>
      </c>
      <c r="AG19" s="3">
        <f t="shared" ca="1" si="34"/>
        <v>7.5931697981602833E-2</v>
      </c>
      <c r="AH19" s="3">
        <f t="shared" ca="1" si="35"/>
        <v>9.2799164745485371E-2</v>
      </c>
      <c r="AI19" s="3">
        <f t="shared" ca="1" si="36"/>
        <v>0.10196599081363206</v>
      </c>
      <c r="AJ19" s="3">
        <f t="shared" ca="1" si="5"/>
        <v>0.1588896935208578</v>
      </c>
    </row>
    <row r="20" spans="1:36" x14ac:dyDescent="0.35">
      <c r="A20" t="s">
        <v>63</v>
      </c>
      <c r="B20" t="s">
        <v>76</v>
      </c>
      <c r="C20" s="4">
        <v>6</v>
      </c>
      <c r="D20" s="3">
        <f t="shared" ca="1" si="4"/>
        <v>1.4103925523829617E-2</v>
      </c>
      <c r="E20" s="3">
        <f t="shared" ca="1" si="6"/>
        <v>1.4273480413622353E-2</v>
      </c>
      <c r="F20" s="3">
        <f t="shared" ca="1" si="7"/>
        <v>1.6484260479984154E-2</v>
      </c>
      <c r="G20" s="3">
        <f t="shared" ca="1" si="8"/>
        <v>1.6784990179027435E-2</v>
      </c>
      <c r="H20" s="3">
        <f t="shared" ca="1" si="9"/>
        <v>1.7746432107819034E-2</v>
      </c>
      <c r="I20" s="3">
        <f t="shared" ca="1" si="10"/>
        <v>1.8924662333216425E-2</v>
      </c>
      <c r="J20" s="3">
        <f t="shared" ca="1" si="11"/>
        <v>1.9979100515904891E-2</v>
      </c>
      <c r="K20" s="3">
        <f t="shared" ca="1" si="12"/>
        <v>2.064341758674056E-2</v>
      </c>
      <c r="L20" s="3">
        <f t="shared" ca="1" si="13"/>
        <v>2.2548114463104587E-2</v>
      </c>
      <c r="M20" s="3">
        <f t="shared" ca="1" si="14"/>
        <v>2.138771181540948E-2</v>
      </c>
      <c r="N20" s="3">
        <f t="shared" ca="1" si="15"/>
        <v>2.5329867427790264E-2</v>
      </c>
      <c r="O20" s="3">
        <f t="shared" ca="1" si="16"/>
        <v>2.2548931738468281E-2</v>
      </c>
      <c r="P20" s="3">
        <f t="shared" ca="1" si="17"/>
        <v>2.7281455029663913E-2</v>
      </c>
      <c r="Q20" s="3">
        <f t="shared" ca="1" si="18"/>
        <v>2.5404786900639107E-2</v>
      </c>
      <c r="R20" s="3">
        <f t="shared" ca="1" si="19"/>
        <v>2.941363236616467E-2</v>
      </c>
      <c r="S20" s="3">
        <f t="shared" ca="1" si="20"/>
        <v>2.8231757462390011E-2</v>
      </c>
      <c r="T20" s="3">
        <f t="shared" ca="1" si="21"/>
        <v>2.9865839441618008E-2</v>
      </c>
      <c r="U20" s="3">
        <f t="shared" ca="1" si="22"/>
        <v>2.9651666601106012E-2</v>
      </c>
      <c r="V20" s="3">
        <f t="shared" ca="1" si="23"/>
        <v>3.3807452264244739E-2</v>
      </c>
      <c r="W20" s="3">
        <f t="shared" ca="1" si="24"/>
        <v>3.1069344767362096E-2</v>
      </c>
      <c r="X20" s="3">
        <f t="shared" ca="1" si="25"/>
        <v>4.0335712794168831E-2</v>
      </c>
      <c r="Y20" s="3">
        <f t="shared" ca="1" si="26"/>
        <v>4.0119962252992351E-2</v>
      </c>
      <c r="Z20" s="3">
        <f t="shared" ca="1" si="27"/>
        <v>4.547223979345711E-2</v>
      </c>
      <c r="AA20" s="3">
        <f t="shared" ca="1" si="28"/>
        <v>4.968728917574642E-2</v>
      </c>
      <c r="AB20" s="3">
        <f t="shared" ca="1" si="29"/>
        <v>5.03696232075432E-2</v>
      </c>
      <c r="AC20" s="3">
        <f t="shared" ca="1" si="30"/>
        <v>6.0349953632745194E-2</v>
      </c>
      <c r="AD20" s="3">
        <f t="shared" ca="1" si="31"/>
        <v>5.5818404522337627E-2</v>
      </c>
      <c r="AE20" s="3">
        <f t="shared" ca="1" si="32"/>
        <v>7.0153739272858229E-2</v>
      </c>
      <c r="AF20" s="3">
        <f t="shared" ca="1" si="33"/>
        <v>6.5680560202234339E-2</v>
      </c>
      <c r="AG20" s="3">
        <f t="shared" ca="1" si="34"/>
        <v>7.6875569737770405E-2</v>
      </c>
      <c r="AH20" s="3">
        <f t="shared" ca="1" si="35"/>
        <v>9.3759556570501279E-2</v>
      </c>
      <c r="AI20" s="3">
        <f t="shared" ca="1" si="36"/>
        <v>0.10294268838125667</v>
      </c>
      <c r="AJ20" s="3">
        <f t="shared" ca="1" si="5"/>
        <v>0.15983526118322763</v>
      </c>
    </row>
    <row r="21" spans="1:36" x14ac:dyDescent="0.35">
      <c r="A21" t="s">
        <v>63</v>
      </c>
      <c r="B21" t="s">
        <v>76</v>
      </c>
      <c r="C21" s="4" t="s">
        <v>73</v>
      </c>
      <c r="D21" s="3">
        <f t="shared" ca="1" si="4"/>
        <v>1.5076343410252166E-2</v>
      </c>
      <c r="E21" s="3">
        <f t="shared" ca="1" si="6"/>
        <v>1.5220448312122119E-2</v>
      </c>
      <c r="F21" s="3">
        <f t="shared" ca="1" si="7"/>
        <v>1.747447550950345E-2</v>
      </c>
      <c r="G21" s="3">
        <f t="shared" ca="1" si="8"/>
        <v>1.7761084793114286E-2</v>
      </c>
      <c r="H21" s="3">
        <f t="shared" ca="1" si="9"/>
        <v>1.8744522938184485E-2</v>
      </c>
      <c r="I21" s="3">
        <f t="shared" ca="1" si="10"/>
        <v>1.9897788197689149E-2</v>
      </c>
      <c r="J21" s="3">
        <f t="shared" ca="1" si="11"/>
        <v>2.088318530497087E-2</v>
      </c>
      <c r="K21" s="3">
        <f t="shared" ca="1" si="12"/>
        <v>2.1607880304561736E-2</v>
      </c>
      <c r="L21" s="3">
        <f t="shared" ca="1" si="13"/>
        <v>2.345592081649361E-2</v>
      </c>
      <c r="M21" s="3">
        <f t="shared" ca="1" si="14"/>
        <v>2.2288634924567292E-2</v>
      </c>
      <c r="N21" s="3">
        <f t="shared" ca="1" si="15"/>
        <v>2.6311145294651637E-2</v>
      </c>
      <c r="O21" s="3">
        <f t="shared" ca="1" si="16"/>
        <v>2.3452283815432653E-2</v>
      </c>
      <c r="P21" s="3">
        <f t="shared" ca="1" si="17"/>
        <v>2.8272247291273946E-2</v>
      </c>
      <c r="Q21" s="3">
        <f t="shared" ca="1" si="18"/>
        <v>2.632272646081265E-2</v>
      </c>
      <c r="R21" s="3">
        <f t="shared" ca="1" si="19"/>
        <v>3.0397149081169268E-2</v>
      </c>
      <c r="S21" s="3">
        <f t="shared" ca="1" si="20"/>
        <v>2.9179343186951305E-2</v>
      </c>
      <c r="T21" s="3">
        <f t="shared" ca="1" si="21"/>
        <v>3.0818966535687081E-2</v>
      </c>
      <c r="U21" s="3">
        <f t="shared" ca="1" si="22"/>
        <v>3.0555167541427303E-2</v>
      </c>
      <c r="V21" s="3">
        <f t="shared" ca="1" si="23"/>
        <v>3.4748233990400494E-2</v>
      </c>
      <c r="W21" s="3">
        <f t="shared" ca="1" si="24"/>
        <v>3.2030469659940074E-2</v>
      </c>
      <c r="X21" s="3">
        <f t="shared" ca="1" si="25"/>
        <v>4.1237231515940061E-2</v>
      </c>
      <c r="Y21" s="3">
        <f t="shared" ca="1" si="26"/>
        <v>4.1040881082994474E-2</v>
      </c>
      <c r="Z21" s="3">
        <f t="shared" ca="1" si="27"/>
        <v>4.6463222183403062E-2</v>
      </c>
      <c r="AA21" s="3">
        <f t="shared" ca="1" si="28"/>
        <v>5.0627256529838315E-2</v>
      </c>
      <c r="AB21" s="3">
        <f t="shared" ca="1" si="29"/>
        <v>5.1330225640333474E-2</v>
      </c>
      <c r="AC21" s="3">
        <f t="shared" ca="1" si="30"/>
        <v>6.1267167041067015E-2</v>
      </c>
      <c r="AD21" s="3">
        <f t="shared" ca="1" si="31"/>
        <v>5.6726376327012384E-2</v>
      </c>
      <c r="AE21" s="3">
        <f t="shared" ca="1" si="32"/>
        <v>7.1093762480073763E-2</v>
      </c>
      <c r="AF21" s="3">
        <f t="shared" ca="1" si="33"/>
        <v>6.6629337723902823E-2</v>
      </c>
      <c r="AG21" s="3">
        <f t="shared" ca="1" si="34"/>
        <v>7.7781603646469452E-2</v>
      </c>
      <c r="AH21" s="3">
        <f t="shared" ca="1" si="35"/>
        <v>9.4684438610676186E-2</v>
      </c>
      <c r="AI21" s="3">
        <f t="shared" ca="1" si="36"/>
        <v>0.10391532296838085</v>
      </c>
      <c r="AJ21" s="3">
        <f t="shared" ca="1" si="5"/>
        <v>0.16076592350239433</v>
      </c>
    </row>
    <row r="22" spans="1:36" x14ac:dyDescent="0.35">
      <c r="A22" t="s">
        <v>63</v>
      </c>
      <c r="B22" t="s">
        <v>76</v>
      </c>
      <c r="C22" s="4" t="s">
        <v>74</v>
      </c>
      <c r="D22" s="3">
        <f t="shared" ca="1" si="4"/>
        <v>1.5977639289510837E-2</v>
      </c>
      <c r="E22" s="3">
        <f t="shared" ca="1" si="6"/>
        <v>1.6185436779868518E-2</v>
      </c>
      <c r="F22" s="3">
        <f t="shared" ca="1" si="7"/>
        <v>1.8439383080087586E-2</v>
      </c>
      <c r="G22" s="3">
        <f t="shared" ca="1" si="8"/>
        <v>1.8707938263329612E-2</v>
      </c>
      <c r="H22" s="3">
        <f t="shared" ca="1" si="9"/>
        <v>1.972831419804779E-2</v>
      </c>
      <c r="I22" s="3">
        <f t="shared" ca="1" si="10"/>
        <v>2.0799586844370412E-2</v>
      </c>
      <c r="J22" s="3">
        <f t="shared" ca="1" si="11"/>
        <v>2.1878908646493306E-2</v>
      </c>
      <c r="K22" s="3">
        <f t="shared" ca="1" si="12"/>
        <v>2.2592240663813264E-2</v>
      </c>
      <c r="L22" s="3">
        <f t="shared" ca="1" si="13"/>
        <v>2.4443325354229259E-2</v>
      </c>
      <c r="M22" s="3">
        <f t="shared" ca="1" si="14"/>
        <v>2.3265813482198302E-2</v>
      </c>
      <c r="N22" s="3">
        <f t="shared" ca="1" si="15"/>
        <v>2.730727275133964E-2</v>
      </c>
      <c r="O22" s="3">
        <f t="shared" ca="1" si="16"/>
        <v>2.4391280638935267E-2</v>
      </c>
      <c r="P22" s="3">
        <f t="shared" ca="1" si="17"/>
        <v>2.9183006535830051E-2</v>
      </c>
      <c r="Q22" s="3">
        <f t="shared" ca="1" si="18"/>
        <v>2.7242322027796986E-2</v>
      </c>
      <c r="R22" s="3">
        <f t="shared" ca="1" si="19"/>
        <v>3.1313369639595613E-2</v>
      </c>
      <c r="S22" s="3">
        <f t="shared" ca="1" si="20"/>
        <v>3.012470999008296E-2</v>
      </c>
      <c r="T22" s="3">
        <f t="shared" ca="1" si="21"/>
        <v>3.1790822628961941E-2</v>
      </c>
      <c r="U22" s="3">
        <f t="shared" ca="1" si="22"/>
        <v>3.1501393744067636E-2</v>
      </c>
      <c r="V22" s="3">
        <f t="shared" ca="1" si="23"/>
        <v>3.5724209770869285E-2</v>
      </c>
      <c r="W22" s="3">
        <f t="shared" ca="1" si="24"/>
        <v>3.3028908521711822E-2</v>
      </c>
      <c r="X22" s="3">
        <f t="shared" ca="1" si="25"/>
        <v>4.2211591835553647E-2</v>
      </c>
      <c r="Y22" s="3">
        <f t="shared" ca="1" si="26"/>
        <v>4.1957097827992493E-2</v>
      </c>
      <c r="Z22" s="3">
        <f t="shared" ca="1" si="27"/>
        <v>4.7427681368468783E-2</v>
      </c>
      <c r="AA22" s="3">
        <f t="shared" ca="1" si="28"/>
        <v>5.158193720008563E-2</v>
      </c>
      <c r="AB22" s="3">
        <f t="shared" ca="1" si="29"/>
        <v>5.2289124051551304E-2</v>
      </c>
      <c r="AC22" s="3">
        <f t="shared" ca="1" si="30"/>
        <v>6.2172249048327806E-2</v>
      </c>
      <c r="AD22" s="3">
        <f t="shared" ca="1" si="31"/>
        <v>5.7716600628391061E-2</v>
      </c>
      <c r="AE22" s="3">
        <f t="shared" ca="1" si="32"/>
        <v>7.201772846928399E-2</v>
      </c>
      <c r="AF22" s="3">
        <f t="shared" ca="1" si="33"/>
        <v>6.7606794667857045E-2</v>
      </c>
      <c r="AG22" s="3">
        <f t="shared" ca="1" si="34"/>
        <v>7.8716530631884316E-2</v>
      </c>
      <c r="AH22" s="3">
        <f t="shared" ca="1" si="35"/>
        <v>9.5618336897311432E-2</v>
      </c>
      <c r="AI22" s="3">
        <f t="shared" ca="1" si="36"/>
        <v>0.10488614259121348</v>
      </c>
      <c r="AJ22" s="3">
        <f t="shared" ca="1" si="5"/>
        <v>0.16173333340118234</v>
      </c>
    </row>
    <row r="23" spans="1:36" x14ac:dyDescent="0.35">
      <c r="A23" t="s">
        <v>63</v>
      </c>
      <c r="B23" t="s">
        <v>76</v>
      </c>
      <c r="C23" s="4">
        <v>7</v>
      </c>
      <c r="D23" s="3">
        <f t="shared" ca="1" si="4"/>
        <v>1.6917500457153477E-2</v>
      </c>
      <c r="E23" s="3">
        <f t="shared" ca="1" si="6"/>
        <v>1.71452540272438E-2</v>
      </c>
      <c r="F23" s="3">
        <f t="shared" ca="1" si="7"/>
        <v>1.940207998671032E-2</v>
      </c>
      <c r="G23" s="3">
        <f t="shared" ca="1" si="8"/>
        <v>1.9655961922810647E-2</v>
      </c>
      <c r="H23" s="3">
        <f t="shared" ca="1" si="9"/>
        <v>2.0693695797489937E-2</v>
      </c>
      <c r="I23" s="3">
        <f t="shared" ca="1" si="10"/>
        <v>2.1712770370238322E-2</v>
      </c>
      <c r="J23" s="3">
        <f t="shared" ca="1" si="11"/>
        <v>2.2802021895231856E-2</v>
      </c>
      <c r="K23" s="3">
        <f t="shared" ca="1" si="12"/>
        <v>2.3565803889783909E-2</v>
      </c>
      <c r="L23" s="3">
        <f t="shared" ca="1" si="13"/>
        <v>2.5391266178167077E-2</v>
      </c>
      <c r="M23" s="3">
        <f t="shared" ca="1" si="14"/>
        <v>2.4253252161495858E-2</v>
      </c>
      <c r="N23" s="3">
        <f t="shared" ca="1" si="15"/>
        <v>2.8303183100044205E-2</v>
      </c>
      <c r="O23" s="3">
        <f t="shared" ca="1" si="16"/>
        <v>2.5313826593341793E-2</v>
      </c>
      <c r="P23" s="3">
        <f t="shared" ca="1" si="17"/>
        <v>3.0115654610217854E-2</v>
      </c>
      <c r="Q23" s="3">
        <f t="shared" ca="1" si="18"/>
        <v>2.8164492849901399E-2</v>
      </c>
      <c r="R23" s="3">
        <f t="shared" ca="1" si="19"/>
        <v>3.2231283107714573E-2</v>
      </c>
      <c r="S23" s="3">
        <f t="shared" ca="1" si="20"/>
        <v>3.1048976461946435E-2</v>
      </c>
      <c r="T23" s="3">
        <f t="shared" ca="1" si="21"/>
        <v>3.2741699628516668E-2</v>
      </c>
      <c r="U23" s="3">
        <f t="shared" ca="1" si="22"/>
        <v>3.2467115659572963E-2</v>
      </c>
      <c r="V23" s="3">
        <f t="shared" ca="1" si="23"/>
        <v>3.6634500210641546E-2</v>
      </c>
      <c r="W23" s="3">
        <f t="shared" ca="1" si="24"/>
        <v>3.3967627336666646E-2</v>
      </c>
      <c r="X23" s="3">
        <f t="shared" ca="1" si="25"/>
        <v>4.3184367354596874E-2</v>
      </c>
      <c r="Y23" s="3">
        <f t="shared" ca="1" si="26"/>
        <v>4.2947228346252482E-2</v>
      </c>
      <c r="Z23" s="3">
        <f t="shared" ca="1" si="27"/>
        <v>4.8389245541982914E-2</v>
      </c>
      <c r="AA23" s="3">
        <f t="shared" ca="1" si="28"/>
        <v>5.2537737673600302E-2</v>
      </c>
      <c r="AB23" s="3">
        <f t="shared" ca="1" si="29"/>
        <v>5.3257376411871199E-2</v>
      </c>
      <c r="AC23" s="3">
        <f t="shared" ca="1" si="30"/>
        <v>6.3115430043037504E-2</v>
      </c>
      <c r="AD23" s="3">
        <f t="shared" ca="1" si="31"/>
        <v>5.8680075854409174E-2</v>
      </c>
      <c r="AE23" s="3">
        <f t="shared" ca="1" si="32"/>
        <v>7.3010852462887119E-2</v>
      </c>
      <c r="AF23" s="3">
        <f t="shared" ca="1" si="33"/>
        <v>6.8556304016067091E-2</v>
      </c>
      <c r="AG23" s="3">
        <f t="shared" ca="1" si="34"/>
        <v>7.9690251448996732E-2</v>
      </c>
      <c r="AH23" s="3">
        <f t="shared" ca="1" si="35"/>
        <v>9.6613631405579756E-2</v>
      </c>
      <c r="AI23" s="3">
        <f t="shared" ca="1" si="36"/>
        <v>0.10585618723574056</v>
      </c>
      <c r="AJ23" s="3">
        <f t="shared" ca="1" si="5"/>
        <v>0.16265884083679893</v>
      </c>
    </row>
    <row r="24" spans="1:36" x14ac:dyDescent="0.35">
      <c r="A24" t="s">
        <v>63</v>
      </c>
      <c r="B24" t="s">
        <v>76</v>
      </c>
      <c r="C24" s="4" t="s">
        <v>75</v>
      </c>
      <c r="D24" s="3">
        <f t="shared" ca="1" si="4"/>
        <v>1.7875279045820768E-2</v>
      </c>
      <c r="E24" s="3">
        <f t="shared" ca="1" si="6"/>
        <v>1.8050952856554104E-2</v>
      </c>
      <c r="F24" s="3">
        <f t="shared" ca="1" si="7"/>
        <v>2.0331291703665707E-2</v>
      </c>
      <c r="G24" s="3">
        <f t="shared" ca="1" si="8"/>
        <v>2.0617035472300246E-2</v>
      </c>
      <c r="H24" s="3">
        <f t="shared" ca="1" si="9"/>
        <v>2.1659732397400301E-2</v>
      </c>
      <c r="I24" s="3">
        <f t="shared" ca="1" si="10"/>
        <v>2.2625266300928756E-2</v>
      </c>
      <c r="J24" s="3">
        <f t="shared" ca="1" si="11"/>
        <v>2.3732193739254937E-2</v>
      </c>
      <c r="K24" s="3">
        <f t="shared" ca="1" si="12"/>
        <v>2.4534920103237556E-2</v>
      </c>
      <c r="L24" s="3">
        <f t="shared" ca="1" si="13"/>
        <v>2.6367663099142392E-2</v>
      </c>
      <c r="M24" s="3">
        <f t="shared" ca="1" si="14"/>
        <v>2.5248868170021959E-2</v>
      </c>
      <c r="N24" s="3">
        <f t="shared" ca="1" si="15"/>
        <v>2.9301215955139376E-2</v>
      </c>
      <c r="O24" s="3">
        <f t="shared" ca="1" si="16"/>
        <v>2.6300242761142446E-2</v>
      </c>
      <c r="P24" s="3">
        <f t="shared" ca="1" si="17"/>
        <v>3.1056846225950369E-2</v>
      </c>
      <c r="Q24" s="3">
        <f t="shared" ca="1" si="18"/>
        <v>2.9144920288838277E-2</v>
      </c>
      <c r="R24" s="3">
        <f t="shared" ca="1" si="19"/>
        <v>3.3143639840127172E-2</v>
      </c>
      <c r="S24" s="3">
        <f t="shared" ca="1" si="20"/>
        <v>3.2034138765704032E-2</v>
      </c>
      <c r="T24" s="3">
        <f t="shared" ca="1" si="21"/>
        <v>3.3679201537240293E-2</v>
      </c>
      <c r="U24" s="3">
        <f t="shared" ca="1" si="22"/>
        <v>3.3464213174064818E-2</v>
      </c>
      <c r="V24" s="3">
        <f t="shared" ca="1" si="23"/>
        <v>3.758600593753475E-2</v>
      </c>
      <c r="W24" s="3">
        <f t="shared" ca="1" si="24"/>
        <v>3.4948794587549528E-2</v>
      </c>
      <c r="X24" s="3">
        <f t="shared" ca="1" si="25"/>
        <v>4.4114788410963807E-2</v>
      </c>
      <c r="Y24" s="3">
        <f t="shared" ca="1" si="26"/>
        <v>4.3858619484755938E-2</v>
      </c>
      <c r="Z24" s="3">
        <f t="shared" ca="1" si="27"/>
        <v>4.9363688088643165E-2</v>
      </c>
      <c r="AA24" s="3">
        <f t="shared" ca="1" si="28"/>
        <v>5.3453285624751823E-2</v>
      </c>
      <c r="AB24" s="3">
        <f t="shared" ca="1" si="29"/>
        <v>5.4224204114412068E-2</v>
      </c>
      <c r="AC24" s="3">
        <f t="shared" ca="1" si="30"/>
        <v>6.4063507362981456E-2</v>
      </c>
      <c r="AD24" s="3">
        <f t="shared" ca="1" si="31"/>
        <v>5.9653063211581057E-2</v>
      </c>
      <c r="AE24" s="3">
        <f t="shared" ca="1" si="32"/>
        <v>7.3962034273169802E-2</v>
      </c>
      <c r="AF24" s="3">
        <f t="shared" ca="1" si="33"/>
        <v>6.9501160086666292E-2</v>
      </c>
      <c r="AG24" s="3">
        <f t="shared" ca="1" si="34"/>
        <v>8.0669173112046688E-2</v>
      </c>
      <c r="AH24" s="3">
        <f t="shared" ca="1" si="35"/>
        <v>9.7596881422877077E-2</v>
      </c>
      <c r="AI24" s="3">
        <f t="shared" ca="1" si="36"/>
        <v>0.10678900967914032</v>
      </c>
      <c r="AJ24" s="3">
        <f t="shared" ca="1" si="5"/>
        <v>0.16355889479748142</v>
      </c>
    </row>
    <row r="25" spans="1:36" x14ac:dyDescent="0.35">
      <c r="A25" t="s">
        <v>63</v>
      </c>
      <c r="B25" t="s">
        <v>61</v>
      </c>
      <c r="C25" s="4">
        <v>1</v>
      </c>
      <c r="D25" s="3">
        <f ca="1">MIN(0.99,D6+$D$3)</f>
        <v>1.9137059098475633E-3</v>
      </c>
      <c r="E25" s="3">
        <f t="shared" ref="E25:AJ25" ca="1" si="37">MIN(0.99,E6+$D$3)</f>
        <v>2.0148911074279697E-3</v>
      </c>
      <c r="F25" s="3">
        <f t="shared" ca="1" si="37"/>
        <v>4.1944444701848037E-3</v>
      </c>
      <c r="G25" s="3">
        <f t="shared" ca="1" si="37"/>
        <v>4.5160497555812983E-3</v>
      </c>
      <c r="H25" s="3">
        <f t="shared" ca="1" si="37"/>
        <v>5.6186018181096642E-3</v>
      </c>
      <c r="I25" s="3">
        <f t="shared" ca="1" si="37"/>
        <v>6.5609437641072545E-3</v>
      </c>
      <c r="J25" s="3">
        <f t="shared" ca="1" si="37"/>
        <v>7.6141388341514765E-3</v>
      </c>
      <c r="K25" s="3">
        <f t="shared" ca="1" si="37"/>
        <v>8.2905718187345941E-3</v>
      </c>
      <c r="L25" s="3">
        <f t="shared" ca="1" si="37"/>
        <v>1.0082434204609074E-2</v>
      </c>
      <c r="M25" s="3">
        <f t="shared" ca="1" si="37"/>
        <v>9.0582482394381374E-3</v>
      </c>
      <c r="N25" s="3">
        <f t="shared" ca="1" si="37"/>
        <v>1.305550039036521E-2</v>
      </c>
      <c r="O25" s="3">
        <f t="shared" ca="1" si="37"/>
        <v>1.0029621394540601E-2</v>
      </c>
      <c r="P25" s="3">
        <f t="shared" ca="1" si="37"/>
        <v>1.4997233402660924E-2</v>
      </c>
      <c r="Q25" s="3">
        <f t="shared" ca="1" si="37"/>
        <v>1.3083634915801889E-2</v>
      </c>
      <c r="R25" s="3">
        <f t="shared" ca="1" si="37"/>
        <v>1.7064857934216606E-2</v>
      </c>
      <c r="S25" s="3">
        <f t="shared" ca="1" si="37"/>
        <v>1.5896046395142933E-2</v>
      </c>
      <c r="T25" s="3">
        <f t="shared" ca="1" si="37"/>
        <v>1.7590905782288616E-2</v>
      </c>
      <c r="U25" s="3">
        <f t="shared" ca="1" si="37"/>
        <v>1.7444573540657291E-2</v>
      </c>
      <c r="V25" s="3">
        <f t="shared" ca="1" si="37"/>
        <v>2.1474417489700085E-2</v>
      </c>
      <c r="W25" s="3">
        <f t="shared" ca="1" si="37"/>
        <v>1.8911075326445332E-2</v>
      </c>
      <c r="X25" s="3">
        <f t="shared" ca="1" si="37"/>
        <v>2.8015268972069639E-2</v>
      </c>
      <c r="Y25" s="3">
        <f t="shared" ca="1" si="37"/>
        <v>2.7669398032775228E-2</v>
      </c>
      <c r="Z25" s="3">
        <f t="shared" ca="1" si="37"/>
        <v>3.3211387944149448E-2</v>
      </c>
      <c r="AA25" s="3">
        <f t="shared" ca="1" si="37"/>
        <v>3.742703577363328E-2</v>
      </c>
      <c r="AB25" s="3">
        <f t="shared" ca="1" si="37"/>
        <v>3.8009861435001374E-2</v>
      </c>
      <c r="AC25" s="3">
        <f t="shared" ca="1" si="37"/>
        <v>4.8039922733635221E-2</v>
      </c>
      <c r="AD25" s="3">
        <f t="shared" ca="1" si="37"/>
        <v>4.358455407874133E-2</v>
      </c>
      <c r="AE25" s="3">
        <f t="shared" ca="1" si="37"/>
        <v>5.790991721221779E-2</v>
      </c>
      <c r="AF25" s="3">
        <f t="shared" ca="1" si="37"/>
        <v>5.3385227567861543E-2</v>
      </c>
      <c r="AG25" s="3">
        <f t="shared" ca="1" si="37"/>
        <v>6.4414225348875254E-2</v>
      </c>
      <c r="AH25" s="3">
        <f t="shared" ca="1" si="37"/>
        <v>8.1223404218132289E-2</v>
      </c>
      <c r="AI25" s="3">
        <f t="shared" ca="1" si="37"/>
        <v>9.0779280750684116E-2</v>
      </c>
      <c r="AJ25" s="3">
        <f t="shared" ca="1" si="37"/>
        <v>0.14743416287807257</v>
      </c>
    </row>
    <row r="26" spans="1:36" x14ac:dyDescent="0.35">
      <c r="A26" t="s">
        <v>63</v>
      </c>
      <c r="B26" t="s">
        <v>61</v>
      </c>
      <c r="C26" s="4" t="s">
        <v>64</v>
      </c>
      <c r="D26" s="3">
        <f t="shared" ref="D26:AJ26" ca="1" si="38">MIN(0.99,D7+$D$3)</f>
        <v>2.8593690850967266E-3</v>
      </c>
      <c r="E26" s="3">
        <f t="shared" ca="1" si="38"/>
        <v>2.9528744693646282E-3</v>
      </c>
      <c r="F26" s="3">
        <f t="shared" ca="1" si="38"/>
        <v>5.1364202641316402E-3</v>
      </c>
      <c r="G26" s="3">
        <f t="shared" ca="1" si="38"/>
        <v>5.4612712335849996E-3</v>
      </c>
      <c r="H26" s="3">
        <f t="shared" ca="1" si="38"/>
        <v>6.5657503326904719E-3</v>
      </c>
      <c r="I26" s="3">
        <f t="shared" ca="1" si="38"/>
        <v>7.4837032573622161E-3</v>
      </c>
      <c r="J26" s="3">
        <f t="shared" ca="1" si="38"/>
        <v>8.5304275547686756E-3</v>
      </c>
      <c r="K26" s="3">
        <f t="shared" ca="1" si="38"/>
        <v>9.2250092129335104E-3</v>
      </c>
      <c r="L26" s="3">
        <f t="shared" ca="1" si="38"/>
        <v>1.1032238065345108E-2</v>
      </c>
      <c r="M26" s="3">
        <f t="shared" ca="1" si="38"/>
        <v>1.0015141840230751E-2</v>
      </c>
      <c r="N26" s="3">
        <f t="shared" ca="1" si="38"/>
        <v>1.40055048036088E-2</v>
      </c>
      <c r="O26" s="3">
        <f t="shared" ca="1" si="38"/>
        <v>1.0976087755544772E-2</v>
      </c>
      <c r="P26" s="3">
        <f t="shared" ca="1" si="38"/>
        <v>1.597310078329774E-2</v>
      </c>
      <c r="Q26" s="3">
        <f t="shared" ca="1" si="38"/>
        <v>1.4035628708584224E-2</v>
      </c>
      <c r="R26" s="3">
        <f t="shared" ca="1" si="38"/>
        <v>1.8008718824845119E-2</v>
      </c>
      <c r="S26" s="3">
        <f t="shared" ca="1" si="38"/>
        <v>1.683324613575695E-2</v>
      </c>
      <c r="T26" s="3">
        <f t="shared" ca="1" si="38"/>
        <v>1.8517323755621866E-2</v>
      </c>
      <c r="U26" s="3">
        <f t="shared" ca="1" si="38"/>
        <v>1.8358018967929747E-2</v>
      </c>
      <c r="V26" s="3">
        <f t="shared" ca="1" si="38"/>
        <v>2.2413827681672362E-2</v>
      </c>
      <c r="W26" s="3">
        <f t="shared" ca="1" si="38"/>
        <v>1.9848944283317342E-2</v>
      </c>
      <c r="X26" s="3">
        <f t="shared" ca="1" si="38"/>
        <v>2.8945560605902386E-2</v>
      </c>
      <c r="Y26" s="3">
        <f t="shared" ca="1" si="38"/>
        <v>2.865548829601193E-2</v>
      </c>
      <c r="Z26" s="3">
        <f t="shared" ca="1" si="38"/>
        <v>3.4180368336985671E-2</v>
      </c>
      <c r="AA26" s="3">
        <f t="shared" ca="1" si="38"/>
        <v>3.8412512025703317E-2</v>
      </c>
      <c r="AB26" s="3">
        <f t="shared" ca="1" si="38"/>
        <v>3.8934171179409185E-2</v>
      </c>
      <c r="AC26" s="3">
        <f t="shared" ca="1" si="38"/>
        <v>4.9009224929046649E-2</v>
      </c>
      <c r="AD26" s="3">
        <f t="shared" ca="1" si="38"/>
        <v>4.4564747644908392E-2</v>
      </c>
      <c r="AE26" s="3">
        <f t="shared" ca="1" si="38"/>
        <v>5.8821463079713601E-2</v>
      </c>
      <c r="AF26" s="3">
        <f t="shared" ca="1" si="38"/>
        <v>5.4341394106224884E-2</v>
      </c>
      <c r="AG26" s="3">
        <f t="shared" ca="1" si="38"/>
        <v>6.54061655413639E-2</v>
      </c>
      <c r="AH26" s="3">
        <f t="shared" ca="1" si="38"/>
        <v>8.2201152557807231E-2</v>
      </c>
      <c r="AI26" s="3">
        <f t="shared" ca="1" si="38"/>
        <v>9.1773627881814812E-2</v>
      </c>
      <c r="AJ26" s="3">
        <f t="shared" ca="1" si="38"/>
        <v>0.14840802984172169</v>
      </c>
    </row>
    <row r="27" spans="1:36" x14ac:dyDescent="0.35">
      <c r="A27" t="s">
        <v>63</v>
      </c>
      <c r="B27" t="s">
        <v>61</v>
      </c>
      <c r="C27" s="4">
        <v>2</v>
      </c>
      <c r="D27" s="3">
        <f t="shared" ref="D27:AJ27" ca="1" si="39">MIN(0.99,D8+$D$3)</f>
        <v>3.8082300565452582E-3</v>
      </c>
      <c r="E27" s="3">
        <f t="shared" ca="1" si="39"/>
        <v>3.9107712312871886E-3</v>
      </c>
      <c r="F27" s="3">
        <f t="shared" ca="1" si="39"/>
        <v>6.1342144682510046E-3</v>
      </c>
      <c r="G27" s="3">
        <f t="shared" ca="1" si="39"/>
        <v>6.449986216935156E-3</v>
      </c>
      <c r="H27" s="3">
        <f t="shared" ca="1" si="39"/>
        <v>7.4850166848050006E-3</v>
      </c>
      <c r="I27" s="3">
        <f t="shared" ca="1" si="39"/>
        <v>8.406362488834071E-3</v>
      </c>
      <c r="J27" s="3">
        <f t="shared" ca="1" si="39"/>
        <v>9.4761349055543335E-3</v>
      </c>
      <c r="K27" s="3">
        <f t="shared" ca="1" si="39"/>
        <v>1.0128929243782336E-2</v>
      </c>
      <c r="L27" s="3">
        <f t="shared" ca="1" si="39"/>
        <v>1.1966265956155592E-2</v>
      </c>
      <c r="M27" s="3">
        <f t="shared" ca="1" si="39"/>
        <v>1.0917253851371492E-2</v>
      </c>
      <c r="N27" s="3">
        <f t="shared" ca="1" si="39"/>
        <v>1.4958403473875916E-2</v>
      </c>
      <c r="O27" s="3">
        <f t="shared" ca="1" si="39"/>
        <v>1.1891319465371895E-2</v>
      </c>
      <c r="P27" s="3">
        <f t="shared" ca="1" si="39"/>
        <v>1.6922422200451936E-2</v>
      </c>
      <c r="Q27" s="3">
        <f t="shared" ca="1" si="39"/>
        <v>1.5020248104859704E-2</v>
      </c>
      <c r="R27" s="3">
        <f t="shared" ca="1" si="39"/>
        <v>1.8974093514756166E-2</v>
      </c>
      <c r="S27" s="3">
        <f t="shared" ca="1" si="39"/>
        <v>1.7733364832246062E-2</v>
      </c>
      <c r="T27" s="3">
        <f t="shared" ca="1" si="39"/>
        <v>1.9491267302027989E-2</v>
      </c>
      <c r="U27" s="3">
        <f t="shared" ca="1" si="39"/>
        <v>1.9342966228622725E-2</v>
      </c>
      <c r="V27" s="3">
        <f t="shared" ca="1" si="39"/>
        <v>2.3363804915033724E-2</v>
      </c>
      <c r="W27" s="3">
        <f t="shared" ca="1" si="39"/>
        <v>2.0768143392335233E-2</v>
      </c>
      <c r="X27" s="3">
        <f t="shared" ca="1" si="39"/>
        <v>2.9862942597823398E-2</v>
      </c>
      <c r="Y27" s="3">
        <f t="shared" ca="1" si="39"/>
        <v>2.9640897707001217E-2</v>
      </c>
      <c r="Z27" s="3">
        <f t="shared" ca="1" si="39"/>
        <v>3.5098541840124925E-2</v>
      </c>
      <c r="AA27" s="3">
        <f t="shared" ca="1" si="39"/>
        <v>3.9332948039680189E-2</v>
      </c>
      <c r="AB27" s="3">
        <f t="shared" ca="1" si="39"/>
        <v>3.9855796795334991E-2</v>
      </c>
      <c r="AC27" s="3">
        <f t="shared" ca="1" si="39"/>
        <v>4.9990470493755997E-2</v>
      </c>
      <c r="AD27" s="3">
        <f t="shared" ca="1" si="39"/>
        <v>4.5478437603692579E-2</v>
      </c>
      <c r="AE27" s="3">
        <f t="shared" ca="1" si="39"/>
        <v>5.9747914709393557E-2</v>
      </c>
      <c r="AF27" s="3">
        <f t="shared" ca="1" si="39"/>
        <v>5.5245937024817261E-2</v>
      </c>
      <c r="AG27" s="3">
        <f t="shared" ca="1" si="39"/>
        <v>6.6340071320366997E-2</v>
      </c>
      <c r="AH27" s="3">
        <f t="shared" ca="1" si="39"/>
        <v>8.3192203928552477E-2</v>
      </c>
      <c r="AI27" s="3">
        <f t="shared" ca="1" si="39"/>
        <v>9.2746344194603092E-2</v>
      </c>
      <c r="AJ27" s="3">
        <f t="shared" ca="1" si="39"/>
        <v>0.14936323266674981</v>
      </c>
    </row>
    <row r="28" spans="1:36" x14ac:dyDescent="0.35">
      <c r="A28" t="s">
        <v>63</v>
      </c>
      <c r="B28" t="s">
        <v>61</v>
      </c>
      <c r="C28" s="4" t="s">
        <v>65</v>
      </c>
      <c r="D28" s="3">
        <f t="shared" ref="D28:AJ28" ca="1" si="40">MIN(0.99,D9+$D$3)</f>
        <v>4.708986657541615E-3</v>
      </c>
      <c r="E28" s="3">
        <f t="shared" ca="1" si="40"/>
        <v>4.8713560195413081E-3</v>
      </c>
      <c r="F28" s="3">
        <f t="shared" ca="1" si="40"/>
        <v>7.0477605989534599E-3</v>
      </c>
      <c r="G28" s="3">
        <f t="shared" ca="1" si="40"/>
        <v>7.3692124566044764E-3</v>
      </c>
      <c r="H28" s="3">
        <f t="shared" ca="1" si="40"/>
        <v>8.4315963014003036E-3</v>
      </c>
      <c r="I28" s="3">
        <f t="shared" ca="1" si="40"/>
        <v>9.3710005928038867E-3</v>
      </c>
      <c r="J28" s="3">
        <f t="shared" ca="1" si="40"/>
        <v>1.0445780297351714E-2</v>
      </c>
      <c r="K28" s="3">
        <f t="shared" ca="1" si="40"/>
        <v>1.1077174559546054E-2</v>
      </c>
      <c r="L28" s="3">
        <f t="shared" ca="1" si="40"/>
        <v>1.2964749312014721E-2</v>
      </c>
      <c r="M28" s="3">
        <f t="shared" ca="1" si="40"/>
        <v>1.1850757813487361E-2</v>
      </c>
      <c r="N28" s="3">
        <f t="shared" ca="1" si="40"/>
        <v>1.5891106708963623E-2</v>
      </c>
      <c r="O28" s="3">
        <f t="shared" ca="1" si="40"/>
        <v>1.2855706623828581E-2</v>
      </c>
      <c r="P28" s="3">
        <f t="shared" ca="1" si="40"/>
        <v>1.788727066887727E-2</v>
      </c>
      <c r="Q28" s="3">
        <f t="shared" ca="1" si="40"/>
        <v>1.5922992518657163E-2</v>
      </c>
      <c r="R28" s="3">
        <f t="shared" ca="1" si="40"/>
        <v>1.9914876549807912E-2</v>
      </c>
      <c r="S28" s="3">
        <f t="shared" ca="1" si="40"/>
        <v>1.869677412695776E-2</v>
      </c>
      <c r="T28" s="3">
        <f t="shared" ca="1" si="40"/>
        <v>2.0432137864852921E-2</v>
      </c>
      <c r="U28" s="3">
        <f t="shared" ca="1" si="40"/>
        <v>2.0251906500653432E-2</v>
      </c>
      <c r="V28" s="3">
        <f t="shared" ca="1" si="40"/>
        <v>2.4288681499768556E-2</v>
      </c>
      <c r="W28" s="3">
        <f t="shared" ca="1" si="40"/>
        <v>2.1698751350014315E-2</v>
      </c>
      <c r="X28" s="3">
        <f t="shared" ca="1" si="40"/>
        <v>3.0842200822334926E-2</v>
      </c>
      <c r="Y28" s="3">
        <f t="shared" ca="1" si="40"/>
        <v>3.0551705687135857E-2</v>
      </c>
      <c r="Z28" s="3">
        <f t="shared" ca="1" si="40"/>
        <v>3.60939543949556E-2</v>
      </c>
      <c r="AA28" s="3">
        <f t="shared" ca="1" si="40"/>
        <v>4.0332863582856447E-2</v>
      </c>
      <c r="AB28" s="3">
        <f t="shared" ca="1" si="40"/>
        <v>4.0849713178535745E-2</v>
      </c>
      <c r="AC28" s="3">
        <f t="shared" ca="1" si="40"/>
        <v>5.0912339198120146E-2</v>
      </c>
      <c r="AD28" s="3">
        <f t="shared" ca="1" si="40"/>
        <v>4.6421518522173841E-2</v>
      </c>
      <c r="AE28" s="3">
        <f t="shared" ca="1" si="40"/>
        <v>6.0741929561125417E-2</v>
      </c>
      <c r="AF28" s="3">
        <f t="shared" ca="1" si="40"/>
        <v>5.6234317779736809E-2</v>
      </c>
      <c r="AG28" s="3">
        <f t="shared" ca="1" si="40"/>
        <v>6.7288493445900072E-2</v>
      </c>
      <c r="AH28" s="3">
        <f t="shared" ca="1" si="40"/>
        <v>8.4119455923485922E-2</v>
      </c>
      <c r="AI28" s="3">
        <f t="shared" ca="1" si="40"/>
        <v>9.3672113028047621E-2</v>
      </c>
      <c r="AJ28" s="3">
        <f t="shared" ca="1" si="40"/>
        <v>0.15034132105259659</v>
      </c>
    </row>
    <row r="29" spans="1:36" x14ac:dyDescent="0.35">
      <c r="A29" t="s">
        <v>63</v>
      </c>
      <c r="B29" t="s">
        <v>61</v>
      </c>
      <c r="C29" s="4" t="s">
        <v>66</v>
      </c>
      <c r="D29" s="3">
        <f t="shared" ref="D29:AJ29" ca="1" si="41">MIN(0.99,D10+$D$3)</f>
        <v>5.6327364919427575E-3</v>
      </c>
      <c r="E29" s="3">
        <f t="shared" ca="1" si="41"/>
        <v>5.8105397571632331E-3</v>
      </c>
      <c r="F29" s="3">
        <f t="shared" ca="1" si="41"/>
        <v>7.9966414393711077E-3</v>
      </c>
      <c r="G29" s="3">
        <f t="shared" ca="1" si="41"/>
        <v>8.3496566128011401E-3</v>
      </c>
      <c r="H29" s="3">
        <f t="shared" ca="1" si="41"/>
        <v>9.333291726969787E-3</v>
      </c>
      <c r="I29" s="3">
        <f t="shared" ca="1" si="41"/>
        <v>1.0352580376840125E-2</v>
      </c>
      <c r="J29" s="3">
        <f t="shared" ca="1" si="41"/>
        <v>1.1445257628025798E-2</v>
      </c>
      <c r="K29" s="3">
        <f t="shared" ca="1" si="41"/>
        <v>1.2064841418840358E-2</v>
      </c>
      <c r="L29" s="3">
        <f t="shared" ca="1" si="41"/>
        <v>1.3897893935762479E-2</v>
      </c>
      <c r="M29" s="3">
        <f t="shared" ca="1" si="41"/>
        <v>1.2838331764831123E-2</v>
      </c>
      <c r="N29" s="3">
        <f t="shared" ca="1" si="41"/>
        <v>1.6841137233188232E-2</v>
      </c>
      <c r="O29" s="3">
        <f t="shared" ca="1" si="41"/>
        <v>1.3840562383286653E-2</v>
      </c>
      <c r="P29" s="3">
        <f t="shared" ca="1" si="41"/>
        <v>1.8863978985097681E-2</v>
      </c>
      <c r="Q29" s="3">
        <f t="shared" ca="1" si="41"/>
        <v>1.6833220359931008E-2</v>
      </c>
      <c r="R29" s="3">
        <f t="shared" ca="1" si="41"/>
        <v>2.0913690909378006E-2</v>
      </c>
      <c r="S29" s="3">
        <f t="shared" ca="1" si="41"/>
        <v>1.9678987199078346E-2</v>
      </c>
      <c r="T29" s="3">
        <f t="shared" ca="1" si="41"/>
        <v>2.1384162633159884E-2</v>
      </c>
      <c r="U29" s="3">
        <f t="shared" ca="1" si="41"/>
        <v>2.1174715616295609E-2</v>
      </c>
      <c r="V29" s="3">
        <f t="shared" ca="1" si="41"/>
        <v>2.5236651412355926E-2</v>
      </c>
      <c r="W29" s="3">
        <f t="shared" ca="1" si="41"/>
        <v>2.2612092817120712E-2</v>
      </c>
      <c r="X29" s="3">
        <f t="shared" ca="1" si="41"/>
        <v>3.1799350238133919E-2</v>
      </c>
      <c r="Y29" s="3">
        <f t="shared" ca="1" si="41"/>
        <v>3.1492017354123963E-2</v>
      </c>
      <c r="Z29" s="3">
        <f t="shared" ca="1" si="41"/>
        <v>3.7061901596005441E-2</v>
      </c>
      <c r="AA29" s="3">
        <f t="shared" ca="1" si="41"/>
        <v>4.1290823616776044E-2</v>
      </c>
      <c r="AB29" s="3">
        <f t="shared" ca="1" si="41"/>
        <v>4.1797018963729324E-2</v>
      </c>
      <c r="AC29" s="3">
        <f t="shared" ca="1" si="41"/>
        <v>5.1870820272367557E-2</v>
      </c>
      <c r="AD29" s="3">
        <f t="shared" ca="1" si="41"/>
        <v>4.7406851262124003E-2</v>
      </c>
      <c r="AE29" s="3">
        <f t="shared" ca="1" si="41"/>
        <v>6.1649428229579674E-2</v>
      </c>
      <c r="AF29" s="3">
        <f t="shared" ca="1" si="41"/>
        <v>5.714469118323269E-2</v>
      </c>
      <c r="AG29" s="3">
        <f t="shared" ca="1" si="41"/>
        <v>6.8286691592781196E-2</v>
      </c>
      <c r="AH29" s="3">
        <f t="shared" ca="1" si="41"/>
        <v>8.5097941283547612E-2</v>
      </c>
      <c r="AI29" s="3">
        <f t="shared" ca="1" si="41"/>
        <v>9.4581756995568422E-2</v>
      </c>
      <c r="AJ29" s="3">
        <f t="shared" ca="1" si="41"/>
        <v>0.15133633138748026</v>
      </c>
    </row>
    <row r="30" spans="1:36" x14ac:dyDescent="0.35">
      <c r="A30" t="s">
        <v>63</v>
      </c>
      <c r="B30" t="s">
        <v>61</v>
      </c>
      <c r="C30" s="4">
        <v>3</v>
      </c>
      <c r="D30" s="3">
        <f t="shared" ref="D30:AJ30" ca="1" si="42">MIN(0.99,D11+$D$3)</f>
        <v>6.5354188998003318E-3</v>
      </c>
      <c r="E30" s="3">
        <f t="shared" ca="1" si="42"/>
        <v>6.7568472174221374E-3</v>
      </c>
      <c r="F30" s="3">
        <f t="shared" ca="1" si="42"/>
        <v>8.9021933817806931E-3</v>
      </c>
      <c r="G30" s="3">
        <f t="shared" ca="1" si="42"/>
        <v>9.319356617259314E-3</v>
      </c>
      <c r="H30" s="3">
        <f t="shared" ca="1" si="42"/>
        <v>1.0324404908782371E-2</v>
      </c>
      <c r="I30" s="3">
        <f t="shared" ca="1" si="42"/>
        <v>1.1321189068105721E-2</v>
      </c>
      <c r="J30" s="3">
        <f t="shared" ca="1" si="42"/>
        <v>1.2366055130992721E-2</v>
      </c>
      <c r="K30" s="3">
        <f t="shared" ca="1" si="42"/>
        <v>1.3054291289198664E-2</v>
      </c>
      <c r="L30" s="3">
        <f t="shared" ca="1" si="42"/>
        <v>1.4841578856936558E-2</v>
      </c>
      <c r="M30" s="3">
        <f t="shared" ca="1" si="42"/>
        <v>1.3799616003714387E-2</v>
      </c>
      <c r="N30" s="3">
        <f t="shared" ca="1" si="42"/>
        <v>1.7774661628305374E-2</v>
      </c>
      <c r="O30" s="3">
        <f t="shared" ca="1" si="42"/>
        <v>1.4819145554687843E-2</v>
      </c>
      <c r="P30" s="3">
        <f t="shared" ca="1" si="42"/>
        <v>1.9772022416589447E-2</v>
      </c>
      <c r="Q30" s="3">
        <f t="shared" ca="1" si="42"/>
        <v>1.7816667110201634E-2</v>
      </c>
      <c r="R30" s="3">
        <f t="shared" ca="1" si="42"/>
        <v>2.1900383735384596E-2</v>
      </c>
      <c r="S30" s="3">
        <f t="shared" ca="1" si="42"/>
        <v>2.0633224898428358E-2</v>
      </c>
      <c r="T30" s="3">
        <f t="shared" ca="1" si="42"/>
        <v>2.2336326323140691E-2</v>
      </c>
      <c r="U30" s="3">
        <f t="shared" ca="1" si="42"/>
        <v>2.2170541774706384E-2</v>
      </c>
      <c r="V30" s="3">
        <f t="shared" ca="1" si="42"/>
        <v>2.6162682533392795E-2</v>
      </c>
      <c r="W30" s="3">
        <f t="shared" ca="1" si="42"/>
        <v>2.3576200663516376E-2</v>
      </c>
      <c r="X30" s="3">
        <f t="shared" ca="1" si="42"/>
        <v>3.2748592196886007E-2</v>
      </c>
      <c r="Y30" s="3">
        <f t="shared" ca="1" si="42"/>
        <v>3.2489087370722786E-2</v>
      </c>
      <c r="Z30" s="3">
        <f t="shared" ca="1" si="42"/>
        <v>3.8045434060242647E-2</v>
      </c>
      <c r="AA30" s="3">
        <f t="shared" ca="1" si="42"/>
        <v>4.2207726995219477E-2</v>
      </c>
      <c r="AB30" s="3">
        <f t="shared" ca="1" si="42"/>
        <v>4.2753314758215852E-2</v>
      </c>
      <c r="AC30" s="3">
        <f t="shared" ca="1" si="42"/>
        <v>5.2779794575989199E-2</v>
      </c>
      <c r="AD30" s="3">
        <f t="shared" ca="1" si="42"/>
        <v>4.8321129724457609E-2</v>
      </c>
      <c r="AE30" s="3">
        <f t="shared" ca="1" si="42"/>
        <v>6.2554916437570912E-2</v>
      </c>
      <c r="AF30" s="3">
        <f t="shared" ca="1" si="42"/>
        <v>5.808708579499923E-2</v>
      </c>
      <c r="AG30" s="3">
        <f t="shared" ca="1" si="42"/>
        <v>6.9264153112874122E-2</v>
      </c>
      <c r="AH30" s="3">
        <f t="shared" ca="1" si="42"/>
        <v>8.609683715153911E-2</v>
      </c>
      <c r="AI30" s="3">
        <f t="shared" ca="1" si="42"/>
        <v>9.5503659307368025E-2</v>
      </c>
      <c r="AJ30" s="3">
        <f t="shared" ca="1" si="42"/>
        <v>0.15231590924834729</v>
      </c>
    </row>
    <row r="31" spans="1:36" x14ac:dyDescent="0.35">
      <c r="A31" t="s">
        <v>63</v>
      </c>
      <c r="B31" t="s">
        <v>61</v>
      </c>
      <c r="C31" s="4" t="s">
        <v>67</v>
      </c>
      <c r="D31" s="3">
        <f t="shared" ref="D31:AJ31" ca="1" si="43">MIN(0.99,D12+$D$3)</f>
        <v>7.5106229808475367E-3</v>
      </c>
      <c r="E31" s="3">
        <f t="shared" ca="1" si="43"/>
        <v>7.7057993623293516E-3</v>
      </c>
      <c r="F31" s="3">
        <f t="shared" ca="1" si="43"/>
        <v>9.8541241762181292E-3</v>
      </c>
      <c r="G31" s="3">
        <f t="shared" ca="1" si="43"/>
        <v>1.0267827144320049E-2</v>
      </c>
      <c r="H31" s="3">
        <f t="shared" ca="1" si="43"/>
        <v>1.1241966778974665E-2</v>
      </c>
      <c r="I31" s="3">
        <f t="shared" ca="1" si="43"/>
        <v>1.2260629029326925E-2</v>
      </c>
      <c r="J31" s="3">
        <f t="shared" ca="1" si="43"/>
        <v>1.3359835827577885E-2</v>
      </c>
      <c r="K31" s="3">
        <f t="shared" ca="1" si="43"/>
        <v>1.40089351368042E-2</v>
      </c>
      <c r="L31" s="3">
        <f t="shared" ca="1" si="43"/>
        <v>1.5822250648340457E-2</v>
      </c>
      <c r="M31" s="3">
        <f t="shared" ca="1" si="43"/>
        <v>1.4762819786083591E-2</v>
      </c>
      <c r="N31" s="3">
        <f t="shared" ca="1" si="43"/>
        <v>1.8732495759774821E-2</v>
      </c>
      <c r="O31" s="3">
        <f t="shared" ca="1" si="43"/>
        <v>1.5803701985589537E-2</v>
      </c>
      <c r="P31" s="3">
        <f t="shared" ca="1" si="43"/>
        <v>2.0704116811724665E-2</v>
      </c>
      <c r="Q31" s="3">
        <f t="shared" ca="1" si="43"/>
        <v>1.8741243084011303E-2</v>
      </c>
      <c r="R31" s="3">
        <f t="shared" ca="1" si="43"/>
        <v>2.2830146296141163E-2</v>
      </c>
      <c r="S31" s="3">
        <f t="shared" ca="1" si="43"/>
        <v>2.1604001596953588E-2</v>
      </c>
      <c r="T31" s="3">
        <f t="shared" ca="1" si="43"/>
        <v>2.3260814987765405E-2</v>
      </c>
      <c r="U31" s="3">
        <f t="shared" ca="1" si="43"/>
        <v>2.3089939795012535E-2</v>
      </c>
      <c r="V31" s="3">
        <f t="shared" ca="1" si="43"/>
        <v>2.7078668308939392E-2</v>
      </c>
      <c r="W31" s="3">
        <f t="shared" ca="1" si="43"/>
        <v>2.4513808931606564E-2</v>
      </c>
      <c r="X31" s="3">
        <f t="shared" ca="1" si="43"/>
        <v>3.3682838270696819E-2</v>
      </c>
      <c r="Y31" s="3">
        <f t="shared" ca="1" si="43"/>
        <v>3.3435207387835147E-2</v>
      </c>
      <c r="Z31" s="3">
        <f t="shared" ca="1" si="43"/>
        <v>3.8962198162292593E-2</v>
      </c>
      <c r="AA31" s="3">
        <f t="shared" ca="1" si="43"/>
        <v>4.3202441290445585E-2</v>
      </c>
      <c r="AB31" s="3">
        <f t="shared" ca="1" si="43"/>
        <v>4.3671610864655423E-2</v>
      </c>
      <c r="AC31" s="3">
        <f t="shared" ca="1" si="43"/>
        <v>5.373401717772687E-2</v>
      </c>
      <c r="AD31" s="3">
        <f t="shared" ca="1" si="43"/>
        <v>4.9228043341401337E-2</v>
      </c>
      <c r="AE31" s="3">
        <f t="shared" ca="1" si="43"/>
        <v>6.3549592362791466E-2</v>
      </c>
      <c r="AF31" s="3">
        <f t="shared" ca="1" si="43"/>
        <v>5.9049294447893599E-2</v>
      </c>
      <c r="AG31" s="3">
        <f t="shared" ca="1" si="43"/>
        <v>7.0165781092361199E-2</v>
      </c>
      <c r="AH31" s="3">
        <f t="shared" ca="1" si="43"/>
        <v>8.7083627789772453E-2</v>
      </c>
      <c r="AI31" s="3">
        <f t="shared" ca="1" si="43"/>
        <v>9.6429377824475346E-2</v>
      </c>
      <c r="AJ31" s="3">
        <f t="shared" ca="1" si="43"/>
        <v>0.15327502747557742</v>
      </c>
    </row>
    <row r="32" spans="1:36" x14ac:dyDescent="0.35">
      <c r="A32" t="s">
        <v>63</v>
      </c>
      <c r="B32" t="s">
        <v>61</v>
      </c>
      <c r="C32" s="4" t="s">
        <v>68</v>
      </c>
      <c r="D32" s="3">
        <f t="shared" ref="D32:AJ32" ca="1" si="44">MIN(0.99,D13+$D$3)</f>
        <v>8.4220162520994898E-3</v>
      </c>
      <c r="E32" s="3">
        <f t="shared" ca="1" si="44"/>
        <v>8.649787593776527E-3</v>
      </c>
      <c r="F32" s="3">
        <f t="shared" ca="1" si="44"/>
        <v>1.0849350303095445E-2</v>
      </c>
      <c r="G32" s="3">
        <f t="shared" ca="1" si="44"/>
        <v>1.1214582663345091E-2</v>
      </c>
      <c r="H32" s="3">
        <f t="shared" ca="1" si="44"/>
        <v>1.2169522384931786E-2</v>
      </c>
      <c r="I32" s="3">
        <f t="shared" ca="1" si="44"/>
        <v>1.3249949219688369E-2</v>
      </c>
      <c r="J32" s="3">
        <f t="shared" ca="1" si="44"/>
        <v>1.4315778297119948E-2</v>
      </c>
      <c r="K32" s="3">
        <f t="shared" ca="1" si="44"/>
        <v>1.4955267408858334E-2</v>
      </c>
      <c r="L32" s="3">
        <f t="shared" ca="1" si="44"/>
        <v>1.6761893085030458E-2</v>
      </c>
      <c r="M32" s="3">
        <f t="shared" ca="1" si="44"/>
        <v>1.5739408119132197E-2</v>
      </c>
      <c r="N32" s="3">
        <f t="shared" ca="1" si="44"/>
        <v>1.9638827815214758E-2</v>
      </c>
      <c r="O32" s="3">
        <f t="shared" ca="1" si="44"/>
        <v>1.6803672328245853E-2</v>
      </c>
      <c r="P32" s="3">
        <f t="shared" ca="1" si="44"/>
        <v>2.1688162760386653E-2</v>
      </c>
      <c r="Q32" s="3">
        <f t="shared" ca="1" si="44"/>
        <v>1.9669036729938302E-2</v>
      </c>
      <c r="R32" s="3">
        <f t="shared" ca="1" si="44"/>
        <v>2.3739692308070992E-2</v>
      </c>
      <c r="S32" s="3">
        <f t="shared" ca="1" si="44"/>
        <v>2.2506900017459235E-2</v>
      </c>
      <c r="T32" s="3">
        <f t="shared" ca="1" si="44"/>
        <v>2.4182358962920925E-2</v>
      </c>
      <c r="U32" s="3">
        <f t="shared" ca="1" si="44"/>
        <v>2.4052843780424462E-2</v>
      </c>
      <c r="V32" s="3">
        <f t="shared" ca="1" si="44"/>
        <v>2.8029186935479306E-2</v>
      </c>
      <c r="W32" s="3">
        <f t="shared" ca="1" si="44"/>
        <v>2.548458395098065E-2</v>
      </c>
      <c r="X32" s="3">
        <f t="shared" ca="1" si="44"/>
        <v>3.4671693500971552E-2</v>
      </c>
      <c r="Y32" s="3">
        <f t="shared" ca="1" si="44"/>
        <v>3.4351374772753858E-2</v>
      </c>
      <c r="Z32" s="3">
        <f t="shared" ca="1" si="44"/>
        <v>3.9875780244345307E-2</v>
      </c>
      <c r="AA32" s="3">
        <f t="shared" ca="1" si="44"/>
        <v>4.411188558227682E-2</v>
      </c>
      <c r="AB32" s="3">
        <f t="shared" ca="1" si="44"/>
        <v>4.4665847360598782E-2</v>
      </c>
      <c r="AC32" s="3">
        <f t="shared" ca="1" si="44"/>
        <v>5.4670777012293892E-2</v>
      </c>
      <c r="AD32" s="3">
        <f t="shared" ca="1" si="44"/>
        <v>5.0138271997898325E-2</v>
      </c>
      <c r="AE32" s="3">
        <f t="shared" ca="1" si="44"/>
        <v>6.4453371654723979E-2</v>
      </c>
      <c r="AF32" s="3">
        <f t="shared" ca="1" si="44"/>
        <v>5.9951037429639122E-2</v>
      </c>
      <c r="AG32" s="3">
        <f t="shared" ca="1" si="44"/>
        <v>7.1135608880384255E-2</v>
      </c>
      <c r="AH32" s="3">
        <f t="shared" ca="1" si="44"/>
        <v>8.8035142121971111E-2</v>
      </c>
      <c r="AI32" s="3">
        <f t="shared" ca="1" si="44"/>
        <v>9.7356404999011478E-2</v>
      </c>
      <c r="AJ32" s="3">
        <f t="shared" ca="1" si="44"/>
        <v>0.15420785585581995</v>
      </c>
    </row>
    <row r="33" spans="1:36" x14ac:dyDescent="0.35">
      <c r="A33" t="s">
        <v>63</v>
      </c>
      <c r="B33" t="s">
        <v>61</v>
      </c>
      <c r="C33" s="4">
        <v>4</v>
      </c>
      <c r="D33" s="3">
        <f t="shared" ref="D33:AJ33" ca="1" si="45">MIN(0.99,D14+$D$3)</f>
        <v>9.3536975227481792E-3</v>
      </c>
      <c r="E33" s="3">
        <f t="shared" ca="1" si="45"/>
        <v>9.6218273503102837E-3</v>
      </c>
      <c r="F33" s="3">
        <f t="shared" ca="1" si="45"/>
        <v>1.1845392329472137E-2</v>
      </c>
      <c r="G33" s="3">
        <f t="shared" ca="1" si="45"/>
        <v>1.2139383439687641E-2</v>
      </c>
      <c r="H33" s="3">
        <f t="shared" ca="1" si="45"/>
        <v>1.3075058875749578E-2</v>
      </c>
      <c r="I33" s="3">
        <f t="shared" ca="1" si="45"/>
        <v>1.4166670557556049E-2</v>
      </c>
      <c r="J33" s="3">
        <f t="shared" ca="1" si="45"/>
        <v>1.5245464210301748E-2</v>
      </c>
      <c r="K33" s="3">
        <f t="shared" ca="1" si="45"/>
        <v>1.5879871362227675E-2</v>
      </c>
      <c r="L33" s="3">
        <f t="shared" ca="1" si="45"/>
        <v>1.7755308482763993E-2</v>
      </c>
      <c r="M33" s="3">
        <f t="shared" ca="1" si="45"/>
        <v>1.6711046939209644E-2</v>
      </c>
      <c r="N33" s="3">
        <f t="shared" ca="1" si="45"/>
        <v>2.0589041605893234E-2</v>
      </c>
      <c r="O33" s="3">
        <f t="shared" ca="1" si="45"/>
        <v>1.7710756430602256E-2</v>
      </c>
      <c r="P33" s="3">
        <f t="shared" ca="1" si="45"/>
        <v>2.2592371834465944E-2</v>
      </c>
      <c r="Q33" s="3">
        <f t="shared" ca="1" si="45"/>
        <v>2.0667368477124894E-2</v>
      </c>
      <c r="R33" s="3">
        <f t="shared" ca="1" si="45"/>
        <v>2.4692499694547159E-2</v>
      </c>
      <c r="S33" s="3">
        <f t="shared" ca="1" si="45"/>
        <v>2.346889593207617E-2</v>
      </c>
      <c r="T33" s="3">
        <f t="shared" ca="1" si="45"/>
        <v>2.5180190530957682E-2</v>
      </c>
      <c r="U33" s="3">
        <f t="shared" ca="1" si="45"/>
        <v>2.5023431437911369E-2</v>
      </c>
      <c r="V33" s="3">
        <f t="shared" ca="1" si="45"/>
        <v>2.8993280816635478E-2</v>
      </c>
      <c r="W33" s="3">
        <f t="shared" ca="1" si="45"/>
        <v>2.6392216027804508E-2</v>
      </c>
      <c r="X33" s="3">
        <f t="shared" ca="1" si="45"/>
        <v>3.5584822502365207E-2</v>
      </c>
      <c r="Y33" s="3">
        <f t="shared" ca="1" si="45"/>
        <v>3.5328585201283208E-2</v>
      </c>
      <c r="Z33" s="3">
        <f t="shared" ca="1" si="45"/>
        <v>4.0777027839560311E-2</v>
      </c>
      <c r="AA33" s="3">
        <f t="shared" ca="1" si="45"/>
        <v>4.5015618671197119E-2</v>
      </c>
      <c r="AB33" s="3">
        <f t="shared" ca="1" si="45"/>
        <v>4.5648664569886151E-2</v>
      </c>
      <c r="AC33" s="3">
        <f t="shared" ca="1" si="45"/>
        <v>5.5617280978708966E-2</v>
      </c>
      <c r="AD33" s="3">
        <f t="shared" ca="1" si="45"/>
        <v>5.1127294390794664E-2</v>
      </c>
      <c r="AE33" s="3">
        <f t="shared" ca="1" si="45"/>
        <v>6.537267903282018E-2</v>
      </c>
      <c r="AF33" s="3">
        <f t="shared" ca="1" si="45"/>
        <v>6.087212470444691E-2</v>
      </c>
      <c r="AG33" s="3">
        <f t="shared" ca="1" si="45"/>
        <v>7.21080306318852E-2</v>
      </c>
      <c r="AH33" s="3">
        <f t="shared" ca="1" si="45"/>
        <v>8.8966618357918248E-2</v>
      </c>
      <c r="AI33" s="3">
        <f t="shared" ca="1" si="45"/>
        <v>9.8313755789611865E-2</v>
      </c>
      <c r="AJ33" s="3">
        <f t="shared" ca="1" si="45"/>
        <v>0.15516856842828727</v>
      </c>
    </row>
    <row r="34" spans="1:36" x14ac:dyDescent="0.35">
      <c r="A34" t="s">
        <v>63</v>
      </c>
      <c r="B34" t="s">
        <v>61</v>
      </c>
      <c r="C34" s="4" t="s">
        <v>69</v>
      </c>
      <c r="D34" s="3">
        <f t="shared" ref="D34:AJ34" ca="1" si="46">MIN(0.99,D15+$D$3)</f>
        <v>1.0321794182056431E-2</v>
      </c>
      <c r="E34" s="3">
        <f t="shared" ca="1" si="46"/>
        <v>1.0617147497803105E-2</v>
      </c>
      <c r="F34" s="3">
        <f t="shared" ca="1" si="46"/>
        <v>1.2786530317218065E-2</v>
      </c>
      <c r="G34" s="3">
        <f t="shared" ca="1" si="46"/>
        <v>1.3077026484538554E-2</v>
      </c>
      <c r="H34" s="3">
        <f t="shared" ca="1" si="46"/>
        <v>1.4003056957058557E-2</v>
      </c>
      <c r="I34" s="3">
        <f t="shared" ca="1" si="46"/>
        <v>1.5111435486877274E-2</v>
      </c>
      <c r="J34" s="3">
        <f t="shared" ca="1" si="46"/>
        <v>1.6222483490849524E-2</v>
      </c>
      <c r="K34" s="3">
        <f t="shared" ca="1" si="46"/>
        <v>1.6841121995803149E-2</v>
      </c>
      <c r="L34" s="3">
        <f t="shared" ca="1" si="46"/>
        <v>1.872369474472604E-2</v>
      </c>
      <c r="M34" s="3">
        <f t="shared" ca="1" si="46"/>
        <v>1.764929067810821E-2</v>
      </c>
      <c r="N34" s="3">
        <f t="shared" ca="1" si="46"/>
        <v>2.151581134674406E-2</v>
      </c>
      <c r="O34" s="3">
        <f t="shared" ca="1" si="46"/>
        <v>1.8662621471962994E-2</v>
      </c>
      <c r="P34" s="3">
        <f t="shared" ca="1" si="46"/>
        <v>2.3540757391633832E-2</v>
      </c>
      <c r="Q34" s="3">
        <f t="shared" ca="1" si="46"/>
        <v>2.1657151963836968E-2</v>
      </c>
      <c r="R34" s="3">
        <f t="shared" ca="1" si="46"/>
        <v>2.5691279745688078E-2</v>
      </c>
      <c r="S34" s="3">
        <f t="shared" ca="1" si="46"/>
        <v>2.4456641665537255E-2</v>
      </c>
      <c r="T34" s="3">
        <f t="shared" ca="1" si="46"/>
        <v>2.6091798188571123E-2</v>
      </c>
      <c r="U34" s="3">
        <f t="shared" ca="1" si="46"/>
        <v>2.5932641023434608E-2</v>
      </c>
      <c r="V34" s="3">
        <f t="shared" ca="1" si="46"/>
        <v>2.9991299239981489E-2</v>
      </c>
      <c r="W34" s="3">
        <f t="shared" ca="1" si="46"/>
        <v>2.7375350655192206E-2</v>
      </c>
      <c r="X34" s="3">
        <f t="shared" ca="1" si="46"/>
        <v>3.6523825763146944E-2</v>
      </c>
      <c r="Y34" s="3">
        <f t="shared" ca="1" si="46"/>
        <v>3.6292073239655748E-2</v>
      </c>
      <c r="Z34" s="3">
        <f t="shared" ca="1" si="46"/>
        <v>4.1716902951887E-2</v>
      </c>
      <c r="AA34" s="3">
        <f t="shared" ca="1" si="46"/>
        <v>4.5918922007563277E-2</v>
      </c>
      <c r="AB34" s="3">
        <f t="shared" ca="1" si="46"/>
        <v>4.6607484743148096E-2</v>
      </c>
      <c r="AC34" s="3">
        <f t="shared" ca="1" si="46"/>
        <v>5.6534860762902261E-2</v>
      </c>
      <c r="AD34" s="3">
        <f t="shared" ca="1" si="46"/>
        <v>5.2072834968488114E-2</v>
      </c>
      <c r="AE34" s="3">
        <f t="shared" ca="1" si="46"/>
        <v>6.6371786005469335E-2</v>
      </c>
      <c r="AF34" s="3">
        <f t="shared" ca="1" si="46"/>
        <v>6.1870166430794883E-2</v>
      </c>
      <c r="AG34" s="3">
        <f t="shared" ca="1" si="46"/>
        <v>7.3103114173284509E-2</v>
      </c>
      <c r="AH34" s="3">
        <f t="shared" ca="1" si="46"/>
        <v>8.9956323394054474E-2</v>
      </c>
      <c r="AI34" s="3">
        <f t="shared" ca="1" si="46"/>
        <v>9.9230503899027697E-2</v>
      </c>
      <c r="AJ34" s="3">
        <f t="shared" ca="1" si="46"/>
        <v>0.15609447556301206</v>
      </c>
    </row>
    <row r="35" spans="1:36" x14ac:dyDescent="0.35">
      <c r="A35" t="s">
        <v>63</v>
      </c>
      <c r="B35" t="s">
        <v>61</v>
      </c>
      <c r="C35" s="4" t="s">
        <v>70</v>
      </c>
      <c r="D35" s="3">
        <f t="shared" ref="D35:AJ35" ca="1" si="47">MIN(0.99,D16+$D$3)</f>
        <v>1.1320062572296494E-2</v>
      </c>
      <c r="E35" s="3">
        <f t="shared" ca="1" si="47"/>
        <v>1.1538251139519191E-2</v>
      </c>
      <c r="F35" s="3">
        <f t="shared" ca="1" si="47"/>
        <v>1.3784089630028397E-2</v>
      </c>
      <c r="G35" s="3">
        <f t="shared" ca="1" si="47"/>
        <v>1.4025333612648988E-2</v>
      </c>
      <c r="H35" s="3">
        <f t="shared" ca="1" si="47"/>
        <v>1.5000467265193308E-2</v>
      </c>
      <c r="I35" s="3">
        <f t="shared" ca="1" si="47"/>
        <v>1.6097466589309606E-2</v>
      </c>
      <c r="J35" s="3">
        <f t="shared" ca="1" si="47"/>
        <v>1.7180294845313294E-2</v>
      </c>
      <c r="K35" s="3">
        <f t="shared" ca="1" si="47"/>
        <v>1.7815330208830627E-2</v>
      </c>
      <c r="L35" s="3">
        <f t="shared" ca="1" si="47"/>
        <v>1.9666312972172334E-2</v>
      </c>
      <c r="M35" s="3">
        <f t="shared" ca="1" si="47"/>
        <v>1.8603014671515938E-2</v>
      </c>
      <c r="N35" s="3">
        <f t="shared" ca="1" si="47"/>
        <v>2.2500148179481011E-2</v>
      </c>
      <c r="O35" s="3">
        <f t="shared" ca="1" si="47"/>
        <v>1.9649534327212687E-2</v>
      </c>
      <c r="P35" s="3">
        <f t="shared" ca="1" si="47"/>
        <v>2.4515078996071471E-2</v>
      </c>
      <c r="Q35" s="3">
        <f t="shared" ca="1" si="47"/>
        <v>2.2612446092076584E-2</v>
      </c>
      <c r="R35" s="3">
        <f t="shared" ca="1" si="47"/>
        <v>2.6608276079926763E-2</v>
      </c>
      <c r="S35" s="3">
        <f t="shared" ca="1" si="47"/>
        <v>2.5434890555675195E-2</v>
      </c>
      <c r="T35" s="3">
        <f t="shared" ca="1" si="47"/>
        <v>2.7081579213357718E-2</v>
      </c>
      <c r="U35" s="3">
        <f t="shared" ca="1" si="47"/>
        <v>2.6879508321764282E-2</v>
      </c>
      <c r="V35" s="3">
        <f t="shared" ca="1" si="47"/>
        <v>3.0956474773497306E-2</v>
      </c>
      <c r="W35" s="3">
        <f t="shared" ca="1" si="47"/>
        <v>2.8300556521033974E-2</v>
      </c>
      <c r="X35" s="3">
        <f t="shared" ca="1" si="47"/>
        <v>3.7449737581022088E-2</v>
      </c>
      <c r="Y35" s="3">
        <f t="shared" ca="1" si="47"/>
        <v>3.7291185344650556E-2</v>
      </c>
      <c r="Z35" s="3">
        <f t="shared" ca="1" si="47"/>
        <v>4.2703738102717902E-2</v>
      </c>
      <c r="AA35" s="3">
        <f t="shared" ca="1" si="47"/>
        <v>4.6867247365775903E-2</v>
      </c>
      <c r="AB35" s="3">
        <f t="shared" ca="1" si="47"/>
        <v>4.7522271760022286E-2</v>
      </c>
      <c r="AC35" s="3">
        <f t="shared" ca="1" si="47"/>
        <v>5.7483824815140985E-2</v>
      </c>
      <c r="AD35" s="3">
        <f t="shared" ca="1" si="47"/>
        <v>5.2993590714268519E-2</v>
      </c>
      <c r="AE35" s="3">
        <f t="shared" ca="1" si="47"/>
        <v>6.73414130376946E-2</v>
      </c>
      <c r="AF35" s="3">
        <f t="shared" ca="1" si="47"/>
        <v>6.2804626172656974E-2</v>
      </c>
      <c r="AG35" s="3">
        <f t="shared" ca="1" si="47"/>
        <v>7.408512227680919E-2</v>
      </c>
      <c r="AH35" s="3">
        <f t="shared" ca="1" si="47"/>
        <v>9.0881262115532546E-2</v>
      </c>
      <c r="AI35" s="3">
        <f t="shared" ca="1" si="47"/>
        <v>0.10018668280160666</v>
      </c>
      <c r="AJ35" s="3">
        <f t="shared" ca="1" si="47"/>
        <v>0.15704127982700894</v>
      </c>
    </row>
    <row r="36" spans="1:36" x14ac:dyDescent="0.35">
      <c r="A36" t="s">
        <v>63</v>
      </c>
      <c r="B36" t="s">
        <v>61</v>
      </c>
      <c r="C36" s="4">
        <v>5</v>
      </c>
      <c r="D36" s="3">
        <f t="shared" ref="D36:AJ36" ca="1" si="48">MIN(0.99,D17+$D$3)</f>
        <v>1.229048177597352E-2</v>
      </c>
      <c r="E36" s="3">
        <f t="shared" ca="1" si="48"/>
        <v>1.2479441520624621E-2</v>
      </c>
      <c r="F36" s="3">
        <f t="shared" ca="1" si="48"/>
        <v>1.4745493164832809E-2</v>
      </c>
      <c r="G36" s="3">
        <f t="shared" ca="1" si="48"/>
        <v>1.4925403352093622E-2</v>
      </c>
      <c r="H36" s="3">
        <f t="shared" ca="1" si="48"/>
        <v>1.5943915025675371E-2</v>
      </c>
      <c r="I36" s="3">
        <f t="shared" ca="1" si="48"/>
        <v>1.7036207290582511E-2</v>
      </c>
      <c r="J36" s="3">
        <f t="shared" ca="1" si="48"/>
        <v>1.8168864345776706E-2</v>
      </c>
      <c r="K36" s="3">
        <f t="shared" ca="1" si="48"/>
        <v>1.8784152021837825E-2</v>
      </c>
      <c r="L36" s="3">
        <f t="shared" ca="1" si="48"/>
        <v>2.0601096057983045E-2</v>
      </c>
      <c r="M36" s="3">
        <f t="shared" ca="1" si="48"/>
        <v>1.9512547071963596E-2</v>
      </c>
      <c r="N36" s="3">
        <f t="shared" ca="1" si="48"/>
        <v>2.3472245662050448E-2</v>
      </c>
      <c r="O36" s="3">
        <f t="shared" ca="1" si="48"/>
        <v>2.0647524861742674E-2</v>
      </c>
      <c r="P36" s="3">
        <f t="shared" ca="1" si="48"/>
        <v>2.5458260082450841E-2</v>
      </c>
      <c r="Q36" s="3">
        <f t="shared" ca="1" si="48"/>
        <v>2.3559873163735472E-2</v>
      </c>
      <c r="R36" s="3">
        <f t="shared" ca="1" si="48"/>
        <v>2.7602352222499772E-2</v>
      </c>
      <c r="S36" s="3">
        <f t="shared" ca="1" si="48"/>
        <v>2.641982009960965E-2</v>
      </c>
      <c r="T36" s="3">
        <f t="shared" ca="1" si="48"/>
        <v>2.805156439672447E-2</v>
      </c>
      <c r="U36" s="3">
        <f t="shared" ca="1" si="48"/>
        <v>2.7835606087200423E-2</v>
      </c>
      <c r="V36" s="3">
        <f t="shared" ca="1" si="48"/>
        <v>3.1939011627139108E-2</v>
      </c>
      <c r="W36" s="3">
        <f t="shared" ca="1" si="48"/>
        <v>2.9259675682486538E-2</v>
      </c>
      <c r="X36" s="3">
        <f t="shared" ca="1" si="48"/>
        <v>3.842381498716791E-2</v>
      </c>
      <c r="Y36" s="3">
        <f t="shared" ca="1" si="48"/>
        <v>3.8286224095366972E-2</v>
      </c>
      <c r="Z36" s="3">
        <f t="shared" ca="1" si="48"/>
        <v>4.3633414124821468E-2</v>
      </c>
      <c r="AA36" s="3">
        <f t="shared" ca="1" si="48"/>
        <v>4.7812541998760276E-2</v>
      </c>
      <c r="AB36" s="3">
        <f t="shared" ca="1" si="48"/>
        <v>4.8518606168177374E-2</v>
      </c>
      <c r="AC36" s="3">
        <f t="shared" ca="1" si="48"/>
        <v>5.848201690474162E-2</v>
      </c>
      <c r="AD36" s="3">
        <f t="shared" ca="1" si="48"/>
        <v>5.3946838091091416E-2</v>
      </c>
      <c r="AE36" s="3">
        <f t="shared" ca="1" si="48"/>
        <v>6.8302592756005837E-2</v>
      </c>
      <c r="AF36" s="3">
        <f t="shared" ca="1" si="48"/>
        <v>6.3785414386521105E-2</v>
      </c>
      <c r="AG36" s="3">
        <f t="shared" ca="1" si="48"/>
        <v>7.5026123025395894E-2</v>
      </c>
      <c r="AH36" s="3">
        <f t="shared" ca="1" si="48"/>
        <v>9.1879390331613076E-2</v>
      </c>
      <c r="AI36" s="3">
        <f t="shared" ca="1" si="48"/>
        <v>0.10113860465451817</v>
      </c>
      <c r="AJ36" s="3">
        <f t="shared" ca="1" si="48"/>
        <v>0.15798523237737785</v>
      </c>
    </row>
    <row r="37" spans="1:36" x14ac:dyDescent="0.35">
      <c r="A37" t="s">
        <v>63</v>
      </c>
      <c r="B37" t="s">
        <v>61</v>
      </c>
      <c r="C37" s="4" t="s">
        <v>71</v>
      </c>
      <c r="D37" s="3">
        <f t="shared" ref="D37:AJ37" ca="1" si="49">MIN(0.99,D18+$D$3)</f>
        <v>1.3252315814816167E-2</v>
      </c>
      <c r="E37" s="3">
        <f t="shared" ca="1" si="49"/>
        <v>1.3437199667640093E-2</v>
      </c>
      <c r="F37" s="3">
        <f t="shared" ca="1" si="49"/>
        <v>1.5660333644560705E-2</v>
      </c>
      <c r="G37" s="3">
        <f t="shared" ca="1" si="49"/>
        <v>1.5869082976222269E-2</v>
      </c>
      <c r="H37" s="3">
        <f t="shared" ca="1" si="49"/>
        <v>1.6886063899263049E-2</v>
      </c>
      <c r="I37" s="3">
        <f t="shared" ca="1" si="49"/>
        <v>1.7966169586575209E-2</v>
      </c>
      <c r="J37" s="3">
        <f t="shared" ca="1" si="49"/>
        <v>1.9106491918994387E-2</v>
      </c>
      <c r="K37" s="3">
        <f t="shared" ca="1" si="49"/>
        <v>1.9761875681039324E-2</v>
      </c>
      <c r="L37" s="3">
        <f t="shared" ca="1" si="49"/>
        <v>2.1592385185048125E-2</v>
      </c>
      <c r="M37" s="3">
        <f t="shared" ca="1" si="49"/>
        <v>2.0434156758302152E-2</v>
      </c>
      <c r="N37" s="3">
        <f t="shared" ca="1" si="49"/>
        <v>2.4465510718404568E-2</v>
      </c>
      <c r="O37" s="3">
        <f t="shared" ca="1" si="49"/>
        <v>2.1616318367625571E-2</v>
      </c>
      <c r="P37" s="3">
        <f t="shared" ca="1" si="49"/>
        <v>2.6366683199747727E-2</v>
      </c>
      <c r="Q37" s="3">
        <f t="shared" ca="1" si="49"/>
        <v>2.4492329944718526E-2</v>
      </c>
      <c r="R37" s="3">
        <f t="shared" ca="1" si="49"/>
        <v>2.8521281351998225E-2</v>
      </c>
      <c r="S37" s="3">
        <f t="shared" ca="1" si="49"/>
        <v>2.7372957799791153E-2</v>
      </c>
      <c r="T37" s="3">
        <f t="shared" ca="1" si="49"/>
        <v>2.9014582899917984E-2</v>
      </c>
      <c r="U37" s="3">
        <f t="shared" ca="1" si="49"/>
        <v>2.8748606684286634E-2</v>
      </c>
      <c r="V37" s="3">
        <f t="shared" ca="1" si="49"/>
        <v>3.2914908918971815E-2</v>
      </c>
      <c r="W37" s="3">
        <f t="shared" ca="1" si="49"/>
        <v>3.0194419073828051E-2</v>
      </c>
      <c r="X37" s="3">
        <f t="shared" ca="1" si="49"/>
        <v>3.9405021625515672E-2</v>
      </c>
      <c r="Y37" s="3">
        <f t="shared" ca="1" si="49"/>
        <v>3.9245743187725377E-2</v>
      </c>
      <c r="Z37" s="3">
        <f t="shared" ca="1" si="49"/>
        <v>4.4587422231627517E-2</v>
      </c>
      <c r="AA37" s="3">
        <f t="shared" ca="1" si="49"/>
        <v>4.8812046341835627E-2</v>
      </c>
      <c r="AB37" s="3">
        <f t="shared" ca="1" si="49"/>
        <v>4.9481133173866897E-2</v>
      </c>
      <c r="AC37" s="3">
        <f t="shared" ca="1" si="49"/>
        <v>5.9443668723246551E-2</v>
      </c>
      <c r="AD37" s="3">
        <f t="shared" ca="1" si="49"/>
        <v>5.4924752629194031E-2</v>
      </c>
      <c r="AE37" s="3">
        <f t="shared" ca="1" si="49"/>
        <v>6.9262066743059805E-2</v>
      </c>
      <c r="AF37" s="3">
        <f t="shared" ca="1" si="49"/>
        <v>6.4743806383389793E-2</v>
      </c>
      <c r="AG37" s="3">
        <f t="shared" ca="1" si="49"/>
        <v>7.6005719282346201E-2</v>
      </c>
      <c r="AH37" s="3">
        <f t="shared" ca="1" si="49"/>
        <v>9.2858296828671194E-2</v>
      </c>
      <c r="AI37" s="3">
        <f t="shared" ca="1" si="49"/>
        <v>0.10204711762559196</v>
      </c>
      <c r="AJ37" s="3">
        <f t="shared" ca="1" si="49"/>
        <v>0.15897103985528302</v>
      </c>
    </row>
    <row r="38" spans="1:36" x14ac:dyDescent="0.35">
      <c r="A38" t="s">
        <v>63</v>
      </c>
      <c r="B38" t="s">
        <v>61</v>
      </c>
      <c r="C38" s="4" t="s">
        <v>72</v>
      </c>
      <c r="D38" s="3">
        <f t="shared" ref="D38:AJ38" ca="1" si="50">MIN(0.99,D19+$D$3)</f>
        <v>1.4152445030916928E-2</v>
      </c>
      <c r="E38" s="3">
        <f t="shared" ca="1" si="50"/>
        <v>1.4350829701458814E-2</v>
      </c>
      <c r="F38" s="3">
        <f t="shared" ca="1" si="50"/>
        <v>1.658016100027097E-2</v>
      </c>
      <c r="G38" s="3">
        <f t="shared" ca="1" si="50"/>
        <v>1.6825488412896866E-2</v>
      </c>
      <c r="H38" s="3">
        <f t="shared" ca="1" si="50"/>
        <v>1.7798407985671449E-2</v>
      </c>
      <c r="I38" s="3">
        <f t="shared" ca="1" si="50"/>
        <v>1.8942231093108487E-2</v>
      </c>
      <c r="J38" s="3">
        <f t="shared" ca="1" si="50"/>
        <v>2.000909611348969E-2</v>
      </c>
      <c r="K38" s="3">
        <f t="shared" ca="1" si="50"/>
        <v>2.068061376153878E-2</v>
      </c>
      <c r="L38" s="3">
        <f t="shared" ca="1" si="50"/>
        <v>2.2579345557199988E-2</v>
      </c>
      <c r="M38" s="3">
        <f t="shared" ca="1" si="50"/>
        <v>2.140819768374216E-2</v>
      </c>
      <c r="N38" s="3">
        <f t="shared" ca="1" si="50"/>
        <v>2.5415099592844461E-2</v>
      </c>
      <c r="O38" s="3">
        <f t="shared" ca="1" si="50"/>
        <v>2.2614953832701366E-2</v>
      </c>
      <c r="P38" s="3">
        <f t="shared" ca="1" si="50"/>
        <v>2.7334759832945255E-2</v>
      </c>
      <c r="Q38" s="3">
        <f t="shared" ca="1" si="50"/>
        <v>2.5470127589873708E-2</v>
      </c>
      <c r="R38" s="3">
        <f t="shared" ca="1" si="50"/>
        <v>2.9506015768321705E-2</v>
      </c>
      <c r="S38" s="3">
        <f t="shared" ca="1" si="50"/>
        <v>2.8310219539041982E-2</v>
      </c>
      <c r="T38" s="3">
        <f t="shared" ca="1" si="50"/>
        <v>2.9925925344397138E-2</v>
      </c>
      <c r="U38" s="3">
        <f t="shared" ca="1" si="50"/>
        <v>2.9737723038825492E-2</v>
      </c>
      <c r="V38" s="3">
        <f t="shared" ca="1" si="50"/>
        <v>3.3833397104936422E-2</v>
      </c>
      <c r="W38" s="3">
        <f t="shared" ca="1" si="50"/>
        <v>3.1111173693610602E-2</v>
      </c>
      <c r="X38" s="3">
        <f t="shared" ca="1" si="50"/>
        <v>4.0400387702887994E-2</v>
      </c>
      <c r="Y38" s="3">
        <f t="shared" ca="1" si="50"/>
        <v>4.0212145655377243E-2</v>
      </c>
      <c r="Z38" s="3">
        <f t="shared" ca="1" si="50"/>
        <v>4.5512506580291941E-2</v>
      </c>
      <c r="AA38" s="3">
        <f t="shared" ca="1" si="50"/>
        <v>4.9736347948423458E-2</v>
      </c>
      <c r="AB38" s="3">
        <f t="shared" ca="1" si="50"/>
        <v>5.0467480710824818E-2</v>
      </c>
      <c r="AC38" s="3">
        <f t="shared" ca="1" si="50"/>
        <v>6.0375486760457522E-2</v>
      </c>
      <c r="AD38" s="3">
        <f t="shared" ca="1" si="50"/>
        <v>5.5883747964579816E-2</v>
      </c>
      <c r="AE38" s="3">
        <f t="shared" ca="1" si="50"/>
        <v>7.0166855258105523E-2</v>
      </c>
      <c r="AF38" s="3">
        <f t="shared" ca="1" si="50"/>
        <v>6.5686936452229006E-2</v>
      </c>
      <c r="AG38" s="3">
        <f t="shared" ca="1" si="50"/>
        <v>7.6931697981602834E-2</v>
      </c>
      <c r="AH38" s="3">
        <f t="shared" ca="1" si="50"/>
        <v>9.3799164745485372E-2</v>
      </c>
      <c r="AI38" s="3">
        <f t="shared" ca="1" si="50"/>
        <v>0.10296599081363206</v>
      </c>
      <c r="AJ38" s="3">
        <f t="shared" ca="1" si="50"/>
        <v>0.1598896935208578</v>
      </c>
    </row>
    <row r="39" spans="1:36" x14ac:dyDescent="0.35">
      <c r="A39" t="s">
        <v>63</v>
      </c>
      <c r="B39" t="s">
        <v>61</v>
      </c>
      <c r="C39" s="4">
        <v>6</v>
      </c>
      <c r="D39" s="3">
        <f t="shared" ref="D39:AJ39" ca="1" si="51">MIN(0.99,D20+$D$3)</f>
        <v>1.5103925523829616E-2</v>
      </c>
      <c r="E39" s="3">
        <f t="shared" ca="1" si="51"/>
        <v>1.5273480413622354E-2</v>
      </c>
      <c r="F39" s="3">
        <f t="shared" ca="1" si="51"/>
        <v>1.7484260479984155E-2</v>
      </c>
      <c r="G39" s="3">
        <f t="shared" ca="1" si="51"/>
        <v>1.7784990179027436E-2</v>
      </c>
      <c r="H39" s="3">
        <f t="shared" ca="1" si="51"/>
        <v>1.8746432107819035E-2</v>
      </c>
      <c r="I39" s="3">
        <f t="shared" ca="1" si="51"/>
        <v>1.9924662333216426E-2</v>
      </c>
      <c r="J39" s="3">
        <f t="shared" ca="1" si="51"/>
        <v>2.0979100515904892E-2</v>
      </c>
      <c r="K39" s="3">
        <f t="shared" ca="1" si="51"/>
        <v>2.1643417586740561E-2</v>
      </c>
      <c r="L39" s="3">
        <f t="shared" ca="1" si="51"/>
        <v>2.3548114463104588E-2</v>
      </c>
      <c r="M39" s="3">
        <f t="shared" ca="1" si="51"/>
        <v>2.2387711815409481E-2</v>
      </c>
      <c r="N39" s="3">
        <f t="shared" ca="1" si="51"/>
        <v>2.6329867427790265E-2</v>
      </c>
      <c r="O39" s="3">
        <f t="shared" ca="1" si="51"/>
        <v>2.3548931738468282E-2</v>
      </c>
      <c r="P39" s="3">
        <f t="shared" ca="1" si="51"/>
        <v>2.8281455029663914E-2</v>
      </c>
      <c r="Q39" s="3">
        <f t="shared" ca="1" si="51"/>
        <v>2.6404786900639108E-2</v>
      </c>
      <c r="R39" s="3">
        <f t="shared" ca="1" si="51"/>
        <v>3.0413632366164671E-2</v>
      </c>
      <c r="S39" s="3">
        <f t="shared" ca="1" si="51"/>
        <v>2.9231757462390012E-2</v>
      </c>
      <c r="T39" s="3">
        <f t="shared" ca="1" si="51"/>
        <v>3.0865839441618009E-2</v>
      </c>
      <c r="U39" s="3">
        <f t="shared" ca="1" si="51"/>
        <v>3.0651666601106013E-2</v>
      </c>
      <c r="V39" s="3">
        <f t="shared" ca="1" si="51"/>
        <v>3.480745226424474E-2</v>
      </c>
      <c r="W39" s="3">
        <f t="shared" ca="1" si="51"/>
        <v>3.2069344767362097E-2</v>
      </c>
      <c r="X39" s="3">
        <f t="shared" ca="1" si="51"/>
        <v>4.1335712794168832E-2</v>
      </c>
      <c r="Y39" s="3">
        <f t="shared" ca="1" si="51"/>
        <v>4.1119962252992352E-2</v>
      </c>
      <c r="Z39" s="3">
        <f t="shared" ca="1" si="51"/>
        <v>4.6472239793457111E-2</v>
      </c>
      <c r="AA39" s="3">
        <f t="shared" ca="1" si="51"/>
        <v>5.0687289175746421E-2</v>
      </c>
      <c r="AB39" s="3">
        <f t="shared" ca="1" si="51"/>
        <v>5.1369623207543201E-2</v>
      </c>
      <c r="AC39" s="3">
        <f t="shared" ca="1" si="51"/>
        <v>6.1349953632745195E-2</v>
      </c>
      <c r="AD39" s="3">
        <f t="shared" ca="1" si="51"/>
        <v>5.6818404522337627E-2</v>
      </c>
      <c r="AE39" s="3">
        <f t="shared" ca="1" si="51"/>
        <v>7.115373927285823E-2</v>
      </c>
      <c r="AF39" s="3">
        <f t="shared" ca="1" si="51"/>
        <v>6.668056020223434E-2</v>
      </c>
      <c r="AG39" s="3">
        <f t="shared" ca="1" si="51"/>
        <v>7.7875569737770406E-2</v>
      </c>
      <c r="AH39" s="3">
        <f t="shared" ca="1" si="51"/>
        <v>9.475955657050128E-2</v>
      </c>
      <c r="AI39" s="3">
        <f t="shared" ca="1" si="51"/>
        <v>0.10394268838125667</v>
      </c>
      <c r="AJ39" s="3">
        <f t="shared" ca="1" si="51"/>
        <v>0.16083526118322763</v>
      </c>
    </row>
    <row r="40" spans="1:36" x14ac:dyDescent="0.35">
      <c r="A40" t="s">
        <v>63</v>
      </c>
      <c r="B40" t="s">
        <v>61</v>
      </c>
      <c r="C40" s="4" t="s">
        <v>73</v>
      </c>
      <c r="D40" s="3">
        <f t="shared" ref="D40:AJ40" ca="1" si="52">MIN(0.99,D21+$D$3)</f>
        <v>1.6076343410252165E-2</v>
      </c>
      <c r="E40" s="3">
        <f t="shared" ca="1" si="52"/>
        <v>1.6220448312122118E-2</v>
      </c>
      <c r="F40" s="3">
        <f t="shared" ca="1" si="52"/>
        <v>1.847447550950345E-2</v>
      </c>
      <c r="G40" s="3">
        <f t="shared" ca="1" si="52"/>
        <v>1.8761084793114287E-2</v>
      </c>
      <c r="H40" s="3">
        <f t="shared" ca="1" si="52"/>
        <v>1.9744522938184485E-2</v>
      </c>
      <c r="I40" s="3">
        <f t="shared" ca="1" si="52"/>
        <v>2.089778819768915E-2</v>
      </c>
      <c r="J40" s="3">
        <f t="shared" ca="1" si="52"/>
        <v>2.1883185304970871E-2</v>
      </c>
      <c r="K40" s="3">
        <f t="shared" ca="1" si="52"/>
        <v>2.2607880304561737E-2</v>
      </c>
      <c r="L40" s="3">
        <f t="shared" ca="1" si="52"/>
        <v>2.4455920816493611E-2</v>
      </c>
      <c r="M40" s="3">
        <f t="shared" ca="1" si="52"/>
        <v>2.3288634924567293E-2</v>
      </c>
      <c r="N40" s="3">
        <f t="shared" ca="1" si="52"/>
        <v>2.7311145294651638E-2</v>
      </c>
      <c r="O40" s="3">
        <f t="shared" ca="1" si="52"/>
        <v>2.4452283815432654E-2</v>
      </c>
      <c r="P40" s="3">
        <f t="shared" ca="1" si="52"/>
        <v>2.9272247291273947E-2</v>
      </c>
      <c r="Q40" s="3">
        <f t="shared" ca="1" si="52"/>
        <v>2.732272646081265E-2</v>
      </c>
      <c r="R40" s="3">
        <f t="shared" ca="1" si="52"/>
        <v>3.1397149081169265E-2</v>
      </c>
      <c r="S40" s="3">
        <f t="shared" ca="1" si="52"/>
        <v>3.0179343186951306E-2</v>
      </c>
      <c r="T40" s="3">
        <f t="shared" ca="1" si="52"/>
        <v>3.1818966535687082E-2</v>
      </c>
      <c r="U40" s="3">
        <f t="shared" ca="1" si="52"/>
        <v>3.1555167541427301E-2</v>
      </c>
      <c r="V40" s="3">
        <f t="shared" ca="1" si="52"/>
        <v>3.5748233990400495E-2</v>
      </c>
      <c r="W40" s="3">
        <f t="shared" ca="1" si="52"/>
        <v>3.3030469659940075E-2</v>
      </c>
      <c r="X40" s="3">
        <f t="shared" ca="1" si="52"/>
        <v>4.2237231515940062E-2</v>
      </c>
      <c r="Y40" s="3">
        <f t="shared" ca="1" si="52"/>
        <v>4.2040881082994475E-2</v>
      </c>
      <c r="Z40" s="3">
        <f t="shared" ca="1" si="52"/>
        <v>4.7463222183403063E-2</v>
      </c>
      <c r="AA40" s="3">
        <f t="shared" ca="1" si="52"/>
        <v>5.1627256529838315E-2</v>
      </c>
      <c r="AB40" s="3">
        <f t="shared" ca="1" si="52"/>
        <v>5.2330225640333475E-2</v>
      </c>
      <c r="AC40" s="3">
        <f t="shared" ca="1" si="52"/>
        <v>6.2267167041067016E-2</v>
      </c>
      <c r="AD40" s="3">
        <f t="shared" ca="1" si="52"/>
        <v>5.7726376327012385E-2</v>
      </c>
      <c r="AE40" s="3">
        <f t="shared" ca="1" si="52"/>
        <v>7.2093762480073764E-2</v>
      </c>
      <c r="AF40" s="3">
        <f t="shared" ca="1" si="52"/>
        <v>6.7629337723902824E-2</v>
      </c>
      <c r="AG40" s="3">
        <f t="shared" ca="1" si="52"/>
        <v>7.8781603646469453E-2</v>
      </c>
      <c r="AH40" s="3">
        <f t="shared" ca="1" si="52"/>
        <v>9.5684438610676187E-2</v>
      </c>
      <c r="AI40" s="3">
        <f t="shared" ca="1" si="52"/>
        <v>0.10491532296838085</v>
      </c>
      <c r="AJ40" s="3">
        <f t="shared" ca="1" si="52"/>
        <v>0.16176592350239433</v>
      </c>
    </row>
    <row r="41" spans="1:36" x14ac:dyDescent="0.35">
      <c r="A41" t="s">
        <v>63</v>
      </c>
      <c r="B41" t="s">
        <v>61</v>
      </c>
      <c r="C41" s="4" t="s">
        <v>74</v>
      </c>
      <c r="D41" s="3">
        <f t="shared" ref="D41:AJ41" ca="1" si="53">MIN(0.99,D22+$D$3)</f>
        <v>1.6977639289510838E-2</v>
      </c>
      <c r="E41" s="3">
        <f t="shared" ca="1" si="53"/>
        <v>1.7185436779868519E-2</v>
      </c>
      <c r="F41" s="3">
        <f t="shared" ca="1" si="53"/>
        <v>1.9439383080087587E-2</v>
      </c>
      <c r="G41" s="3">
        <f t="shared" ca="1" si="53"/>
        <v>1.9707938263329613E-2</v>
      </c>
      <c r="H41" s="3">
        <f t="shared" ca="1" si="53"/>
        <v>2.0728314198047791E-2</v>
      </c>
      <c r="I41" s="3">
        <f t="shared" ca="1" si="53"/>
        <v>2.1799586844370413E-2</v>
      </c>
      <c r="J41" s="3">
        <f t="shared" ca="1" si="53"/>
        <v>2.2878908646493307E-2</v>
      </c>
      <c r="K41" s="3">
        <f t="shared" ca="1" si="53"/>
        <v>2.3592240663813265E-2</v>
      </c>
      <c r="L41" s="3">
        <f t="shared" ca="1" si="53"/>
        <v>2.544332535422926E-2</v>
      </c>
      <c r="M41" s="3">
        <f t="shared" ca="1" si="53"/>
        <v>2.4265813482198303E-2</v>
      </c>
      <c r="N41" s="3">
        <f t="shared" ca="1" si="53"/>
        <v>2.8307272751339641E-2</v>
      </c>
      <c r="O41" s="3">
        <f t="shared" ca="1" si="53"/>
        <v>2.5391280638935268E-2</v>
      </c>
      <c r="P41" s="3">
        <f t="shared" ca="1" si="53"/>
        <v>3.0183006535830052E-2</v>
      </c>
      <c r="Q41" s="3">
        <f t="shared" ca="1" si="53"/>
        <v>2.8242322027796987E-2</v>
      </c>
      <c r="R41" s="3">
        <f t="shared" ca="1" si="53"/>
        <v>3.2313369639595614E-2</v>
      </c>
      <c r="S41" s="3">
        <f t="shared" ca="1" si="53"/>
        <v>3.112470999008296E-2</v>
      </c>
      <c r="T41" s="3">
        <f t="shared" ca="1" si="53"/>
        <v>3.2790822628961942E-2</v>
      </c>
      <c r="U41" s="3">
        <f t="shared" ca="1" si="53"/>
        <v>3.2501393744067637E-2</v>
      </c>
      <c r="V41" s="3">
        <f t="shared" ca="1" si="53"/>
        <v>3.6724209770869286E-2</v>
      </c>
      <c r="W41" s="3">
        <f t="shared" ca="1" si="53"/>
        <v>3.4028908521711823E-2</v>
      </c>
      <c r="X41" s="3">
        <f t="shared" ca="1" si="53"/>
        <v>4.3211591835553648E-2</v>
      </c>
      <c r="Y41" s="3">
        <f t="shared" ca="1" si="53"/>
        <v>4.2957097827992494E-2</v>
      </c>
      <c r="Z41" s="3">
        <f t="shared" ca="1" si="53"/>
        <v>4.8427681368468783E-2</v>
      </c>
      <c r="AA41" s="3">
        <f t="shared" ca="1" si="53"/>
        <v>5.2581937200085631E-2</v>
      </c>
      <c r="AB41" s="3">
        <f t="shared" ca="1" si="53"/>
        <v>5.3289124051551305E-2</v>
      </c>
      <c r="AC41" s="3">
        <f t="shared" ca="1" si="53"/>
        <v>6.31722490483278E-2</v>
      </c>
      <c r="AD41" s="3">
        <f t="shared" ca="1" si="53"/>
        <v>5.8716600628391062E-2</v>
      </c>
      <c r="AE41" s="3">
        <f t="shared" ca="1" si="53"/>
        <v>7.3017728469283991E-2</v>
      </c>
      <c r="AF41" s="3">
        <f t="shared" ca="1" si="53"/>
        <v>6.8606794667857046E-2</v>
      </c>
      <c r="AG41" s="3">
        <f t="shared" ca="1" si="53"/>
        <v>7.9716530631884316E-2</v>
      </c>
      <c r="AH41" s="3">
        <f t="shared" ca="1" si="53"/>
        <v>9.6618336897311433E-2</v>
      </c>
      <c r="AI41" s="3">
        <f t="shared" ca="1" si="53"/>
        <v>0.10588614259121348</v>
      </c>
      <c r="AJ41" s="3">
        <f t="shared" ca="1" si="53"/>
        <v>0.16273333340118235</v>
      </c>
    </row>
    <row r="42" spans="1:36" x14ac:dyDescent="0.35">
      <c r="A42" t="s">
        <v>63</v>
      </c>
      <c r="B42" t="s">
        <v>61</v>
      </c>
      <c r="C42" s="4">
        <v>7</v>
      </c>
      <c r="D42" s="3">
        <f t="shared" ref="D42:AJ42" ca="1" si="54">MIN(0.99,D23+$D$3)</f>
        <v>1.7917500457153478E-2</v>
      </c>
      <c r="E42" s="3">
        <f t="shared" ca="1" si="54"/>
        <v>1.8145254027243801E-2</v>
      </c>
      <c r="F42" s="3">
        <f t="shared" ca="1" si="54"/>
        <v>2.0402079986710321E-2</v>
      </c>
      <c r="G42" s="3">
        <f t="shared" ca="1" si="54"/>
        <v>2.0655961922810648E-2</v>
      </c>
      <c r="H42" s="3">
        <f t="shared" ca="1" si="54"/>
        <v>2.1693695797489938E-2</v>
      </c>
      <c r="I42" s="3">
        <f t="shared" ca="1" si="54"/>
        <v>2.2712770370238323E-2</v>
      </c>
      <c r="J42" s="3">
        <f t="shared" ca="1" si="54"/>
        <v>2.3802021895231857E-2</v>
      </c>
      <c r="K42" s="3">
        <f t="shared" ca="1" si="54"/>
        <v>2.456580388978391E-2</v>
      </c>
      <c r="L42" s="3">
        <f t="shared" ca="1" si="54"/>
        <v>2.6391266178167078E-2</v>
      </c>
      <c r="M42" s="3">
        <f t="shared" ca="1" si="54"/>
        <v>2.5253252161495859E-2</v>
      </c>
      <c r="N42" s="3">
        <f t="shared" ca="1" si="54"/>
        <v>2.9303183100044206E-2</v>
      </c>
      <c r="O42" s="3">
        <f t="shared" ca="1" si="54"/>
        <v>2.6313826593341794E-2</v>
      </c>
      <c r="P42" s="3">
        <f t="shared" ca="1" si="54"/>
        <v>3.1115654610217855E-2</v>
      </c>
      <c r="Q42" s="3">
        <f t="shared" ca="1" si="54"/>
        <v>2.9164492849901399E-2</v>
      </c>
      <c r="R42" s="3">
        <f t="shared" ca="1" si="54"/>
        <v>3.3231283107714574E-2</v>
      </c>
      <c r="S42" s="3">
        <f t="shared" ca="1" si="54"/>
        <v>3.2048976461946432E-2</v>
      </c>
      <c r="T42" s="3">
        <f t="shared" ca="1" si="54"/>
        <v>3.3741699628516669E-2</v>
      </c>
      <c r="U42" s="3">
        <f t="shared" ca="1" si="54"/>
        <v>3.3467115659572964E-2</v>
      </c>
      <c r="V42" s="3">
        <f t="shared" ca="1" si="54"/>
        <v>3.7634500210641547E-2</v>
      </c>
      <c r="W42" s="3">
        <f t="shared" ca="1" si="54"/>
        <v>3.4967627336666647E-2</v>
      </c>
      <c r="X42" s="3">
        <f t="shared" ca="1" si="54"/>
        <v>4.4184367354596875E-2</v>
      </c>
      <c r="Y42" s="3">
        <f t="shared" ca="1" si="54"/>
        <v>4.3947228346252483E-2</v>
      </c>
      <c r="Z42" s="3">
        <f t="shared" ca="1" si="54"/>
        <v>4.9389245541982915E-2</v>
      </c>
      <c r="AA42" s="3">
        <f t="shared" ca="1" si="54"/>
        <v>5.3537737673600302E-2</v>
      </c>
      <c r="AB42" s="3">
        <f t="shared" ca="1" si="54"/>
        <v>5.42573764118712E-2</v>
      </c>
      <c r="AC42" s="3">
        <f t="shared" ca="1" si="54"/>
        <v>6.4115430043037505E-2</v>
      </c>
      <c r="AD42" s="3">
        <f t="shared" ca="1" si="54"/>
        <v>5.9680075854409174E-2</v>
      </c>
      <c r="AE42" s="3">
        <f t="shared" ca="1" si="54"/>
        <v>7.4010852462887119E-2</v>
      </c>
      <c r="AF42" s="3">
        <f t="shared" ca="1" si="54"/>
        <v>6.9556304016067091E-2</v>
      </c>
      <c r="AG42" s="3">
        <f t="shared" ca="1" si="54"/>
        <v>8.0690251448996733E-2</v>
      </c>
      <c r="AH42" s="3">
        <f t="shared" ca="1" si="54"/>
        <v>9.7613631405579757E-2</v>
      </c>
      <c r="AI42" s="3">
        <f t="shared" ca="1" si="54"/>
        <v>0.10685618723574056</v>
      </c>
      <c r="AJ42" s="3">
        <f t="shared" ca="1" si="54"/>
        <v>0.16365884083679894</v>
      </c>
    </row>
    <row r="43" spans="1:36" x14ac:dyDescent="0.35">
      <c r="A43" t="s">
        <v>63</v>
      </c>
      <c r="B43" t="s">
        <v>61</v>
      </c>
      <c r="C43" s="4" t="s">
        <v>75</v>
      </c>
      <c r="D43" s="3">
        <f t="shared" ref="D43:AJ43" ca="1" si="55">MIN(0.99,D24+$D$3)</f>
        <v>1.8875279045820769E-2</v>
      </c>
      <c r="E43" s="3">
        <f t="shared" ca="1" si="55"/>
        <v>1.9050952856554105E-2</v>
      </c>
      <c r="F43" s="3">
        <f t="shared" ca="1" si="55"/>
        <v>2.1331291703665708E-2</v>
      </c>
      <c r="G43" s="3">
        <f t="shared" ca="1" si="55"/>
        <v>2.1617035472300247E-2</v>
      </c>
      <c r="H43" s="3">
        <f t="shared" ca="1" si="55"/>
        <v>2.2659732397400302E-2</v>
      </c>
      <c r="I43" s="3">
        <f t="shared" ca="1" si="55"/>
        <v>2.3625266300928757E-2</v>
      </c>
      <c r="J43" s="3">
        <f t="shared" ca="1" si="55"/>
        <v>2.4732193739254938E-2</v>
      </c>
      <c r="K43" s="3">
        <f t="shared" ca="1" si="55"/>
        <v>2.5534920103237557E-2</v>
      </c>
      <c r="L43" s="3">
        <f t="shared" ca="1" si="55"/>
        <v>2.7367663099142393E-2</v>
      </c>
      <c r="M43" s="3">
        <f t="shared" ca="1" si="55"/>
        <v>2.624886817002196E-2</v>
      </c>
      <c r="N43" s="3">
        <f t="shared" ca="1" si="55"/>
        <v>3.0301215955139377E-2</v>
      </c>
      <c r="O43" s="3">
        <f t="shared" ca="1" si="55"/>
        <v>2.7300242761142447E-2</v>
      </c>
      <c r="P43" s="3">
        <f t="shared" ca="1" si="55"/>
        <v>3.2056846225950369E-2</v>
      </c>
      <c r="Q43" s="3">
        <f t="shared" ca="1" si="55"/>
        <v>3.0144920288838278E-2</v>
      </c>
      <c r="R43" s="3">
        <f t="shared" ca="1" si="55"/>
        <v>3.4143639840127173E-2</v>
      </c>
      <c r="S43" s="3">
        <f t="shared" ca="1" si="55"/>
        <v>3.3034138765704033E-2</v>
      </c>
      <c r="T43" s="3">
        <f t="shared" ca="1" si="55"/>
        <v>3.4679201537240294E-2</v>
      </c>
      <c r="U43" s="3">
        <f t="shared" ca="1" si="55"/>
        <v>3.4464213174064819E-2</v>
      </c>
      <c r="V43" s="3">
        <f t="shared" ca="1" si="55"/>
        <v>3.8586005937534751E-2</v>
      </c>
      <c r="W43" s="3">
        <f t="shared" ca="1" si="55"/>
        <v>3.5948794587549529E-2</v>
      </c>
      <c r="X43" s="3">
        <f t="shared" ca="1" si="55"/>
        <v>4.5114788410963808E-2</v>
      </c>
      <c r="Y43" s="3">
        <f t="shared" ca="1" si="55"/>
        <v>4.4858619484755939E-2</v>
      </c>
      <c r="Z43" s="3">
        <f t="shared" ca="1" si="55"/>
        <v>5.0363688088643166E-2</v>
      </c>
      <c r="AA43" s="3">
        <f t="shared" ca="1" si="55"/>
        <v>5.4453285624751824E-2</v>
      </c>
      <c r="AB43" s="3">
        <f t="shared" ca="1" si="55"/>
        <v>5.5224204114412069E-2</v>
      </c>
      <c r="AC43" s="3">
        <f t="shared" ca="1" si="55"/>
        <v>6.5063507362981457E-2</v>
      </c>
      <c r="AD43" s="3">
        <f t="shared" ca="1" si="55"/>
        <v>6.0653063211581058E-2</v>
      </c>
      <c r="AE43" s="3">
        <f t="shared" ca="1" si="55"/>
        <v>7.4962034273169803E-2</v>
      </c>
      <c r="AF43" s="3">
        <f t="shared" ca="1" si="55"/>
        <v>7.0501160086666292E-2</v>
      </c>
      <c r="AG43" s="3">
        <f t="shared" ca="1" si="55"/>
        <v>8.1669173112046689E-2</v>
      </c>
      <c r="AH43" s="3">
        <f t="shared" ca="1" si="55"/>
        <v>9.8596881422877078E-2</v>
      </c>
      <c r="AI43" s="3">
        <f t="shared" ca="1" si="55"/>
        <v>0.10778900967914032</v>
      </c>
      <c r="AJ43" s="3">
        <f t="shared" ca="1" si="55"/>
        <v>0.16455889479748143</v>
      </c>
    </row>
    <row r="44" spans="1:36" x14ac:dyDescent="0.35">
      <c r="A44" t="s">
        <v>63</v>
      </c>
      <c r="B44" t="s">
        <v>62</v>
      </c>
      <c r="C44" s="4">
        <v>1</v>
      </c>
      <c r="D44" s="3">
        <f t="shared" ref="D44:AJ44" ca="1" si="56">MIN(0.99,D25+$D$3)</f>
        <v>2.9137059098475636E-3</v>
      </c>
      <c r="E44" s="3">
        <f t="shared" ca="1" si="56"/>
        <v>3.0148911074279697E-3</v>
      </c>
      <c r="F44" s="3">
        <f t="shared" ca="1" si="56"/>
        <v>5.1944444701848037E-3</v>
      </c>
      <c r="G44" s="3">
        <f t="shared" ca="1" si="56"/>
        <v>5.5160497555812983E-3</v>
      </c>
      <c r="H44" s="3">
        <f t="shared" ca="1" si="56"/>
        <v>6.6186018181096642E-3</v>
      </c>
      <c r="I44" s="3">
        <f t="shared" ca="1" si="56"/>
        <v>7.5609437641072546E-3</v>
      </c>
      <c r="J44" s="3">
        <f t="shared" ca="1" si="56"/>
        <v>8.6141388341514774E-3</v>
      </c>
      <c r="K44" s="3">
        <f t="shared" ca="1" si="56"/>
        <v>9.2905718187345949E-3</v>
      </c>
      <c r="L44" s="3">
        <f t="shared" ca="1" si="56"/>
        <v>1.1082434204609075E-2</v>
      </c>
      <c r="M44" s="3">
        <f t="shared" ca="1" si="56"/>
        <v>1.0058248239438138E-2</v>
      </c>
      <c r="N44" s="3">
        <f t="shared" ca="1" si="56"/>
        <v>1.4055500390365211E-2</v>
      </c>
      <c r="O44" s="3">
        <f t="shared" ca="1" si="56"/>
        <v>1.1029621394540601E-2</v>
      </c>
      <c r="P44" s="3">
        <f t="shared" ca="1" si="56"/>
        <v>1.5997233402660925E-2</v>
      </c>
      <c r="Q44" s="3">
        <f t="shared" ca="1" si="56"/>
        <v>1.408363491580189E-2</v>
      </c>
      <c r="R44" s="3">
        <f t="shared" ca="1" si="56"/>
        <v>1.8064857934216607E-2</v>
      </c>
      <c r="S44" s="3">
        <f t="shared" ca="1" si="56"/>
        <v>1.6896046395142934E-2</v>
      </c>
      <c r="T44" s="3">
        <f t="shared" ca="1" si="56"/>
        <v>1.8590905782288617E-2</v>
      </c>
      <c r="U44" s="3">
        <f t="shared" ca="1" si="56"/>
        <v>1.8444573540657292E-2</v>
      </c>
      <c r="V44" s="3">
        <f t="shared" ca="1" si="56"/>
        <v>2.2474417489700086E-2</v>
      </c>
      <c r="W44" s="3">
        <f t="shared" ca="1" si="56"/>
        <v>1.9911075326445333E-2</v>
      </c>
      <c r="X44" s="3">
        <f t="shared" ca="1" si="56"/>
        <v>2.901526897206964E-2</v>
      </c>
      <c r="Y44" s="3">
        <f t="shared" ca="1" si="56"/>
        <v>2.8669398032775229E-2</v>
      </c>
      <c r="Z44" s="3">
        <f t="shared" ca="1" si="56"/>
        <v>3.4211387944149449E-2</v>
      </c>
      <c r="AA44" s="3">
        <f t="shared" ca="1" si="56"/>
        <v>3.8427035773633281E-2</v>
      </c>
      <c r="AB44" s="3">
        <f t="shared" ca="1" si="56"/>
        <v>3.9009861435001375E-2</v>
      </c>
      <c r="AC44" s="3">
        <f t="shared" ca="1" si="56"/>
        <v>4.9039922733635222E-2</v>
      </c>
      <c r="AD44" s="3">
        <f t="shared" ca="1" si="56"/>
        <v>4.4584554078741331E-2</v>
      </c>
      <c r="AE44" s="3">
        <f t="shared" ca="1" si="56"/>
        <v>5.8909917212217791E-2</v>
      </c>
      <c r="AF44" s="3">
        <f t="shared" ca="1" si="56"/>
        <v>5.4385227567861544E-2</v>
      </c>
      <c r="AG44" s="3">
        <f t="shared" ca="1" si="56"/>
        <v>6.5414225348875255E-2</v>
      </c>
      <c r="AH44" s="3">
        <f t="shared" ca="1" si="56"/>
        <v>8.222340421813229E-2</v>
      </c>
      <c r="AI44" s="3">
        <f t="shared" ca="1" si="56"/>
        <v>9.1779280750684117E-2</v>
      </c>
      <c r="AJ44" s="3">
        <f t="shared" ca="1" si="56"/>
        <v>0.14843416287807257</v>
      </c>
    </row>
    <row r="45" spans="1:36" x14ac:dyDescent="0.35">
      <c r="A45" t="s">
        <v>63</v>
      </c>
      <c r="B45" t="s">
        <v>62</v>
      </c>
      <c r="C45" s="4" t="s">
        <v>64</v>
      </c>
      <c r="D45" s="3">
        <f t="shared" ref="D45:AJ45" ca="1" si="57">MIN(0.99,D26+$D$3)</f>
        <v>3.8593690850967266E-3</v>
      </c>
      <c r="E45" s="3">
        <f t="shared" ca="1" si="57"/>
        <v>3.9528744693646282E-3</v>
      </c>
      <c r="F45" s="3">
        <f t="shared" ca="1" si="57"/>
        <v>6.1364202641316402E-3</v>
      </c>
      <c r="G45" s="3">
        <f t="shared" ca="1" si="57"/>
        <v>6.4612712335849996E-3</v>
      </c>
      <c r="H45" s="3">
        <f t="shared" ca="1" si="57"/>
        <v>7.565750332690472E-3</v>
      </c>
      <c r="I45" s="3">
        <f t="shared" ca="1" si="57"/>
        <v>8.483703257362217E-3</v>
      </c>
      <c r="J45" s="3">
        <f t="shared" ca="1" si="57"/>
        <v>9.5304275547686765E-3</v>
      </c>
      <c r="K45" s="3">
        <f t="shared" ca="1" si="57"/>
        <v>1.0225009212933511E-2</v>
      </c>
      <c r="L45" s="3">
        <f t="shared" ca="1" si="57"/>
        <v>1.2032238065345108E-2</v>
      </c>
      <c r="M45" s="3">
        <f t="shared" ca="1" si="57"/>
        <v>1.1015141840230752E-2</v>
      </c>
      <c r="N45" s="3">
        <f t="shared" ca="1" si="57"/>
        <v>1.50055048036088E-2</v>
      </c>
      <c r="O45" s="3">
        <f t="shared" ca="1" si="57"/>
        <v>1.1976087755544772E-2</v>
      </c>
      <c r="P45" s="3">
        <f t="shared" ca="1" si="57"/>
        <v>1.6973100783297741E-2</v>
      </c>
      <c r="Q45" s="3">
        <f t="shared" ca="1" si="57"/>
        <v>1.5035628708584225E-2</v>
      </c>
      <c r="R45" s="3">
        <f t="shared" ca="1" si="57"/>
        <v>1.900871882484512E-2</v>
      </c>
      <c r="S45" s="3">
        <f t="shared" ca="1" si="57"/>
        <v>1.7833246135756951E-2</v>
      </c>
      <c r="T45" s="3">
        <f t="shared" ca="1" si="57"/>
        <v>1.9517323755621867E-2</v>
      </c>
      <c r="U45" s="3">
        <f t="shared" ca="1" si="57"/>
        <v>1.9358018967929748E-2</v>
      </c>
      <c r="V45" s="3">
        <f t="shared" ca="1" si="57"/>
        <v>2.3413827681672363E-2</v>
      </c>
      <c r="W45" s="3">
        <f t="shared" ca="1" si="57"/>
        <v>2.0848944283317343E-2</v>
      </c>
      <c r="X45" s="3">
        <f t="shared" ca="1" si="57"/>
        <v>2.9945560605902387E-2</v>
      </c>
      <c r="Y45" s="3">
        <f t="shared" ca="1" si="57"/>
        <v>2.9655488296011931E-2</v>
      </c>
      <c r="Z45" s="3">
        <f t="shared" ca="1" si="57"/>
        <v>3.5180368336985672E-2</v>
      </c>
      <c r="AA45" s="3">
        <f t="shared" ca="1" si="57"/>
        <v>3.9412512025703318E-2</v>
      </c>
      <c r="AB45" s="3">
        <f t="shared" ca="1" si="57"/>
        <v>3.9934171179409186E-2</v>
      </c>
      <c r="AC45" s="3">
        <f t="shared" ca="1" si="57"/>
        <v>5.000922492904665E-2</v>
      </c>
      <c r="AD45" s="3">
        <f t="shared" ca="1" si="57"/>
        <v>4.5564747644908393E-2</v>
      </c>
      <c r="AE45" s="3">
        <f t="shared" ca="1" si="57"/>
        <v>5.9821463079713602E-2</v>
      </c>
      <c r="AF45" s="3">
        <f t="shared" ca="1" si="57"/>
        <v>5.5341394106224885E-2</v>
      </c>
      <c r="AG45" s="3">
        <f t="shared" ca="1" si="57"/>
        <v>6.6406165541363901E-2</v>
      </c>
      <c r="AH45" s="3">
        <f t="shared" ca="1" si="57"/>
        <v>8.3201152557807231E-2</v>
      </c>
      <c r="AI45" s="3">
        <f t="shared" ca="1" si="57"/>
        <v>9.2773627881814813E-2</v>
      </c>
      <c r="AJ45" s="3">
        <f t="shared" ca="1" si="57"/>
        <v>0.14940802984172169</v>
      </c>
    </row>
    <row r="46" spans="1:36" x14ac:dyDescent="0.35">
      <c r="A46" t="s">
        <v>63</v>
      </c>
      <c r="B46" t="s">
        <v>62</v>
      </c>
      <c r="C46" s="4">
        <v>2</v>
      </c>
      <c r="D46" s="3">
        <f t="shared" ref="D46:AJ46" ca="1" si="58">MIN(0.99,D27+$D$3)</f>
        <v>4.8082300565452582E-3</v>
      </c>
      <c r="E46" s="3">
        <f t="shared" ca="1" si="58"/>
        <v>4.9107712312871886E-3</v>
      </c>
      <c r="F46" s="3">
        <f t="shared" ca="1" si="58"/>
        <v>7.1342144682510046E-3</v>
      </c>
      <c r="G46" s="3">
        <f t="shared" ca="1" si="58"/>
        <v>7.4499862169351561E-3</v>
      </c>
      <c r="H46" s="3">
        <f t="shared" ca="1" si="58"/>
        <v>8.4850166848050006E-3</v>
      </c>
      <c r="I46" s="3">
        <f t="shared" ca="1" si="58"/>
        <v>9.4063624888340719E-3</v>
      </c>
      <c r="J46" s="3">
        <f t="shared" ca="1" si="58"/>
        <v>1.0476134905554334E-2</v>
      </c>
      <c r="K46" s="3">
        <f t="shared" ca="1" si="58"/>
        <v>1.1128929243782337E-2</v>
      </c>
      <c r="L46" s="3">
        <f t="shared" ca="1" si="58"/>
        <v>1.2966265956155593E-2</v>
      </c>
      <c r="M46" s="3">
        <f t="shared" ca="1" si="58"/>
        <v>1.1917253851371493E-2</v>
      </c>
      <c r="N46" s="3">
        <f t="shared" ca="1" si="58"/>
        <v>1.5958403473875917E-2</v>
      </c>
      <c r="O46" s="3">
        <f t="shared" ca="1" si="58"/>
        <v>1.2891319465371896E-2</v>
      </c>
      <c r="P46" s="3">
        <f t="shared" ca="1" si="58"/>
        <v>1.7922422200451937E-2</v>
      </c>
      <c r="Q46" s="3">
        <f t="shared" ca="1" si="58"/>
        <v>1.6020248104859705E-2</v>
      </c>
      <c r="R46" s="3">
        <f t="shared" ca="1" si="58"/>
        <v>1.9974093514756167E-2</v>
      </c>
      <c r="S46" s="3">
        <f t="shared" ca="1" si="58"/>
        <v>1.8733364832246063E-2</v>
      </c>
      <c r="T46" s="3">
        <f t="shared" ca="1" si="58"/>
        <v>2.049126730202799E-2</v>
      </c>
      <c r="U46" s="3">
        <f t="shared" ca="1" si="58"/>
        <v>2.0342966228622725E-2</v>
      </c>
      <c r="V46" s="3">
        <f t="shared" ca="1" si="58"/>
        <v>2.4363804915033725E-2</v>
      </c>
      <c r="W46" s="3">
        <f t="shared" ca="1" si="58"/>
        <v>2.1768143392335234E-2</v>
      </c>
      <c r="X46" s="3">
        <f t="shared" ca="1" si="58"/>
        <v>3.0862942597823399E-2</v>
      </c>
      <c r="Y46" s="3">
        <f t="shared" ca="1" si="58"/>
        <v>3.0640897707001218E-2</v>
      </c>
      <c r="Z46" s="3">
        <f t="shared" ca="1" si="58"/>
        <v>3.6098541840124926E-2</v>
      </c>
      <c r="AA46" s="3">
        <f t="shared" ca="1" si="58"/>
        <v>4.033294803968019E-2</v>
      </c>
      <c r="AB46" s="3">
        <f t="shared" ca="1" si="58"/>
        <v>4.0855796795334992E-2</v>
      </c>
      <c r="AC46" s="3">
        <f t="shared" ca="1" si="58"/>
        <v>5.0990470493755997E-2</v>
      </c>
      <c r="AD46" s="3">
        <f t="shared" ca="1" si="58"/>
        <v>4.6478437603692579E-2</v>
      </c>
      <c r="AE46" s="3">
        <f t="shared" ca="1" si="58"/>
        <v>6.0747914709393558E-2</v>
      </c>
      <c r="AF46" s="3">
        <f t="shared" ca="1" si="58"/>
        <v>5.6245937024817262E-2</v>
      </c>
      <c r="AG46" s="3">
        <f t="shared" ca="1" si="58"/>
        <v>6.7340071320366998E-2</v>
      </c>
      <c r="AH46" s="3">
        <f t="shared" ca="1" si="58"/>
        <v>8.4192203928552478E-2</v>
      </c>
      <c r="AI46" s="3">
        <f t="shared" ca="1" si="58"/>
        <v>9.3746344194603093E-2</v>
      </c>
      <c r="AJ46" s="3">
        <f t="shared" ca="1" si="58"/>
        <v>0.15036323266674981</v>
      </c>
    </row>
    <row r="47" spans="1:36" x14ac:dyDescent="0.35">
      <c r="A47" t="s">
        <v>63</v>
      </c>
      <c r="B47" t="s">
        <v>62</v>
      </c>
      <c r="C47" s="4" t="s">
        <v>65</v>
      </c>
      <c r="D47" s="3">
        <f t="shared" ref="D47:AJ47" ca="1" si="59">MIN(0.99,D28+$D$3)</f>
        <v>5.708986657541615E-3</v>
      </c>
      <c r="E47" s="3">
        <f t="shared" ca="1" si="59"/>
        <v>5.8713560195413081E-3</v>
      </c>
      <c r="F47" s="3">
        <f t="shared" ca="1" si="59"/>
        <v>8.0477605989534608E-3</v>
      </c>
      <c r="G47" s="3">
        <f t="shared" ca="1" si="59"/>
        <v>8.3692124566044773E-3</v>
      </c>
      <c r="H47" s="3">
        <f t="shared" ca="1" si="59"/>
        <v>9.4315963014003044E-3</v>
      </c>
      <c r="I47" s="3">
        <f t="shared" ca="1" si="59"/>
        <v>1.0371000592803888E-2</v>
      </c>
      <c r="J47" s="3">
        <f t="shared" ca="1" si="59"/>
        <v>1.1445780297351715E-2</v>
      </c>
      <c r="K47" s="3">
        <f t="shared" ca="1" si="59"/>
        <v>1.2077174559546055E-2</v>
      </c>
      <c r="L47" s="3">
        <f t="shared" ca="1" si="59"/>
        <v>1.3964749312014722E-2</v>
      </c>
      <c r="M47" s="3">
        <f t="shared" ca="1" si="59"/>
        <v>1.2850757813487362E-2</v>
      </c>
      <c r="N47" s="3">
        <f t="shared" ca="1" si="59"/>
        <v>1.6891106708963623E-2</v>
      </c>
      <c r="O47" s="3">
        <f t="shared" ca="1" si="59"/>
        <v>1.3855706623828581E-2</v>
      </c>
      <c r="P47" s="3">
        <f t="shared" ca="1" si="59"/>
        <v>1.8887270668877271E-2</v>
      </c>
      <c r="Q47" s="3">
        <f t="shared" ca="1" si="59"/>
        <v>1.6922992518657164E-2</v>
      </c>
      <c r="R47" s="3">
        <f t="shared" ca="1" si="59"/>
        <v>2.0914876549807913E-2</v>
      </c>
      <c r="S47" s="3">
        <f t="shared" ca="1" si="59"/>
        <v>1.9696774126957761E-2</v>
      </c>
      <c r="T47" s="3">
        <f t="shared" ca="1" si="59"/>
        <v>2.1432137864852922E-2</v>
      </c>
      <c r="U47" s="3">
        <f t="shared" ca="1" si="59"/>
        <v>2.1251906500653433E-2</v>
      </c>
      <c r="V47" s="3">
        <f t="shared" ca="1" si="59"/>
        <v>2.5288681499768557E-2</v>
      </c>
      <c r="W47" s="3">
        <f t="shared" ca="1" si="59"/>
        <v>2.2698751350014316E-2</v>
      </c>
      <c r="X47" s="3">
        <f t="shared" ca="1" si="59"/>
        <v>3.1842200822334923E-2</v>
      </c>
      <c r="Y47" s="3">
        <f t="shared" ca="1" si="59"/>
        <v>3.1551705687135854E-2</v>
      </c>
      <c r="Z47" s="3">
        <f t="shared" ca="1" si="59"/>
        <v>3.7093954394955601E-2</v>
      </c>
      <c r="AA47" s="3">
        <f t="shared" ca="1" si="59"/>
        <v>4.1332863582856448E-2</v>
      </c>
      <c r="AB47" s="3">
        <f t="shared" ca="1" si="59"/>
        <v>4.1849713178535745E-2</v>
      </c>
      <c r="AC47" s="3">
        <f t="shared" ca="1" si="59"/>
        <v>5.1912339198120147E-2</v>
      </c>
      <c r="AD47" s="3">
        <f t="shared" ca="1" si="59"/>
        <v>4.7421518522173842E-2</v>
      </c>
      <c r="AE47" s="3">
        <f t="shared" ca="1" si="59"/>
        <v>6.1741929561125418E-2</v>
      </c>
      <c r="AF47" s="3">
        <f t="shared" ca="1" si="59"/>
        <v>5.723431777973681E-2</v>
      </c>
      <c r="AG47" s="3">
        <f t="shared" ca="1" si="59"/>
        <v>6.8288493445900073E-2</v>
      </c>
      <c r="AH47" s="3">
        <f t="shared" ca="1" si="59"/>
        <v>8.5119455923485923E-2</v>
      </c>
      <c r="AI47" s="3">
        <f t="shared" ca="1" si="59"/>
        <v>9.4672113028047622E-2</v>
      </c>
      <c r="AJ47" s="3">
        <f t="shared" ca="1" si="59"/>
        <v>0.15134132105259659</v>
      </c>
    </row>
    <row r="48" spans="1:36" x14ac:dyDescent="0.35">
      <c r="A48" t="s">
        <v>63</v>
      </c>
      <c r="B48" t="s">
        <v>62</v>
      </c>
      <c r="C48" s="4" t="s">
        <v>66</v>
      </c>
      <c r="D48" s="3">
        <f t="shared" ref="D48:AJ48" ca="1" si="60">MIN(0.99,D29+$D$3)</f>
        <v>6.6327364919427576E-3</v>
      </c>
      <c r="E48" s="3">
        <f t="shared" ca="1" si="60"/>
        <v>6.8105397571632332E-3</v>
      </c>
      <c r="F48" s="3">
        <f t="shared" ca="1" si="60"/>
        <v>8.9966414393711086E-3</v>
      </c>
      <c r="G48" s="3">
        <f t="shared" ca="1" si="60"/>
        <v>9.349656612801141E-3</v>
      </c>
      <c r="H48" s="3">
        <f t="shared" ca="1" si="60"/>
        <v>1.0333291726969788E-2</v>
      </c>
      <c r="I48" s="3">
        <f t="shared" ca="1" si="60"/>
        <v>1.1352580376840126E-2</v>
      </c>
      <c r="J48" s="3">
        <f t="shared" ca="1" si="60"/>
        <v>1.2445257628025799E-2</v>
      </c>
      <c r="K48" s="3">
        <f t="shared" ca="1" si="60"/>
        <v>1.3064841418840359E-2</v>
      </c>
      <c r="L48" s="3">
        <f t="shared" ca="1" si="60"/>
        <v>1.489789393576248E-2</v>
      </c>
      <c r="M48" s="3">
        <f t="shared" ca="1" si="60"/>
        <v>1.3838331764831124E-2</v>
      </c>
      <c r="N48" s="3">
        <f t="shared" ca="1" si="60"/>
        <v>1.7841137233188233E-2</v>
      </c>
      <c r="O48" s="3">
        <f t="shared" ca="1" si="60"/>
        <v>1.4840562383286654E-2</v>
      </c>
      <c r="P48" s="3">
        <f t="shared" ca="1" si="60"/>
        <v>1.9863978985097681E-2</v>
      </c>
      <c r="Q48" s="3">
        <f t="shared" ca="1" si="60"/>
        <v>1.7833220359931009E-2</v>
      </c>
      <c r="R48" s="3">
        <f t="shared" ca="1" si="60"/>
        <v>2.1913690909378006E-2</v>
      </c>
      <c r="S48" s="3">
        <f t="shared" ca="1" si="60"/>
        <v>2.0678987199078347E-2</v>
      </c>
      <c r="T48" s="3">
        <f t="shared" ca="1" si="60"/>
        <v>2.2384162633159885E-2</v>
      </c>
      <c r="U48" s="3">
        <f t="shared" ca="1" si="60"/>
        <v>2.2174715616295609E-2</v>
      </c>
      <c r="V48" s="3">
        <f t="shared" ca="1" si="60"/>
        <v>2.6236651412355927E-2</v>
      </c>
      <c r="W48" s="3">
        <f t="shared" ca="1" si="60"/>
        <v>2.3612092817120713E-2</v>
      </c>
      <c r="X48" s="3">
        <f t="shared" ca="1" si="60"/>
        <v>3.279935023813392E-2</v>
      </c>
      <c r="Y48" s="3">
        <f t="shared" ca="1" si="60"/>
        <v>3.2492017354123964E-2</v>
      </c>
      <c r="Z48" s="3">
        <f t="shared" ca="1" si="60"/>
        <v>3.8061901596005442E-2</v>
      </c>
      <c r="AA48" s="3">
        <f t="shared" ca="1" si="60"/>
        <v>4.2290823616776045E-2</v>
      </c>
      <c r="AB48" s="3">
        <f t="shared" ca="1" si="60"/>
        <v>4.2797018963729325E-2</v>
      </c>
      <c r="AC48" s="3">
        <f t="shared" ca="1" si="60"/>
        <v>5.2870820272367558E-2</v>
      </c>
      <c r="AD48" s="3">
        <f t="shared" ca="1" si="60"/>
        <v>4.8406851262124004E-2</v>
      </c>
      <c r="AE48" s="3">
        <f t="shared" ca="1" si="60"/>
        <v>6.2649428229579668E-2</v>
      </c>
      <c r="AF48" s="3">
        <f t="shared" ca="1" si="60"/>
        <v>5.8144691183232691E-2</v>
      </c>
      <c r="AG48" s="3">
        <f t="shared" ca="1" si="60"/>
        <v>6.9286691592781197E-2</v>
      </c>
      <c r="AH48" s="3">
        <f t="shared" ca="1" si="60"/>
        <v>8.6097941283547613E-2</v>
      </c>
      <c r="AI48" s="3">
        <f t="shared" ca="1" si="60"/>
        <v>9.5581756995568423E-2</v>
      </c>
      <c r="AJ48" s="3">
        <f t="shared" ca="1" si="60"/>
        <v>0.15233633138748026</v>
      </c>
    </row>
    <row r="49" spans="1:36" x14ac:dyDescent="0.35">
      <c r="A49" t="s">
        <v>63</v>
      </c>
      <c r="B49" t="s">
        <v>62</v>
      </c>
      <c r="C49" s="4">
        <v>3</v>
      </c>
      <c r="D49" s="3">
        <f t="shared" ref="D49:AJ49" ca="1" si="61">MIN(0.99,D30+$D$3)</f>
        <v>7.5354188998003318E-3</v>
      </c>
      <c r="E49" s="3">
        <f t="shared" ca="1" si="61"/>
        <v>7.7568472174221375E-3</v>
      </c>
      <c r="F49" s="3">
        <f t="shared" ca="1" si="61"/>
        <v>9.902193381780694E-3</v>
      </c>
      <c r="G49" s="3">
        <f t="shared" ca="1" si="61"/>
        <v>1.0319356617259315E-2</v>
      </c>
      <c r="H49" s="3">
        <f t="shared" ca="1" si="61"/>
        <v>1.1324404908782372E-2</v>
      </c>
      <c r="I49" s="3">
        <f t="shared" ca="1" si="61"/>
        <v>1.2321189068105722E-2</v>
      </c>
      <c r="J49" s="3">
        <f t="shared" ca="1" si="61"/>
        <v>1.3366055130992722E-2</v>
      </c>
      <c r="K49" s="3">
        <f t="shared" ca="1" si="61"/>
        <v>1.4054291289198665E-2</v>
      </c>
      <c r="L49" s="3">
        <f t="shared" ca="1" si="61"/>
        <v>1.5841578856936558E-2</v>
      </c>
      <c r="M49" s="3">
        <f t="shared" ca="1" si="61"/>
        <v>1.4799616003714388E-2</v>
      </c>
      <c r="N49" s="3">
        <f t="shared" ca="1" si="61"/>
        <v>1.8774661628305375E-2</v>
      </c>
      <c r="O49" s="3">
        <f t="shared" ca="1" si="61"/>
        <v>1.5819145554687844E-2</v>
      </c>
      <c r="P49" s="3">
        <f t="shared" ca="1" si="61"/>
        <v>2.0772022416589448E-2</v>
      </c>
      <c r="Q49" s="3">
        <f t="shared" ca="1" si="61"/>
        <v>1.8816667110201635E-2</v>
      </c>
      <c r="R49" s="3">
        <f t="shared" ca="1" si="61"/>
        <v>2.2900383735384597E-2</v>
      </c>
      <c r="S49" s="3">
        <f t="shared" ca="1" si="61"/>
        <v>2.1633224898428359E-2</v>
      </c>
      <c r="T49" s="3">
        <f t="shared" ca="1" si="61"/>
        <v>2.3336326323140692E-2</v>
      </c>
      <c r="U49" s="3">
        <f t="shared" ca="1" si="61"/>
        <v>2.3170541774706385E-2</v>
      </c>
      <c r="V49" s="3">
        <f t="shared" ca="1" si="61"/>
        <v>2.7162682533392796E-2</v>
      </c>
      <c r="W49" s="3">
        <f t="shared" ca="1" si="61"/>
        <v>2.4576200663516377E-2</v>
      </c>
      <c r="X49" s="3">
        <f t="shared" ca="1" si="61"/>
        <v>3.3748592196886008E-2</v>
      </c>
      <c r="Y49" s="3">
        <f t="shared" ca="1" si="61"/>
        <v>3.3489087370722787E-2</v>
      </c>
      <c r="Z49" s="3">
        <f t="shared" ca="1" si="61"/>
        <v>3.9045434060242648E-2</v>
      </c>
      <c r="AA49" s="3">
        <f t="shared" ca="1" si="61"/>
        <v>4.3207726995219478E-2</v>
      </c>
      <c r="AB49" s="3">
        <f t="shared" ca="1" si="61"/>
        <v>4.3753314758215853E-2</v>
      </c>
      <c r="AC49" s="3">
        <f t="shared" ca="1" si="61"/>
        <v>5.37797945759892E-2</v>
      </c>
      <c r="AD49" s="3">
        <f t="shared" ca="1" si="61"/>
        <v>4.932112972445761E-2</v>
      </c>
      <c r="AE49" s="3">
        <f t="shared" ca="1" si="61"/>
        <v>6.3554916437570913E-2</v>
      </c>
      <c r="AF49" s="3">
        <f t="shared" ca="1" si="61"/>
        <v>5.9087085794999231E-2</v>
      </c>
      <c r="AG49" s="3">
        <f t="shared" ca="1" si="61"/>
        <v>7.0264153112874123E-2</v>
      </c>
      <c r="AH49" s="3">
        <f t="shared" ca="1" si="61"/>
        <v>8.7096837151539111E-2</v>
      </c>
      <c r="AI49" s="3">
        <f t="shared" ca="1" si="61"/>
        <v>9.6503659307368025E-2</v>
      </c>
      <c r="AJ49" s="3">
        <f t="shared" ca="1" si="61"/>
        <v>0.15331590924834729</v>
      </c>
    </row>
    <row r="50" spans="1:36" x14ac:dyDescent="0.35">
      <c r="A50" t="s">
        <v>63</v>
      </c>
      <c r="B50" t="s">
        <v>62</v>
      </c>
      <c r="C50" s="4" t="s">
        <v>67</v>
      </c>
      <c r="D50" s="3">
        <f t="shared" ref="D50:AJ50" ca="1" si="62">MIN(0.99,D31+$D$3)</f>
        <v>8.5106229808475375E-3</v>
      </c>
      <c r="E50" s="3">
        <f t="shared" ca="1" si="62"/>
        <v>8.7057993623293507E-3</v>
      </c>
      <c r="F50" s="3">
        <f t="shared" ca="1" si="62"/>
        <v>1.085412417621813E-2</v>
      </c>
      <c r="G50" s="3">
        <f t="shared" ca="1" si="62"/>
        <v>1.126782714432005E-2</v>
      </c>
      <c r="H50" s="3">
        <f t="shared" ca="1" si="62"/>
        <v>1.2241966778974666E-2</v>
      </c>
      <c r="I50" s="3">
        <f t="shared" ca="1" si="62"/>
        <v>1.3260629029326926E-2</v>
      </c>
      <c r="J50" s="3">
        <f t="shared" ca="1" si="62"/>
        <v>1.4359835827577886E-2</v>
      </c>
      <c r="K50" s="3">
        <f t="shared" ca="1" si="62"/>
        <v>1.5008935136804201E-2</v>
      </c>
      <c r="L50" s="3">
        <f t="shared" ca="1" si="62"/>
        <v>1.6822250648340458E-2</v>
      </c>
      <c r="M50" s="3">
        <f t="shared" ca="1" si="62"/>
        <v>1.5762819786083591E-2</v>
      </c>
      <c r="N50" s="3">
        <f t="shared" ca="1" si="62"/>
        <v>1.9732495759774822E-2</v>
      </c>
      <c r="O50" s="3">
        <f t="shared" ca="1" si="62"/>
        <v>1.6803701985589538E-2</v>
      </c>
      <c r="P50" s="3">
        <f t="shared" ca="1" si="62"/>
        <v>2.1704116811724666E-2</v>
      </c>
      <c r="Q50" s="3">
        <f t="shared" ca="1" si="62"/>
        <v>1.9741243084011303E-2</v>
      </c>
      <c r="R50" s="3">
        <f t="shared" ca="1" si="62"/>
        <v>2.3830146296141164E-2</v>
      </c>
      <c r="S50" s="3">
        <f t="shared" ca="1" si="62"/>
        <v>2.2604001596953589E-2</v>
      </c>
      <c r="T50" s="3">
        <f t="shared" ca="1" si="62"/>
        <v>2.4260814987765406E-2</v>
      </c>
      <c r="U50" s="3">
        <f t="shared" ca="1" si="62"/>
        <v>2.4089939795012536E-2</v>
      </c>
      <c r="V50" s="3">
        <f t="shared" ca="1" si="62"/>
        <v>2.8078668308939393E-2</v>
      </c>
      <c r="W50" s="3">
        <f t="shared" ca="1" si="62"/>
        <v>2.5513808931606565E-2</v>
      </c>
      <c r="X50" s="3">
        <f t="shared" ca="1" si="62"/>
        <v>3.468283827069682E-2</v>
      </c>
      <c r="Y50" s="3">
        <f t="shared" ca="1" si="62"/>
        <v>3.4435207387835148E-2</v>
      </c>
      <c r="Z50" s="3">
        <f t="shared" ca="1" si="62"/>
        <v>3.9962198162292593E-2</v>
      </c>
      <c r="AA50" s="3">
        <f t="shared" ca="1" si="62"/>
        <v>4.4202441290445586E-2</v>
      </c>
      <c r="AB50" s="3">
        <f t="shared" ca="1" si="62"/>
        <v>4.4671610864655424E-2</v>
      </c>
      <c r="AC50" s="3">
        <f t="shared" ca="1" si="62"/>
        <v>5.4734017177726871E-2</v>
      </c>
      <c r="AD50" s="3">
        <f t="shared" ca="1" si="62"/>
        <v>5.0228043341401338E-2</v>
      </c>
      <c r="AE50" s="3">
        <f t="shared" ca="1" si="62"/>
        <v>6.4549592362791466E-2</v>
      </c>
      <c r="AF50" s="3">
        <f t="shared" ca="1" si="62"/>
        <v>6.00492944478936E-2</v>
      </c>
      <c r="AG50" s="3">
        <f t="shared" ca="1" si="62"/>
        <v>7.1165781092361199E-2</v>
      </c>
      <c r="AH50" s="3">
        <f t="shared" ca="1" si="62"/>
        <v>8.8083627789772453E-2</v>
      </c>
      <c r="AI50" s="3">
        <f t="shared" ca="1" si="62"/>
        <v>9.7429377824475347E-2</v>
      </c>
      <c r="AJ50" s="3">
        <f t="shared" ca="1" si="62"/>
        <v>0.15427502747557742</v>
      </c>
    </row>
    <row r="51" spans="1:36" x14ac:dyDescent="0.35">
      <c r="A51" t="s">
        <v>63</v>
      </c>
      <c r="B51" t="s">
        <v>62</v>
      </c>
      <c r="C51" s="4" t="s">
        <v>68</v>
      </c>
      <c r="D51" s="3">
        <f t="shared" ref="D51:AJ51" ca="1" si="63">MIN(0.99,D32+$D$3)</f>
        <v>9.4220162520994889E-3</v>
      </c>
      <c r="E51" s="3">
        <f t="shared" ca="1" si="63"/>
        <v>9.6497875937765279E-3</v>
      </c>
      <c r="F51" s="3">
        <f t="shared" ca="1" si="63"/>
        <v>1.1849350303095446E-2</v>
      </c>
      <c r="G51" s="3">
        <f t="shared" ca="1" si="63"/>
        <v>1.2214582663345092E-2</v>
      </c>
      <c r="H51" s="3">
        <f t="shared" ca="1" si="63"/>
        <v>1.3169522384931787E-2</v>
      </c>
      <c r="I51" s="3">
        <f t="shared" ca="1" si="63"/>
        <v>1.424994921968837E-2</v>
      </c>
      <c r="J51" s="3">
        <f t="shared" ca="1" si="63"/>
        <v>1.5315778297119949E-2</v>
      </c>
      <c r="K51" s="3">
        <f t="shared" ca="1" si="63"/>
        <v>1.5955267408858335E-2</v>
      </c>
      <c r="L51" s="3">
        <f t="shared" ca="1" si="63"/>
        <v>1.7761893085030459E-2</v>
      </c>
      <c r="M51" s="3">
        <f t="shared" ca="1" si="63"/>
        <v>1.6739408119132198E-2</v>
      </c>
      <c r="N51" s="3">
        <f t="shared" ca="1" si="63"/>
        <v>2.0638827815214759E-2</v>
      </c>
      <c r="O51" s="3">
        <f t="shared" ca="1" si="63"/>
        <v>1.7803672328245854E-2</v>
      </c>
      <c r="P51" s="3">
        <f t="shared" ca="1" si="63"/>
        <v>2.2688162760386654E-2</v>
      </c>
      <c r="Q51" s="3">
        <f t="shared" ca="1" si="63"/>
        <v>2.0669036729938303E-2</v>
      </c>
      <c r="R51" s="3">
        <f t="shared" ca="1" si="63"/>
        <v>2.4739692308070993E-2</v>
      </c>
      <c r="S51" s="3">
        <f t="shared" ca="1" si="63"/>
        <v>2.3506900017459236E-2</v>
      </c>
      <c r="T51" s="3">
        <f t="shared" ca="1" si="63"/>
        <v>2.5182358962920925E-2</v>
      </c>
      <c r="U51" s="3">
        <f t="shared" ca="1" si="63"/>
        <v>2.5052843780424463E-2</v>
      </c>
      <c r="V51" s="3">
        <f t="shared" ca="1" si="63"/>
        <v>2.9029186935479307E-2</v>
      </c>
      <c r="W51" s="3">
        <f t="shared" ca="1" si="63"/>
        <v>2.6484583950980651E-2</v>
      </c>
      <c r="X51" s="3">
        <f t="shared" ca="1" si="63"/>
        <v>3.5671693500971553E-2</v>
      </c>
      <c r="Y51" s="3">
        <f t="shared" ca="1" si="63"/>
        <v>3.5351374772753859E-2</v>
      </c>
      <c r="Z51" s="3">
        <f t="shared" ca="1" si="63"/>
        <v>4.0875780244345308E-2</v>
      </c>
      <c r="AA51" s="3">
        <f t="shared" ca="1" si="63"/>
        <v>4.5111885582276821E-2</v>
      </c>
      <c r="AB51" s="3">
        <f t="shared" ca="1" si="63"/>
        <v>4.5665847360598782E-2</v>
      </c>
      <c r="AC51" s="3">
        <f t="shared" ca="1" si="63"/>
        <v>5.5670777012293893E-2</v>
      </c>
      <c r="AD51" s="3">
        <f t="shared" ca="1" si="63"/>
        <v>5.1138271997898326E-2</v>
      </c>
      <c r="AE51" s="3">
        <f t="shared" ca="1" si="63"/>
        <v>6.545337165472398E-2</v>
      </c>
      <c r="AF51" s="3">
        <f t="shared" ca="1" si="63"/>
        <v>6.0951037429639122E-2</v>
      </c>
      <c r="AG51" s="3">
        <f t="shared" ca="1" si="63"/>
        <v>7.2135608880384255E-2</v>
      </c>
      <c r="AH51" s="3">
        <f t="shared" ca="1" si="63"/>
        <v>8.9035142121971111E-2</v>
      </c>
      <c r="AI51" s="3">
        <f t="shared" ca="1" si="63"/>
        <v>9.8356404999011479E-2</v>
      </c>
      <c r="AJ51" s="3">
        <f t="shared" ca="1" si="63"/>
        <v>0.15520785585581995</v>
      </c>
    </row>
    <row r="52" spans="1:36" x14ac:dyDescent="0.35">
      <c r="A52" t="s">
        <v>63</v>
      </c>
      <c r="B52" t="s">
        <v>62</v>
      </c>
      <c r="C52" s="4">
        <v>4</v>
      </c>
      <c r="D52" s="3">
        <f t="shared" ref="D52:AJ52" ca="1" si="64">MIN(0.99,D33+$D$3)</f>
        <v>1.035369752274818E-2</v>
      </c>
      <c r="E52" s="3">
        <f t="shared" ca="1" si="64"/>
        <v>1.0621827350310285E-2</v>
      </c>
      <c r="F52" s="3">
        <f t="shared" ca="1" si="64"/>
        <v>1.2845392329472138E-2</v>
      </c>
      <c r="G52" s="3">
        <f t="shared" ca="1" si="64"/>
        <v>1.3139383439687641E-2</v>
      </c>
      <c r="H52" s="3">
        <f t="shared" ca="1" si="64"/>
        <v>1.4075058875749578E-2</v>
      </c>
      <c r="I52" s="3">
        <f t="shared" ca="1" si="64"/>
        <v>1.516667055755605E-2</v>
      </c>
      <c r="J52" s="3">
        <f t="shared" ca="1" si="64"/>
        <v>1.6245464210301749E-2</v>
      </c>
      <c r="K52" s="3">
        <f t="shared" ca="1" si="64"/>
        <v>1.6879871362227676E-2</v>
      </c>
      <c r="L52" s="3">
        <f t="shared" ca="1" si="64"/>
        <v>1.8755308482763994E-2</v>
      </c>
      <c r="M52" s="3">
        <f t="shared" ca="1" si="64"/>
        <v>1.7711046939209645E-2</v>
      </c>
      <c r="N52" s="3">
        <f t="shared" ca="1" si="64"/>
        <v>2.1589041605893235E-2</v>
      </c>
      <c r="O52" s="3">
        <f t="shared" ca="1" si="64"/>
        <v>1.8710756430602257E-2</v>
      </c>
      <c r="P52" s="3">
        <f t="shared" ca="1" si="64"/>
        <v>2.3592371834465945E-2</v>
      </c>
      <c r="Q52" s="3">
        <f t="shared" ca="1" si="64"/>
        <v>2.1667368477124894E-2</v>
      </c>
      <c r="R52" s="3">
        <f t="shared" ca="1" si="64"/>
        <v>2.569249969454716E-2</v>
      </c>
      <c r="S52" s="3">
        <f t="shared" ca="1" si="64"/>
        <v>2.4468895932076171E-2</v>
      </c>
      <c r="T52" s="3">
        <f t="shared" ca="1" si="64"/>
        <v>2.6180190530957683E-2</v>
      </c>
      <c r="U52" s="3">
        <f t="shared" ca="1" si="64"/>
        <v>2.602343143791137E-2</v>
      </c>
      <c r="V52" s="3">
        <f t="shared" ca="1" si="64"/>
        <v>2.9993280816635479E-2</v>
      </c>
      <c r="W52" s="3">
        <f t="shared" ca="1" si="64"/>
        <v>2.7392216027804509E-2</v>
      </c>
      <c r="X52" s="3">
        <f t="shared" ca="1" si="64"/>
        <v>3.6584822502365208E-2</v>
      </c>
      <c r="Y52" s="3">
        <f t="shared" ca="1" si="64"/>
        <v>3.6328585201283209E-2</v>
      </c>
      <c r="Z52" s="3">
        <f t="shared" ca="1" si="64"/>
        <v>4.1777027839560311E-2</v>
      </c>
      <c r="AA52" s="3">
        <f t="shared" ca="1" si="64"/>
        <v>4.601561867119712E-2</v>
      </c>
      <c r="AB52" s="3">
        <f t="shared" ca="1" si="64"/>
        <v>4.6648664569886152E-2</v>
      </c>
      <c r="AC52" s="3">
        <f t="shared" ca="1" si="64"/>
        <v>5.6617280978708967E-2</v>
      </c>
      <c r="AD52" s="3">
        <f t="shared" ca="1" si="64"/>
        <v>5.2127294390794665E-2</v>
      </c>
      <c r="AE52" s="3">
        <f t="shared" ca="1" si="64"/>
        <v>6.6372679032820181E-2</v>
      </c>
      <c r="AF52" s="3">
        <f t="shared" ca="1" si="64"/>
        <v>6.1872124704446911E-2</v>
      </c>
      <c r="AG52" s="3">
        <f t="shared" ca="1" si="64"/>
        <v>7.3108030631885201E-2</v>
      </c>
      <c r="AH52" s="3">
        <f t="shared" ca="1" si="64"/>
        <v>8.9966618357918249E-2</v>
      </c>
      <c r="AI52" s="3">
        <f t="shared" ca="1" si="64"/>
        <v>9.9313755789611866E-2</v>
      </c>
      <c r="AJ52" s="3">
        <f t="shared" ca="1" si="64"/>
        <v>0.15616856842828727</v>
      </c>
    </row>
    <row r="53" spans="1:36" x14ac:dyDescent="0.35">
      <c r="A53" t="s">
        <v>63</v>
      </c>
      <c r="B53" t="s">
        <v>62</v>
      </c>
      <c r="C53" s="4" t="s">
        <v>69</v>
      </c>
      <c r="D53" s="3">
        <f t="shared" ref="D53:AJ53" ca="1" si="65">MIN(0.99,D34+$D$3)</f>
        <v>1.1321794182056432E-2</v>
      </c>
      <c r="E53" s="3">
        <f t="shared" ca="1" si="65"/>
        <v>1.1617147497803106E-2</v>
      </c>
      <c r="F53" s="3">
        <f t="shared" ca="1" si="65"/>
        <v>1.3786530317218066E-2</v>
      </c>
      <c r="G53" s="3">
        <f t="shared" ca="1" si="65"/>
        <v>1.4077026484538555E-2</v>
      </c>
      <c r="H53" s="3">
        <f t="shared" ca="1" si="65"/>
        <v>1.5003056957058558E-2</v>
      </c>
      <c r="I53" s="3">
        <f t="shared" ca="1" si="65"/>
        <v>1.6111435486877275E-2</v>
      </c>
      <c r="J53" s="3">
        <f t="shared" ca="1" si="65"/>
        <v>1.7222483490849524E-2</v>
      </c>
      <c r="K53" s="3">
        <f t="shared" ca="1" si="65"/>
        <v>1.784112199580315E-2</v>
      </c>
      <c r="L53" s="3">
        <f t="shared" ca="1" si="65"/>
        <v>1.9723694744726041E-2</v>
      </c>
      <c r="M53" s="3">
        <f t="shared" ca="1" si="65"/>
        <v>1.8649290678108211E-2</v>
      </c>
      <c r="N53" s="3">
        <f t="shared" ca="1" si="65"/>
        <v>2.2515811346744061E-2</v>
      </c>
      <c r="O53" s="3">
        <f t="shared" ca="1" si="65"/>
        <v>1.9662621471962995E-2</v>
      </c>
      <c r="P53" s="3">
        <f t="shared" ca="1" si="65"/>
        <v>2.4540757391633833E-2</v>
      </c>
      <c r="Q53" s="3">
        <f t="shared" ca="1" si="65"/>
        <v>2.2657151963836969E-2</v>
      </c>
      <c r="R53" s="3">
        <f t="shared" ca="1" si="65"/>
        <v>2.6691279745688079E-2</v>
      </c>
      <c r="S53" s="3">
        <f t="shared" ca="1" si="65"/>
        <v>2.5456641665537256E-2</v>
      </c>
      <c r="T53" s="3">
        <f t="shared" ca="1" si="65"/>
        <v>2.7091798188571124E-2</v>
      </c>
      <c r="U53" s="3">
        <f t="shared" ca="1" si="65"/>
        <v>2.6932641023434609E-2</v>
      </c>
      <c r="V53" s="3">
        <f t="shared" ca="1" si="65"/>
        <v>3.0991299239981489E-2</v>
      </c>
      <c r="W53" s="3">
        <f t="shared" ca="1" si="65"/>
        <v>2.8375350655192207E-2</v>
      </c>
      <c r="X53" s="3">
        <f t="shared" ca="1" si="65"/>
        <v>3.7523825763146945E-2</v>
      </c>
      <c r="Y53" s="3">
        <f t="shared" ca="1" si="65"/>
        <v>3.7292073239655749E-2</v>
      </c>
      <c r="Z53" s="3">
        <f t="shared" ca="1" si="65"/>
        <v>4.2716902951887001E-2</v>
      </c>
      <c r="AA53" s="3">
        <f t="shared" ca="1" si="65"/>
        <v>4.6918922007563278E-2</v>
      </c>
      <c r="AB53" s="3">
        <f t="shared" ca="1" si="65"/>
        <v>4.7607484743148097E-2</v>
      </c>
      <c r="AC53" s="3">
        <f t="shared" ca="1" si="65"/>
        <v>5.7534860762902262E-2</v>
      </c>
      <c r="AD53" s="3">
        <f t="shared" ca="1" si="65"/>
        <v>5.3072834968488115E-2</v>
      </c>
      <c r="AE53" s="3">
        <f t="shared" ca="1" si="65"/>
        <v>6.7371786005469336E-2</v>
      </c>
      <c r="AF53" s="3">
        <f t="shared" ca="1" si="65"/>
        <v>6.2870166430794877E-2</v>
      </c>
      <c r="AG53" s="3">
        <f t="shared" ca="1" si="65"/>
        <v>7.4103114173284509E-2</v>
      </c>
      <c r="AH53" s="3">
        <f t="shared" ca="1" si="65"/>
        <v>9.0956323394054475E-2</v>
      </c>
      <c r="AI53" s="3">
        <f t="shared" ca="1" si="65"/>
        <v>0.1002305038990277</v>
      </c>
      <c r="AJ53" s="3">
        <f t="shared" ca="1" si="65"/>
        <v>0.15709447556301206</v>
      </c>
    </row>
    <row r="54" spans="1:36" x14ac:dyDescent="0.35">
      <c r="A54" t="s">
        <v>63</v>
      </c>
      <c r="B54" t="s">
        <v>62</v>
      </c>
      <c r="C54" s="4" t="s">
        <v>70</v>
      </c>
      <c r="D54" s="3">
        <f t="shared" ref="D54:AJ54" ca="1" si="66">MIN(0.99,D35+$D$3)</f>
        <v>1.2320062572296495E-2</v>
      </c>
      <c r="E54" s="3">
        <f t="shared" ca="1" si="66"/>
        <v>1.2538251139519192E-2</v>
      </c>
      <c r="F54" s="3">
        <f t="shared" ca="1" si="66"/>
        <v>1.4784089630028398E-2</v>
      </c>
      <c r="G54" s="3">
        <f t="shared" ca="1" si="66"/>
        <v>1.5025333612648989E-2</v>
      </c>
      <c r="H54" s="3">
        <f t="shared" ca="1" si="66"/>
        <v>1.6000467265193309E-2</v>
      </c>
      <c r="I54" s="3">
        <f t="shared" ca="1" si="66"/>
        <v>1.7097466589309607E-2</v>
      </c>
      <c r="J54" s="3">
        <f t="shared" ca="1" si="66"/>
        <v>1.8180294845313295E-2</v>
      </c>
      <c r="K54" s="3">
        <f t="shared" ca="1" si="66"/>
        <v>1.8815330208830628E-2</v>
      </c>
      <c r="L54" s="3">
        <f t="shared" ca="1" si="66"/>
        <v>2.0666312972172335E-2</v>
      </c>
      <c r="M54" s="3">
        <f t="shared" ca="1" si="66"/>
        <v>1.9603014671515939E-2</v>
      </c>
      <c r="N54" s="3">
        <f t="shared" ca="1" si="66"/>
        <v>2.3500148179481012E-2</v>
      </c>
      <c r="O54" s="3">
        <f t="shared" ca="1" si="66"/>
        <v>2.0649534327212688E-2</v>
      </c>
      <c r="P54" s="3">
        <f t="shared" ca="1" si="66"/>
        <v>2.5515078996071472E-2</v>
      </c>
      <c r="Q54" s="3">
        <f t="shared" ca="1" si="66"/>
        <v>2.3612446092076585E-2</v>
      </c>
      <c r="R54" s="3">
        <f t="shared" ca="1" si="66"/>
        <v>2.7608276079926764E-2</v>
      </c>
      <c r="S54" s="3">
        <f t="shared" ca="1" si="66"/>
        <v>2.6434890555675196E-2</v>
      </c>
      <c r="T54" s="3">
        <f t="shared" ca="1" si="66"/>
        <v>2.8081579213357719E-2</v>
      </c>
      <c r="U54" s="3">
        <f t="shared" ca="1" si="66"/>
        <v>2.7879508321764283E-2</v>
      </c>
      <c r="V54" s="3">
        <f t="shared" ca="1" si="66"/>
        <v>3.1956474773497306E-2</v>
      </c>
      <c r="W54" s="3">
        <f t="shared" ca="1" si="66"/>
        <v>2.9300556521033975E-2</v>
      </c>
      <c r="X54" s="3">
        <f t="shared" ca="1" si="66"/>
        <v>3.8449737581022089E-2</v>
      </c>
      <c r="Y54" s="3">
        <f t="shared" ca="1" si="66"/>
        <v>3.8291185344650557E-2</v>
      </c>
      <c r="Z54" s="3">
        <f t="shared" ca="1" si="66"/>
        <v>4.3703738102717903E-2</v>
      </c>
      <c r="AA54" s="3">
        <f t="shared" ca="1" si="66"/>
        <v>4.7867247365775904E-2</v>
      </c>
      <c r="AB54" s="3">
        <f t="shared" ca="1" si="66"/>
        <v>4.8522271760022287E-2</v>
      </c>
      <c r="AC54" s="3">
        <f t="shared" ca="1" si="66"/>
        <v>5.8483824815140986E-2</v>
      </c>
      <c r="AD54" s="3">
        <f t="shared" ca="1" si="66"/>
        <v>5.399359071426852E-2</v>
      </c>
      <c r="AE54" s="3">
        <f t="shared" ca="1" si="66"/>
        <v>6.8341413037694601E-2</v>
      </c>
      <c r="AF54" s="3">
        <f t="shared" ca="1" si="66"/>
        <v>6.3804626172656975E-2</v>
      </c>
      <c r="AG54" s="3">
        <f t="shared" ca="1" si="66"/>
        <v>7.5085122276809191E-2</v>
      </c>
      <c r="AH54" s="3">
        <f t="shared" ca="1" si="66"/>
        <v>9.1881262115532547E-2</v>
      </c>
      <c r="AI54" s="3">
        <f t="shared" ca="1" si="66"/>
        <v>0.10118668280160666</v>
      </c>
      <c r="AJ54" s="3">
        <f t="shared" ca="1" si="66"/>
        <v>0.15804127982700894</v>
      </c>
    </row>
    <row r="55" spans="1:36" x14ac:dyDescent="0.35">
      <c r="A55" t="s">
        <v>63</v>
      </c>
      <c r="B55" t="s">
        <v>62</v>
      </c>
      <c r="C55" s="4">
        <v>5</v>
      </c>
      <c r="D55" s="3">
        <f t="shared" ref="D55:AJ55" ca="1" si="67">MIN(0.99,D36+$D$3)</f>
        <v>1.3290481775973521E-2</v>
      </c>
      <c r="E55" s="3">
        <f t="shared" ca="1" si="67"/>
        <v>1.3479441520624622E-2</v>
      </c>
      <c r="F55" s="3">
        <f t="shared" ca="1" si="67"/>
        <v>1.574549316483281E-2</v>
      </c>
      <c r="G55" s="3">
        <f t="shared" ca="1" si="67"/>
        <v>1.5925403352093623E-2</v>
      </c>
      <c r="H55" s="3">
        <f t="shared" ca="1" si="67"/>
        <v>1.6943915025675372E-2</v>
      </c>
      <c r="I55" s="3">
        <f t="shared" ca="1" si="67"/>
        <v>1.8036207290582511E-2</v>
      </c>
      <c r="J55" s="3">
        <f t="shared" ca="1" si="67"/>
        <v>1.9168864345776707E-2</v>
      </c>
      <c r="K55" s="3">
        <f t="shared" ca="1" si="67"/>
        <v>1.9784152021837826E-2</v>
      </c>
      <c r="L55" s="3">
        <f t="shared" ca="1" si="67"/>
        <v>2.1601096057983046E-2</v>
      </c>
      <c r="M55" s="3">
        <f t="shared" ca="1" si="67"/>
        <v>2.0512547071963597E-2</v>
      </c>
      <c r="N55" s="3">
        <f t="shared" ca="1" si="67"/>
        <v>2.4472245662050449E-2</v>
      </c>
      <c r="O55" s="3">
        <f t="shared" ca="1" si="67"/>
        <v>2.1647524861742675E-2</v>
      </c>
      <c r="P55" s="3">
        <f t="shared" ca="1" si="67"/>
        <v>2.6458260082450842E-2</v>
      </c>
      <c r="Q55" s="3">
        <f t="shared" ca="1" si="67"/>
        <v>2.4559873163735473E-2</v>
      </c>
      <c r="R55" s="3">
        <f t="shared" ca="1" si="67"/>
        <v>2.8602352222499773E-2</v>
      </c>
      <c r="S55" s="3">
        <f t="shared" ca="1" si="67"/>
        <v>2.7419820099609651E-2</v>
      </c>
      <c r="T55" s="3">
        <f t="shared" ca="1" si="67"/>
        <v>2.9051564396724471E-2</v>
      </c>
      <c r="U55" s="3">
        <f t="shared" ca="1" si="67"/>
        <v>2.8835606087200424E-2</v>
      </c>
      <c r="V55" s="3">
        <f t="shared" ca="1" si="67"/>
        <v>3.2939011627139109E-2</v>
      </c>
      <c r="W55" s="3">
        <f t="shared" ca="1" si="67"/>
        <v>3.0259675682486539E-2</v>
      </c>
      <c r="X55" s="3">
        <f t="shared" ca="1" si="67"/>
        <v>3.9423814987167911E-2</v>
      </c>
      <c r="Y55" s="3">
        <f t="shared" ca="1" si="67"/>
        <v>3.9286224095366973E-2</v>
      </c>
      <c r="Z55" s="3">
        <f t="shared" ca="1" si="67"/>
        <v>4.4633414124821469E-2</v>
      </c>
      <c r="AA55" s="3">
        <f t="shared" ca="1" si="67"/>
        <v>4.8812541998760277E-2</v>
      </c>
      <c r="AB55" s="3">
        <f t="shared" ca="1" si="67"/>
        <v>4.9518606168177375E-2</v>
      </c>
      <c r="AC55" s="3">
        <f t="shared" ca="1" si="67"/>
        <v>5.9482016904741621E-2</v>
      </c>
      <c r="AD55" s="3">
        <f t="shared" ca="1" si="67"/>
        <v>5.4946838091091417E-2</v>
      </c>
      <c r="AE55" s="3">
        <f t="shared" ca="1" si="67"/>
        <v>6.9302592756005837E-2</v>
      </c>
      <c r="AF55" s="3">
        <f t="shared" ca="1" si="67"/>
        <v>6.4785414386521106E-2</v>
      </c>
      <c r="AG55" s="3">
        <f t="shared" ca="1" si="67"/>
        <v>7.6026123025395895E-2</v>
      </c>
      <c r="AH55" s="3">
        <f t="shared" ca="1" si="67"/>
        <v>9.2879390331613076E-2</v>
      </c>
      <c r="AI55" s="3">
        <f t="shared" ca="1" si="67"/>
        <v>0.10213860465451817</v>
      </c>
      <c r="AJ55" s="3">
        <f t="shared" ca="1" si="67"/>
        <v>0.15898523237737786</v>
      </c>
    </row>
    <row r="56" spans="1:36" x14ac:dyDescent="0.35">
      <c r="A56" t="s">
        <v>63</v>
      </c>
      <c r="B56" t="s">
        <v>62</v>
      </c>
      <c r="C56" s="4" t="s">
        <v>71</v>
      </c>
      <c r="D56" s="3">
        <f t="shared" ref="D56:AJ56" ca="1" si="68">MIN(0.99,D37+$D$3)</f>
        <v>1.4252315814816167E-2</v>
      </c>
      <c r="E56" s="3">
        <f t="shared" ca="1" si="68"/>
        <v>1.4437199667640094E-2</v>
      </c>
      <c r="F56" s="3">
        <f t="shared" ca="1" si="68"/>
        <v>1.6660333644560706E-2</v>
      </c>
      <c r="G56" s="3">
        <f t="shared" ca="1" si="68"/>
        <v>1.686908297622227E-2</v>
      </c>
      <c r="H56" s="3">
        <f t="shared" ca="1" si="68"/>
        <v>1.788606389926305E-2</v>
      </c>
      <c r="I56" s="3">
        <f t="shared" ca="1" si="68"/>
        <v>1.896616958657521E-2</v>
      </c>
      <c r="J56" s="3">
        <f t="shared" ca="1" si="68"/>
        <v>2.0106491918994388E-2</v>
      </c>
      <c r="K56" s="3">
        <f t="shared" ca="1" si="68"/>
        <v>2.0761875681039325E-2</v>
      </c>
      <c r="L56" s="3">
        <f t="shared" ca="1" si="68"/>
        <v>2.2592385185048126E-2</v>
      </c>
      <c r="M56" s="3">
        <f t="shared" ca="1" si="68"/>
        <v>2.1434156758302153E-2</v>
      </c>
      <c r="N56" s="3">
        <f t="shared" ca="1" si="68"/>
        <v>2.5465510718404569E-2</v>
      </c>
      <c r="O56" s="3">
        <f t="shared" ca="1" si="68"/>
        <v>2.2616318367625572E-2</v>
      </c>
      <c r="P56" s="3">
        <f t="shared" ca="1" si="68"/>
        <v>2.7366683199747728E-2</v>
      </c>
      <c r="Q56" s="3">
        <f t="shared" ca="1" si="68"/>
        <v>2.5492329944718527E-2</v>
      </c>
      <c r="R56" s="3">
        <f t="shared" ca="1" si="68"/>
        <v>2.9521281351998226E-2</v>
      </c>
      <c r="S56" s="3">
        <f t="shared" ca="1" si="68"/>
        <v>2.8372957799791154E-2</v>
      </c>
      <c r="T56" s="3">
        <f t="shared" ca="1" si="68"/>
        <v>3.0014582899917985E-2</v>
      </c>
      <c r="U56" s="3">
        <f t="shared" ca="1" si="68"/>
        <v>2.9748606684286635E-2</v>
      </c>
      <c r="V56" s="3">
        <f t="shared" ca="1" si="68"/>
        <v>3.3914908918971816E-2</v>
      </c>
      <c r="W56" s="3">
        <f t="shared" ca="1" si="68"/>
        <v>3.1194419073828052E-2</v>
      </c>
      <c r="X56" s="3">
        <f t="shared" ca="1" si="68"/>
        <v>4.0405021625515673E-2</v>
      </c>
      <c r="Y56" s="3">
        <f t="shared" ca="1" si="68"/>
        <v>4.0245743187725377E-2</v>
      </c>
      <c r="Z56" s="3">
        <f t="shared" ca="1" si="68"/>
        <v>4.5587422231627518E-2</v>
      </c>
      <c r="AA56" s="3">
        <f t="shared" ca="1" si="68"/>
        <v>4.9812046341835628E-2</v>
      </c>
      <c r="AB56" s="3">
        <f t="shared" ca="1" si="68"/>
        <v>5.0481133173866898E-2</v>
      </c>
      <c r="AC56" s="3">
        <f t="shared" ca="1" si="68"/>
        <v>6.0443668723246552E-2</v>
      </c>
      <c r="AD56" s="3">
        <f t="shared" ca="1" si="68"/>
        <v>5.5924752629194031E-2</v>
      </c>
      <c r="AE56" s="3">
        <f t="shared" ca="1" si="68"/>
        <v>7.0262066743059806E-2</v>
      </c>
      <c r="AF56" s="3">
        <f t="shared" ca="1" si="68"/>
        <v>6.5743806383389794E-2</v>
      </c>
      <c r="AG56" s="3">
        <f t="shared" ca="1" si="68"/>
        <v>7.7005719282346202E-2</v>
      </c>
      <c r="AH56" s="3">
        <f t="shared" ca="1" si="68"/>
        <v>9.3858296828671195E-2</v>
      </c>
      <c r="AI56" s="3">
        <f t="shared" ca="1" si="68"/>
        <v>0.10304711762559196</v>
      </c>
      <c r="AJ56" s="3">
        <f t="shared" ca="1" si="68"/>
        <v>0.15997103985528302</v>
      </c>
    </row>
    <row r="57" spans="1:36" x14ac:dyDescent="0.35">
      <c r="A57" t="s">
        <v>63</v>
      </c>
      <c r="B57" t="s">
        <v>62</v>
      </c>
      <c r="C57" s="4" t="s">
        <v>72</v>
      </c>
      <c r="D57" s="3">
        <f t="shared" ref="D57:AJ57" ca="1" si="69">MIN(0.99,D38+$D$3)</f>
        <v>1.5152445030916929E-2</v>
      </c>
      <c r="E57" s="3">
        <f t="shared" ca="1" si="69"/>
        <v>1.5350829701458815E-2</v>
      </c>
      <c r="F57" s="3">
        <f t="shared" ca="1" si="69"/>
        <v>1.7580161000270971E-2</v>
      </c>
      <c r="G57" s="3">
        <f t="shared" ca="1" si="69"/>
        <v>1.7825488412896866E-2</v>
      </c>
      <c r="H57" s="3">
        <f t="shared" ca="1" si="69"/>
        <v>1.879840798567145E-2</v>
      </c>
      <c r="I57" s="3">
        <f t="shared" ca="1" si="69"/>
        <v>1.9942231093108487E-2</v>
      </c>
      <c r="J57" s="3">
        <f t="shared" ca="1" si="69"/>
        <v>2.1009096113489691E-2</v>
      </c>
      <c r="K57" s="3">
        <f t="shared" ca="1" si="69"/>
        <v>2.1680613761538781E-2</v>
      </c>
      <c r="L57" s="3">
        <f t="shared" ca="1" si="69"/>
        <v>2.3579345557199989E-2</v>
      </c>
      <c r="M57" s="3">
        <f t="shared" ca="1" si="69"/>
        <v>2.2408197683742161E-2</v>
      </c>
      <c r="N57" s="3">
        <f t="shared" ca="1" si="69"/>
        <v>2.6415099592844462E-2</v>
      </c>
      <c r="O57" s="3">
        <f t="shared" ca="1" si="69"/>
        <v>2.3614953832701367E-2</v>
      </c>
      <c r="P57" s="3">
        <f t="shared" ca="1" si="69"/>
        <v>2.8334759832945255E-2</v>
      </c>
      <c r="Q57" s="3">
        <f t="shared" ca="1" si="69"/>
        <v>2.6470127589873708E-2</v>
      </c>
      <c r="R57" s="3">
        <f t="shared" ca="1" si="69"/>
        <v>3.0506015768321706E-2</v>
      </c>
      <c r="S57" s="3">
        <f t="shared" ca="1" si="69"/>
        <v>2.9310219539041983E-2</v>
      </c>
      <c r="T57" s="3">
        <f t="shared" ca="1" si="69"/>
        <v>3.0925925344397139E-2</v>
      </c>
      <c r="U57" s="3">
        <f t="shared" ca="1" si="69"/>
        <v>3.0737723038825493E-2</v>
      </c>
      <c r="V57" s="3">
        <f t="shared" ca="1" si="69"/>
        <v>3.4833397104936423E-2</v>
      </c>
      <c r="W57" s="3">
        <f t="shared" ca="1" si="69"/>
        <v>3.2111173693610599E-2</v>
      </c>
      <c r="X57" s="3">
        <f t="shared" ca="1" si="69"/>
        <v>4.1400387702887995E-2</v>
      </c>
      <c r="Y57" s="3">
        <f t="shared" ca="1" si="69"/>
        <v>4.1212145655377244E-2</v>
      </c>
      <c r="Z57" s="3">
        <f t="shared" ca="1" si="69"/>
        <v>4.6512506580291942E-2</v>
      </c>
      <c r="AA57" s="3">
        <f t="shared" ca="1" si="69"/>
        <v>5.0736347948423459E-2</v>
      </c>
      <c r="AB57" s="3">
        <f t="shared" ca="1" si="69"/>
        <v>5.1467480710824819E-2</v>
      </c>
      <c r="AC57" s="3">
        <f t="shared" ca="1" si="69"/>
        <v>6.1375486760457523E-2</v>
      </c>
      <c r="AD57" s="3">
        <f t="shared" ca="1" si="69"/>
        <v>5.6883747964579817E-2</v>
      </c>
      <c r="AE57" s="3">
        <f t="shared" ca="1" si="69"/>
        <v>7.1166855258105524E-2</v>
      </c>
      <c r="AF57" s="3">
        <f t="shared" ca="1" si="69"/>
        <v>6.6686936452229006E-2</v>
      </c>
      <c r="AG57" s="3">
        <f t="shared" ca="1" si="69"/>
        <v>7.7931697981602835E-2</v>
      </c>
      <c r="AH57" s="3">
        <f t="shared" ca="1" si="69"/>
        <v>9.4799164745485373E-2</v>
      </c>
      <c r="AI57" s="3">
        <f t="shared" ca="1" si="69"/>
        <v>0.10396599081363206</v>
      </c>
      <c r="AJ57" s="3">
        <f t="shared" ca="1" si="69"/>
        <v>0.1608896935208578</v>
      </c>
    </row>
    <row r="58" spans="1:36" x14ac:dyDescent="0.35">
      <c r="A58" t="s">
        <v>63</v>
      </c>
      <c r="B58" t="s">
        <v>62</v>
      </c>
      <c r="C58" s="4">
        <v>6</v>
      </c>
      <c r="D58" s="3">
        <f t="shared" ref="D58:AJ58" ca="1" si="70">MIN(0.99,D39+$D$3)</f>
        <v>1.6103925523829617E-2</v>
      </c>
      <c r="E58" s="3">
        <f t="shared" ca="1" si="70"/>
        <v>1.6273480413622355E-2</v>
      </c>
      <c r="F58" s="3">
        <f t="shared" ca="1" si="70"/>
        <v>1.8484260479984155E-2</v>
      </c>
      <c r="G58" s="3">
        <f t="shared" ca="1" si="70"/>
        <v>1.8784990179027437E-2</v>
      </c>
      <c r="H58" s="3">
        <f t="shared" ca="1" si="70"/>
        <v>1.9746432107819036E-2</v>
      </c>
      <c r="I58" s="3">
        <f t="shared" ca="1" si="70"/>
        <v>2.0924662333216427E-2</v>
      </c>
      <c r="J58" s="3">
        <f t="shared" ca="1" si="70"/>
        <v>2.1979100515904893E-2</v>
      </c>
      <c r="K58" s="3">
        <f t="shared" ca="1" si="70"/>
        <v>2.2643417586740561E-2</v>
      </c>
      <c r="L58" s="3">
        <f t="shared" ca="1" si="70"/>
        <v>2.4548114463104589E-2</v>
      </c>
      <c r="M58" s="3">
        <f t="shared" ca="1" si="70"/>
        <v>2.3387711815409482E-2</v>
      </c>
      <c r="N58" s="3">
        <f t="shared" ca="1" si="70"/>
        <v>2.7329867427790266E-2</v>
      </c>
      <c r="O58" s="3">
        <f t="shared" ca="1" si="70"/>
        <v>2.4548931738468283E-2</v>
      </c>
      <c r="P58" s="3">
        <f t="shared" ca="1" si="70"/>
        <v>2.9281455029663915E-2</v>
      </c>
      <c r="Q58" s="3">
        <f t="shared" ca="1" si="70"/>
        <v>2.7404786900639109E-2</v>
      </c>
      <c r="R58" s="3">
        <f t="shared" ca="1" si="70"/>
        <v>3.1413632366164672E-2</v>
      </c>
      <c r="S58" s="3">
        <f t="shared" ca="1" si="70"/>
        <v>3.0231757462390013E-2</v>
      </c>
      <c r="T58" s="3">
        <f t="shared" ca="1" si="70"/>
        <v>3.1865839441618006E-2</v>
      </c>
      <c r="U58" s="3">
        <f t="shared" ca="1" si="70"/>
        <v>3.1651666601106014E-2</v>
      </c>
      <c r="V58" s="3">
        <f t="shared" ca="1" si="70"/>
        <v>3.5807452264244741E-2</v>
      </c>
      <c r="W58" s="3">
        <f t="shared" ca="1" si="70"/>
        <v>3.3069344767362098E-2</v>
      </c>
      <c r="X58" s="3">
        <f t="shared" ca="1" si="70"/>
        <v>4.2335712794168832E-2</v>
      </c>
      <c r="Y58" s="3">
        <f t="shared" ca="1" si="70"/>
        <v>4.2119962252992353E-2</v>
      </c>
      <c r="Z58" s="3">
        <f t="shared" ca="1" si="70"/>
        <v>4.7472239793457112E-2</v>
      </c>
      <c r="AA58" s="3">
        <f t="shared" ca="1" si="70"/>
        <v>5.1687289175746422E-2</v>
      </c>
      <c r="AB58" s="3">
        <f t="shared" ca="1" si="70"/>
        <v>5.2369623207543202E-2</v>
      </c>
      <c r="AC58" s="3">
        <f t="shared" ca="1" si="70"/>
        <v>6.2349953632745196E-2</v>
      </c>
      <c r="AD58" s="3">
        <f t="shared" ca="1" si="70"/>
        <v>5.7818404522337628E-2</v>
      </c>
      <c r="AE58" s="3">
        <f t="shared" ca="1" si="70"/>
        <v>7.2153739272858231E-2</v>
      </c>
      <c r="AF58" s="3">
        <f t="shared" ca="1" si="70"/>
        <v>6.7680560202234341E-2</v>
      </c>
      <c r="AG58" s="3">
        <f t="shared" ca="1" si="70"/>
        <v>7.8875569737770407E-2</v>
      </c>
      <c r="AH58" s="3">
        <f t="shared" ca="1" si="70"/>
        <v>9.5759556570501281E-2</v>
      </c>
      <c r="AI58" s="3">
        <f t="shared" ca="1" si="70"/>
        <v>0.10494268838125667</v>
      </c>
      <c r="AJ58" s="3">
        <f t="shared" ca="1" si="70"/>
        <v>0.16183526118322764</v>
      </c>
    </row>
    <row r="59" spans="1:36" x14ac:dyDescent="0.35">
      <c r="A59" t="s">
        <v>63</v>
      </c>
      <c r="B59" t="s">
        <v>62</v>
      </c>
      <c r="C59" s="4" t="s">
        <v>73</v>
      </c>
      <c r="D59" s="3">
        <f t="shared" ref="D59:AJ59" ca="1" si="71">MIN(0.99,D40+$D$3)</f>
        <v>1.7076343410252166E-2</v>
      </c>
      <c r="E59" s="3">
        <f t="shared" ca="1" si="71"/>
        <v>1.7220448312122119E-2</v>
      </c>
      <c r="F59" s="3">
        <f t="shared" ca="1" si="71"/>
        <v>1.9474475509503451E-2</v>
      </c>
      <c r="G59" s="3">
        <f t="shared" ca="1" si="71"/>
        <v>1.9761084793114288E-2</v>
      </c>
      <c r="H59" s="3">
        <f t="shared" ca="1" si="71"/>
        <v>2.0744522938184486E-2</v>
      </c>
      <c r="I59" s="3">
        <f t="shared" ca="1" si="71"/>
        <v>2.1897788197689151E-2</v>
      </c>
      <c r="J59" s="3">
        <f t="shared" ca="1" si="71"/>
        <v>2.2883185304970872E-2</v>
      </c>
      <c r="K59" s="3">
        <f t="shared" ca="1" si="71"/>
        <v>2.3607880304561738E-2</v>
      </c>
      <c r="L59" s="3">
        <f t="shared" ca="1" si="71"/>
        <v>2.5455920816493612E-2</v>
      </c>
      <c r="M59" s="3">
        <f t="shared" ca="1" si="71"/>
        <v>2.4288634924567294E-2</v>
      </c>
      <c r="N59" s="3">
        <f t="shared" ca="1" si="71"/>
        <v>2.8311145294651639E-2</v>
      </c>
      <c r="O59" s="3">
        <f t="shared" ca="1" si="71"/>
        <v>2.5452283815432655E-2</v>
      </c>
      <c r="P59" s="3">
        <f t="shared" ca="1" si="71"/>
        <v>3.0272247291273948E-2</v>
      </c>
      <c r="Q59" s="3">
        <f t="shared" ca="1" si="71"/>
        <v>2.8322726460812651E-2</v>
      </c>
      <c r="R59" s="3">
        <f t="shared" ca="1" si="71"/>
        <v>3.2397149081169266E-2</v>
      </c>
      <c r="S59" s="3">
        <f t="shared" ca="1" si="71"/>
        <v>3.1179343186951307E-2</v>
      </c>
      <c r="T59" s="3">
        <f t="shared" ca="1" si="71"/>
        <v>3.2818966535687083E-2</v>
      </c>
      <c r="U59" s="3">
        <f t="shared" ca="1" si="71"/>
        <v>3.2555167541427302E-2</v>
      </c>
      <c r="V59" s="3">
        <f t="shared" ca="1" si="71"/>
        <v>3.6748233990400496E-2</v>
      </c>
      <c r="W59" s="3">
        <f t="shared" ca="1" si="71"/>
        <v>3.4030469659940075E-2</v>
      </c>
      <c r="X59" s="3">
        <f t="shared" ca="1" si="71"/>
        <v>4.3237231515940062E-2</v>
      </c>
      <c r="Y59" s="3">
        <f t="shared" ca="1" si="71"/>
        <v>4.3040881082994475E-2</v>
      </c>
      <c r="Z59" s="3">
        <f t="shared" ca="1" si="71"/>
        <v>4.8463222183403064E-2</v>
      </c>
      <c r="AA59" s="3">
        <f t="shared" ca="1" si="71"/>
        <v>5.2627256529838316E-2</v>
      </c>
      <c r="AB59" s="3">
        <f t="shared" ca="1" si="71"/>
        <v>5.3330225640333476E-2</v>
      </c>
      <c r="AC59" s="3">
        <f t="shared" ca="1" si="71"/>
        <v>6.326716704106701E-2</v>
      </c>
      <c r="AD59" s="3">
        <f t="shared" ca="1" si="71"/>
        <v>5.8726376327012386E-2</v>
      </c>
      <c r="AE59" s="3">
        <f t="shared" ca="1" si="71"/>
        <v>7.3093762480073765E-2</v>
      </c>
      <c r="AF59" s="3">
        <f t="shared" ca="1" si="71"/>
        <v>6.8629337723902825E-2</v>
      </c>
      <c r="AG59" s="3">
        <f t="shared" ca="1" si="71"/>
        <v>7.9781603646469454E-2</v>
      </c>
      <c r="AH59" s="3">
        <f t="shared" ca="1" si="71"/>
        <v>9.6684438610676188E-2</v>
      </c>
      <c r="AI59" s="3">
        <f t="shared" ca="1" si="71"/>
        <v>0.10591532296838085</v>
      </c>
      <c r="AJ59" s="3">
        <f t="shared" ca="1" si="71"/>
        <v>0.16276592350239433</v>
      </c>
    </row>
    <row r="60" spans="1:36" x14ac:dyDescent="0.35">
      <c r="A60" t="s">
        <v>63</v>
      </c>
      <c r="B60" t="s">
        <v>62</v>
      </c>
      <c r="C60" s="4" t="s">
        <v>74</v>
      </c>
      <c r="D60" s="3">
        <f t="shared" ref="D60:AJ60" ca="1" si="72">MIN(0.99,D41+$D$3)</f>
        <v>1.7977639289510839E-2</v>
      </c>
      <c r="E60" s="3">
        <f t="shared" ca="1" si="72"/>
        <v>1.818543677986852E-2</v>
      </c>
      <c r="F60" s="3">
        <f t="shared" ca="1" si="72"/>
        <v>2.0439383080087588E-2</v>
      </c>
      <c r="G60" s="3">
        <f t="shared" ca="1" si="72"/>
        <v>2.0707938263329614E-2</v>
      </c>
      <c r="H60" s="3">
        <f t="shared" ca="1" si="72"/>
        <v>2.1728314198047792E-2</v>
      </c>
      <c r="I60" s="3">
        <f t="shared" ca="1" si="72"/>
        <v>2.2799586844370414E-2</v>
      </c>
      <c r="J60" s="3">
        <f t="shared" ca="1" si="72"/>
        <v>2.3878908646493308E-2</v>
      </c>
      <c r="K60" s="3">
        <f t="shared" ca="1" si="72"/>
        <v>2.4592240663813266E-2</v>
      </c>
      <c r="L60" s="3">
        <f t="shared" ca="1" si="72"/>
        <v>2.6443325354229261E-2</v>
      </c>
      <c r="M60" s="3">
        <f t="shared" ca="1" si="72"/>
        <v>2.5265813482198304E-2</v>
      </c>
      <c r="N60" s="3">
        <f t="shared" ca="1" si="72"/>
        <v>2.9307272751339642E-2</v>
      </c>
      <c r="O60" s="3">
        <f t="shared" ca="1" si="72"/>
        <v>2.6391280638935269E-2</v>
      </c>
      <c r="P60" s="3">
        <f t="shared" ca="1" si="72"/>
        <v>3.1183006535830053E-2</v>
      </c>
      <c r="Q60" s="3">
        <f t="shared" ca="1" si="72"/>
        <v>2.9242322027796988E-2</v>
      </c>
      <c r="R60" s="3">
        <f t="shared" ca="1" si="72"/>
        <v>3.3313369639595615E-2</v>
      </c>
      <c r="S60" s="3">
        <f t="shared" ca="1" si="72"/>
        <v>3.2124709990082961E-2</v>
      </c>
      <c r="T60" s="3">
        <f t="shared" ca="1" si="72"/>
        <v>3.3790822628961943E-2</v>
      </c>
      <c r="U60" s="3">
        <f t="shared" ca="1" si="72"/>
        <v>3.3501393744067638E-2</v>
      </c>
      <c r="V60" s="3">
        <f t="shared" ca="1" si="72"/>
        <v>3.7724209770869287E-2</v>
      </c>
      <c r="W60" s="3">
        <f t="shared" ca="1" si="72"/>
        <v>3.5028908521711824E-2</v>
      </c>
      <c r="X60" s="3">
        <f t="shared" ca="1" si="72"/>
        <v>4.4211591835553649E-2</v>
      </c>
      <c r="Y60" s="3">
        <f t="shared" ca="1" si="72"/>
        <v>4.3957097827992495E-2</v>
      </c>
      <c r="Z60" s="3">
        <f t="shared" ca="1" si="72"/>
        <v>4.9427681368468784E-2</v>
      </c>
      <c r="AA60" s="3">
        <f t="shared" ca="1" si="72"/>
        <v>5.3581937200085632E-2</v>
      </c>
      <c r="AB60" s="3">
        <f t="shared" ca="1" si="72"/>
        <v>5.4289124051551306E-2</v>
      </c>
      <c r="AC60" s="3">
        <f t="shared" ca="1" si="72"/>
        <v>6.4172249048327801E-2</v>
      </c>
      <c r="AD60" s="3">
        <f t="shared" ca="1" si="72"/>
        <v>5.9716600628391063E-2</v>
      </c>
      <c r="AE60" s="3">
        <f t="shared" ca="1" si="72"/>
        <v>7.4017728469283992E-2</v>
      </c>
      <c r="AF60" s="3">
        <f t="shared" ca="1" si="72"/>
        <v>6.9606794667857047E-2</v>
      </c>
      <c r="AG60" s="3">
        <f t="shared" ca="1" si="72"/>
        <v>8.0716530631884317E-2</v>
      </c>
      <c r="AH60" s="3">
        <f t="shared" ca="1" si="72"/>
        <v>9.7618336897311433E-2</v>
      </c>
      <c r="AI60" s="3">
        <f t="shared" ca="1" si="72"/>
        <v>0.10688614259121348</v>
      </c>
      <c r="AJ60" s="3">
        <f t="shared" ca="1" si="72"/>
        <v>0.16373333340118235</v>
      </c>
    </row>
    <row r="61" spans="1:36" x14ac:dyDescent="0.35">
      <c r="A61" t="s">
        <v>63</v>
      </c>
      <c r="B61" t="s">
        <v>62</v>
      </c>
      <c r="C61" s="4">
        <v>7</v>
      </c>
      <c r="D61" s="3">
        <f t="shared" ref="D61:AJ61" ca="1" si="73">MIN(0.99,D42+$D$3)</f>
        <v>1.8917500457153479E-2</v>
      </c>
      <c r="E61" s="3">
        <f t="shared" ca="1" si="73"/>
        <v>1.9145254027243801E-2</v>
      </c>
      <c r="F61" s="3">
        <f t="shared" ca="1" si="73"/>
        <v>2.1402079986710322E-2</v>
      </c>
      <c r="G61" s="3">
        <f t="shared" ca="1" si="73"/>
        <v>2.1655961922810649E-2</v>
      </c>
      <c r="H61" s="3">
        <f t="shared" ca="1" si="73"/>
        <v>2.2693695797489939E-2</v>
      </c>
      <c r="I61" s="3">
        <f t="shared" ca="1" si="73"/>
        <v>2.3712770370238324E-2</v>
      </c>
      <c r="J61" s="3">
        <f t="shared" ca="1" si="73"/>
        <v>2.4802021895231858E-2</v>
      </c>
      <c r="K61" s="3">
        <f t="shared" ca="1" si="73"/>
        <v>2.5565803889783911E-2</v>
      </c>
      <c r="L61" s="3">
        <f t="shared" ca="1" si="73"/>
        <v>2.7391266178167079E-2</v>
      </c>
      <c r="M61" s="3">
        <f t="shared" ca="1" si="73"/>
        <v>2.625325216149586E-2</v>
      </c>
      <c r="N61" s="3">
        <f t="shared" ca="1" si="73"/>
        <v>3.0303183100044206E-2</v>
      </c>
      <c r="O61" s="3">
        <f t="shared" ca="1" si="73"/>
        <v>2.7313826593341795E-2</v>
      </c>
      <c r="P61" s="3">
        <f t="shared" ca="1" si="73"/>
        <v>3.2115654610217856E-2</v>
      </c>
      <c r="Q61" s="3">
        <f t="shared" ca="1" si="73"/>
        <v>3.01644928499014E-2</v>
      </c>
      <c r="R61" s="3">
        <f t="shared" ca="1" si="73"/>
        <v>3.4231283107714575E-2</v>
      </c>
      <c r="S61" s="3">
        <f t="shared" ca="1" si="73"/>
        <v>3.3048976461946433E-2</v>
      </c>
      <c r="T61" s="3">
        <f t="shared" ca="1" si="73"/>
        <v>3.474169962851667E-2</v>
      </c>
      <c r="U61" s="3">
        <f t="shared" ca="1" si="73"/>
        <v>3.4467115659572965E-2</v>
      </c>
      <c r="V61" s="3">
        <f t="shared" ca="1" si="73"/>
        <v>3.8634500210641548E-2</v>
      </c>
      <c r="W61" s="3">
        <f t="shared" ca="1" si="73"/>
        <v>3.5967627336666648E-2</v>
      </c>
      <c r="X61" s="3">
        <f t="shared" ca="1" si="73"/>
        <v>4.5184367354596876E-2</v>
      </c>
      <c r="Y61" s="3">
        <f t="shared" ca="1" si="73"/>
        <v>4.4947228346252484E-2</v>
      </c>
      <c r="Z61" s="3">
        <f t="shared" ca="1" si="73"/>
        <v>5.0389245541982916E-2</v>
      </c>
      <c r="AA61" s="3">
        <f t="shared" ca="1" si="73"/>
        <v>5.4537737673600303E-2</v>
      </c>
      <c r="AB61" s="3">
        <f t="shared" ca="1" si="73"/>
        <v>5.5257376411871201E-2</v>
      </c>
      <c r="AC61" s="3">
        <f t="shared" ca="1" si="73"/>
        <v>6.5115430043037506E-2</v>
      </c>
      <c r="AD61" s="3">
        <f t="shared" ca="1" si="73"/>
        <v>6.0680075854409175E-2</v>
      </c>
      <c r="AE61" s="3">
        <f t="shared" ca="1" si="73"/>
        <v>7.501085246288712E-2</v>
      </c>
      <c r="AF61" s="3">
        <f t="shared" ca="1" si="73"/>
        <v>7.0556304016067092E-2</v>
      </c>
      <c r="AG61" s="3">
        <f t="shared" ca="1" si="73"/>
        <v>8.1690251448996734E-2</v>
      </c>
      <c r="AH61" s="3">
        <f t="shared" ca="1" si="73"/>
        <v>9.8613631405579757E-2</v>
      </c>
      <c r="AI61" s="3">
        <f t="shared" ca="1" si="73"/>
        <v>0.10785618723574056</v>
      </c>
      <c r="AJ61" s="3">
        <f t="shared" ca="1" si="73"/>
        <v>0.16465884083679894</v>
      </c>
    </row>
    <row r="62" spans="1:36" x14ac:dyDescent="0.35">
      <c r="A62" t="s">
        <v>63</v>
      </c>
      <c r="B62" t="s">
        <v>62</v>
      </c>
      <c r="C62" s="4" t="s">
        <v>75</v>
      </c>
      <c r="D62" s="3">
        <f t="shared" ref="D62:AJ62" ca="1" si="74">MIN(0.99,D43+$D$3)</f>
        <v>1.987527904582077E-2</v>
      </c>
      <c r="E62" s="3">
        <f t="shared" ca="1" si="74"/>
        <v>2.0050952856554106E-2</v>
      </c>
      <c r="F62" s="3">
        <f t="shared" ca="1" si="74"/>
        <v>2.2331291703665709E-2</v>
      </c>
      <c r="G62" s="3">
        <f t="shared" ca="1" si="74"/>
        <v>2.2617035472300248E-2</v>
      </c>
      <c r="H62" s="3">
        <f t="shared" ca="1" si="74"/>
        <v>2.3659732397400303E-2</v>
      </c>
      <c r="I62" s="3">
        <f t="shared" ca="1" si="74"/>
        <v>2.4625266300928757E-2</v>
      </c>
      <c r="J62" s="3">
        <f t="shared" ca="1" si="74"/>
        <v>2.5732193739254939E-2</v>
      </c>
      <c r="K62" s="3">
        <f t="shared" ca="1" si="74"/>
        <v>2.6534920103237557E-2</v>
      </c>
      <c r="L62" s="3">
        <f t="shared" ca="1" si="74"/>
        <v>2.8367663099142394E-2</v>
      </c>
      <c r="M62" s="3">
        <f t="shared" ca="1" si="74"/>
        <v>2.7248868170021961E-2</v>
      </c>
      <c r="N62" s="3">
        <f t="shared" ca="1" si="74"/>
        <v>3.1301215955139378E-2</v>
      </c>
      <c r="O62" s="3">
        <f t="shared" ca="1" si="74"/>
        <v>2.8300242761142447E-2</v>
      </c>
      <c r="P62" s="3">
        <f t="shared" ca="1" si="74"/>
        <v>3.305684622595037E-2</v>
      </c>
      <c r="Q62" s="3">
        <f t="shared" ca="1" si="74"/>
        <v>3.1144920288838279E-2</v>
      </c>
      <c r="R62" s="3">
        <f t="shared" ca="1" si="74"/>
        <v>3.5143639840127174E-2</v>
      </c>
      <c r="S62" s="3">
        <f t="shared" ca="1" si="74"/>
        <v>3.4034138765704033E-2</v>
      </c>
      <c r="T62" s="3">
        <f t="shared" ca="1" si="74"/>
        <v>3.5679201537240295E-2</v>
      </c>
      <c r="U62" s="3">
        <f t="shared" ca="1" si="74"/>
        <v>3.5464213174064819E-2</v>
      </c>
      <c r="V62" s="3">
        <f t="shared" ca="1" si="74"/>
        <v>3.9586005937534752E-2</v>
      </c>
      <c r="W62" s="3">
        <f t="shared" ca="1" si="74"/>
        <v>3.694879458754953E-2</v>
      </c>
      <c r="X62" s="3">
        <f t="shared" ca="1" si="74"/>
        <v>4.6114788410963808E-2</v>
      </c>
      <c r="Y62" s="3">
        <f t="shared" ca="1" si="74"/>
        <v>4.585861948475594E-2</v>
      </c>
      <c r="Z62" s="3">
        <f t="shared" ca="1" si="74"/>
        <v>5.1363688088643167E-2</v>
      </c>
      <c r="AA62" s="3">
        <f t="shared" ca="1" si="74"/>
        <v>5.5453285624751825E-2</v>
      </c>
      <c r="AB62" s="3">
        <f t="shared" ca="1" si="74"/>
        <v>5.622420411441207E-2</v>
      </c>
      <c r="AC62" s="3">
        <f t="shared" ca="1" si="74"/>
        <v>6.6063507362981458E-2</v>
      </c>
      <c r="AD62" s="3">
        <f t="shared" ca="1" si="74"/>
        <v>6.1653063211581059E-2</v>
      </c>
      <c r="AE62" s="3">
        <f t="shared" ca="1" si="74"/>
        <v>7.5962034273169804E-2</v>
      </c>
      <c r="AF62" s="3">
        <f t="shared" ca="1" si="74"/>
        <v>7.1501160086666293E-2</v>
      </c>
      <c r="AG62" s="3">
        <f t="shared" ca="1" si="74"/>
        <v>8.266917311204669E-2</v>
      </c>
      <c r="AH62" s="3">
        <f t="shared" ca="1" si="74"/>
        <v>9.9596881422877079E-2</v>
      </c>
      <c r="AI62" s="3">
        <f t="shared" ca="1" si="74"/>
        <v>0.10878900967914032</v>
      </c>
      <c r="AJ62" s="3">
        <f t="shared" ca="1" si="74"/>
        <v>0.16555889479748143</v>
      </c>
    </row>
    <row r="63" spans="1:36" x14ac:dyDescent="0.35">
      <c r="A63" t="s">
        <v>77</v>
      </c>
      <c r="B63" t="s">
        <v>76</v>
      </c>
      <c r="C63" s="4">
        <v>1</v>
      </c>
      <c r="D63" s="3">
        <f ca="1">MIN(0.99,D6+$O$3)</f>
        <v>2.3913705909847562E-2</v>
      </c>
      <c r="E63" s="3">
        <f t="shared" ref="E63:AA74" ca="1" si="75">MIN(0.99,E6+$O$3)</f>
        <v>2.4014891107427969E-2</v>
      </c>
      <c r="F63" s="3">
        <f t="shared" ca="1" si="75"/>
        <v>2.6194444470184805E-2</v>
      </c>
      <c r="G63" s="3">
        <f t="shared" ca="1" si="75"/>
        <v>2.6516049755581299E-2</v>
      </c>
      <c r="H63" s="3">
        <f t="shared" ca="1" si="75"/>
        <v>2.7618601818109663E-2</v>
      </c>
      <c r="I63" s="3">
        <f t="shared" ca="1" si="75"/>
        <v>2.8560943764107255E-2</v>
      </c>
      <c r="J63" s="3">
        <f t="shared" ca="1" si="75"/>
        <v>2.9614138834151475E-2</v>
      </c>
      <c r="K63" s="3">
        <f t="shared" ca="1" si="75"/>
        <v>3.0290571818734593E-2</v>
      </c>
      <c r="L63" s="3">
        <f t="shared" ca="1" si="75"/>
        <v>3.2082434204609073E-2</v>
      </c>
      <c r="M63" s="3">
        <f t="shared" ca="1" si="75"/>
        <v>3.1058248239438136E-2</v>
      </c>
      <c r="N63" s="3">
        <f t="shared" ca="1" si="75"/>
        <v>3.5055500390365209E-2</v>
      </c>
      <c r="O63" s="3">
        <f t="shared" ca="1" si="75"/>
        <v>3.2029621394540603E-2</v>
      </c>
      <c r="P63" s="3">
        <f t="shared" ca="1" si="75"/>
        <v>3.6997233402660923E-2</v>
      </c>
      <c r="Q63" s="3">
        <f t="shared" ca="1" si="75"/>
        <v>3.5083634915801888E-2</v>
      </c>
      <c r="R63" s="3">
        <f t="shared" ca="1" si="75"/>
        <v>3.9064857934216601E-2</v>
      </c>
      <c r="S63" s="3">
        <f t="shared" ca="1" si="75"/>
        <v>3.7896046395142935E-2</v>
      </c>
      <c r="T63" s="3">
        <f t="shared" ca="1" si="75"/>
        <v>3.9590905782288618E-2</v>
      </c>
      <c r="U63" s="3">
        <f t="shared" ca="1" si="75"/>
        <v>3.9444573540657293E-2</v>
      </c>
      <c r="V63" s="3">
        <f t="shared" ca="1" si="75"/>
        <v>4.3474417489700087E-2</v>
      </c>
      <c r="W63" s="3">
        <f t="shared" ca="1" si="75"/>
        <v>4.0911075326445334E-2</v>
      </c>
      <c r="X63" s="3">
        <f t="shared" ca="1" si="75"/>
        <v>5.0015268972069635E-2</v>
      </c>
      <c r="Y63" s="3">
        <f t="shared" ca="1" si="75"/>
        <v>4.966939803277523E-2</v>
      </c>
      <c r="Z63" s="3">
        <f t="shared" ca="1" si="75"/>
        <v>5.5211387944149447E-2</v>
      </c>
      <c r="AA63" s="3">
        <f t="shared" ca="1" si="75"/>
        <v>5.9427035773633279E-2</v>
      </c>
      <c r="AB63" s="3">
        <f ca="1">MIN(0.99,AB6+$O$3)</f>
        <v>6.0009861435001373E-2</v>
      </c>
      <c r="AC63" s="3">
        <f t="shared" ref="AC63:AJ78" ca="1" si="76">MIN(0.99,AC6+$O$3)</f>
        <v>7.0039922733635213E-2</v>
      </c>
      <c r="AD63" s="3">
        <f t="shared" ca="1" si="76"/>
        <v>6.5584554078741336E-2</v>
      </c>
      <c r="AE63" s="3">
        <f t="shared" ca="1" si="76"/>
        <v>7.9909917212217796E-2</v>
      </c>
      <c r="AF63" s="3">
        <f t="shared" ca="1" si="76"/>
        <v>7.5385227567861535E-2</v>
      </c>
      <c r="AG63" s="3">
        <f t="shared" ca="1" si="76"/>
        <v>8.6414225348875245E-2</v>
      </c>
      <c r="AH63" s="3">
        <f t="shared" ca="1" si="76"/>
        <v>0.10322340421813228</v>
      </c>
      <c r="AI63" s="3">
        <f t="shared" ca="1" si="76"/>
        <v>0.11277928075068411</v>
      </c>
      <c r="AJ63" s="3">
        <f t="shared" ca="1" si="76"/>
        <v>0.16943416287807256</v>
      </c>
    </row>
    <row r="64" spans="1:36" x14ac:dyDescent="0.35">
      <c r="A64" t="s">
        <v>77</v>
      </c>
      <c r="B64" t="s">
        <v>76</v>
      </c>
      <c r="C64" s="4" t="s">
        <v>64</v>
      </c>
      <c r="D64" s="3">
        <f t="shared" ref="D64:S119" ca="1" si="77">MIN(0.99,D7+$O$3)</f>
        <v>2.4859369085096727E-2</v>
      </c>
      <c r="E64" s="3">
        <f t="shared" ca="1" si="77"/>
        <v>2.4952874469364627E-2</v>
      </c>
      <c r="F64" s="3">
        <f t="shared" ca="1" si="77"/>
        <v>2.7136420264131642E-2</v>
      </c>
      <c r="G64" s="3">
        <f t="shared" ca="1" si="77"/>
        <v>2.7461271233585001E-2</v>
      </c>
      <c r="H64" s="3">
        <f t="shared" ca="1" si="77"/>
        <v>2.8565750332690473E-2</v>
      </c>
      <c r="I64" s="3">
        <f t="shared" ca="1" si="77"/>
        <v>2.9483703257362215E-2</v>
      </c>
      <c r="J64" s="3">
        <f t="shared" ca="1" si="77"/>
        <v>3.0530427554768674E-2</v>
      </c>
      <c r="K64" s="3">
        <f t="shared" ca="1" si="77"/>
        <v>3.1225009212933509E-2</v>
      </c>
      <c r="L64" s="3">
        <f t="shared" ca="1" si="77"/>
        <v>3.303223806534511E-2</v>
      </c>
      <c r="M64" s="3">
        <f t="shared" ca="1" si="77"/>
        <v>3.201514184023075E-2</v>
      </c>
      <c r="N64" s="3">
        <f t="shared" ca="1" si="77"/>
        <v>3.6005504803608798E-2</v>
      </c>
      <c r="O64" s="3">
        <f t="shared" ca="1" si="77"/>
        <v>3.2976087755544774E-2</v>
      </c>
      <c r="P64" s="3">
        <f t="shared" ca="1" si="77"/>
        <v>3.7973100783297742E-2</v>
      </c>
      <c r="Q64" s="3">
        <f t="shared" ca="1" si="77"/>
        <v>3.6035628708584226E-2</v>
      </c>
      <c r="R64" s="3">
        <f t="shared" ca="1" si="77"/>
        <v>4.0008718824845121E-2</v>
      </c>
      <c r="S64" s="3">
        <f t="shared" ca="1" si="77"/>
        <v>3.8833246135756949E-2</v>
      </c>
      <c r="T64" s="3">
        <f t="shared" ca="1" si="75"/>
        <v>4.0517323755621865E-2</v>
      </c>
      <c r="U64" s="3">
        <f t="shared" ca="1" si="75"/>
        <v>4.0358018967929746E-2</v>
      </c>
      <c r="V64" s="3">
        <f t="shared" ca="1" si="75"/>
        <v>4.441382768167236E-2</v>
      </c>
      <c r="W64" s="3">
        <f t="shared" ca="1" si="75"/>
        <v>4.1848944283317341E-2</v>
      </c>
      <c r="X64" s="3">
        <f t="shared" ca="1" si="75"/>
        <v>5.0945560605902385E-2</v>
      </c>
      <c r="Y64" s="3">
        <f t="shared" ca="1" si="75"/>
        <v>5.0655488296011929E-2</v>
      </c>
      <c r="Z64" s="3">
        <f t="shared" ca="1" si="75"/>
        <v>5.618036833698567E-2</v>
      </c>
      <c r="AA64" s="3">
        <f t="shared" ca="1" si="75"/>
        <v>6.0412512025703316E-2</v>
      </c>
      <c r="AB64" s="3">
        <f t="shared" ref="AB64:AJ64" ca="1" si="78">MIN(0.99,AB7+$O$3)</f>
        <v>6.0934171179409184E-2</v>
      </c>
      <c r="AC64" s="3">
        <f t="shared" ca="1" si="78"/>
        <v>7.1009224929046655E-2</v>
      </c>
      <c r="AD64" s="3">
        <f t="shared" ca="1" si="78"/>
        <v>6.6564747644908384E-2</v>
      </c>
      <c r="AE64" s="3">
        <f t="shared" ca="1" si="78"/>
        <v>8.0821463079713607E-2</v>
      </c>
      <c r="AF64" s="3">
        <f t="shared" ca="1" si="78"/>
        <v>7.6341394106224883E-2</v>
      </c>
      <c r="AG64" s="3">
        <f t="shared" ca="1" si="78"/>
        <v>8.7406165541363906E-2</v>
      </c>
      <c r="AH64" s="3">
        <f t="shared" ca="1" si="78"/>
        <v>0.10420115255780724</v>
      </c>
      <c r="AI64" s="3">
        <f t="shared" ca="1" si="78"/>
        <v>0.1137736278818148</v>
      </c>
      <c r="AJ64" s="3">
        <f t="shared" ca="1" si="78"/>
        <v>0.17040802984172168</v>
      </c>
    </row>
    <row r="65" spans="1:36" x14ac:dyDescent="0.35">
      <c r="A65" t="s">
        <v>77</v>
      </c>
      <c r="B65" t="s">
        <v>76</v>
      </c>
      <c r="C65" s="4">
        <v>2</v>
      </c>
      <c r="D65" s="3">
        <f t="shared" ca="1" si="77"/>
        <v>2.5808230056545256E-2</v>
      </c>
      <c r="E65" s="3">
        <f t="shared" ca="1" si="75"/>
        <v>2.591077123128719E-2</v>
      </c>
      <c r="F65" s="3">
        <f t="shared" ca="1" si="75"/>
        <v>2.8134214468251005E-2</v>
      </c>
      <c r="G65" s="3">
        <f t="shared" ca="1" si="75"/>
        <v>2.8449986216935154E-2</v>
      </c>
      <c r="H65" s="3">
        <f t="shared" ca="1" si="75"/>
        <v>2.9485016684805E-2</v>
      </c>
      <c r="I65" s="3">
        <f t="shared" ca="1" si="75"/>
        <v>3.040636248883407E-2</v>
      </c>
      <c r="J65" s="3">
        <f t="shared" ca="1" si="75"/>
        <v>3.1476134905554336E-2</v>
      </c>
      <c r="K65" s="3">
        <f t="shared" ca="1" si="75"/>
        <v>3.2128929243782335E-2</v>
      </c>
      <c r="L65" s="3">
        <f t="shared" ca="1" si="75"/>
        <v>3.3966265956155595E-2</v>
      </c>
      <c r="M65" s="3">
        <f t="shared" ca="1" si="75"/>
        <v>3.2917253851371495E-2</v>
      </c>
      <c r="N65" s="3">
        <f t="shared" ca="1" si="75"/>
        <v>3.6958403473875912E-2</v>
      </c>
      <c r="O65" s="3">
        <f t="shared" ca="1" si="75"/>
        <v>3.3891319465371897E-2</v>
      </c>
      <c r="P65" s="3">
        <f t="shared" ca="1" si="75"/>
        <v>3.8922422200451931E-2</v>
      </c>
      <c r="Q65" s="3">
        <f t="shared" ca="1" si="75"/>
        <v>3.7020248104859703E-2</v>
      </c>
      <c r="R65" s="3">
        <f t="shared" ca="1" si="75"/>
        <v>4.0974093514756164E-2</v>
      </c>
      <c r="S65" s="3">
        <f t="shared" ca="1" si="75"/>
        <v>3.9733364832246057E-2</v>
      </c>
      <c r="T65" s="3">
        <f t="shared" ca="1" si="75"/>
        <v>4.1491267302027984E-2</v>
      </c>
      <c r="U65" s="3">
        <f t="shared" ca="1" si="75"/>
        <v>4.1342966228622727E-2</v>
      </c>
      <c r="V65" s="3">
        <f t="shared" ca="1" si="75"/>
        <v>4.5363804915033723E-2</v>
      </c>
      <c r="W65" s="3">
        <f t="shared" ca="1" si="75"/>
        <v>4.2768143392335228E-2</v>
      </c>
      <c r="X65" s="3">
        <f t="shared" ca="1" si="75"/>
        <v>5.1862942597823397E-2</v>
      </c>
      <c r="Y65" s="3">
        <f t="shared" ca="1" si="75"/>
        <v>5.1640897707001213E-2</v>
      </c>
      <c r="Z65" s="3">
        <f t="shared" ca="1" si="75"/>
        <v>5.7098541840124924E-2</v>
      </c>
      <c r="AA65" s="3">
        <f t="shared" ca="1" si="75"/>
        <v>6.1332948039680188E-2</v>
      </c>
      <c r="AB65" s="3">
        <f t="shared" ref="AB65" ca="1" si="79">MIN(0.99,AB8+$O$3)</f>
        <v>6.185579679533499E-2</v>
      </c>
      <c r="AC65" s="3">
        <f t="shared" ca="1" si="76"/>
        <v>7.1990470493755995E-2</v>
      </c>
      <c r="AD65" s="3">
        <f t="shared" ca="1" si="76"/>
        <v>6.747843760369257E-2</v>
      </c>
      <c r="AE65" s="3">
        <f t="shared" ca="1" si="76"/>
        <v>8.1747914709393549E-2</v>
      </c>
      <c r="AF65" s="3">
        <f t="shared" ca="1" si="76"/>
        <v>7.724593702481726E-2</v>
      </c>
      <c r="AG65" s="3">
        <f t="shared" ca="1" si="76"/>
        <v>8.8340071320367003E-2</v>
      </c>
      <c r="AH65" s="3">
        <f t="shared" ca="1" si="76"/>
        <v>0.10519220392855247</v>
      </c>
      <c r="AI65" s="3">
        <f t="shared" ca="1" si="76"/>
        <v>0.11474634419460308</v>
      </c>
      <c r="AJ65" s="3">
        <f t="shared" ca="1" si="76"/>
        <v>0.1713632326667498</v>
      </c>
    </row>
    <row r="66" spans="1:36" x14ac:dyDescent="0.35">
      <c r="A66" t="s">
        <v>77</v>
      </c>
      <c r="B66" t="s">
        <v>76</v>
      </c>
      <c r="C66" s="4" t="s">
        <v>65</v>
      </c>
      <c r="D66" s="3">
        <f t="shared" ca="1" si="77"/>
        <v>2.6708986657541615E-2</v>
      </c>
      <c r="E66" s="3">
        <f t="shared" ca="1" si="75"/>
        <v>2.6871356019541309E-2</v>
      </c>
      <c r="F66" s="3">
        <f t="shared" ca="1" si="75"/>
        <v>2.9047760598953459E-2</v>
      </c>
      <c r="G66" s="3">
        <f t="shared" ca="1" si="75"/>
        <v>2.9369212456604475E-2</v>
      </c>
      <c r="H66" s="3">
        <f t="shared" ca="1" si="75"/>
        <v>3.0431596301400302E-2</v>
      </c>
      <c r="I66" s="3">
        <f t="shared" ca="1" si="75"/>
        <v>3.1371000592803885E-2</v>
      </c>
      <c r="J66" s="3">
        <f t="shared" ca="1" si="75"/>
        <v>3.2445780297351713E-2</v>
      </c>
      <c r="K66" s="3">
        <f t="shared" ca="1" si="75"/>
        <v>3.3077174559546049E-2</v>
      </c>
      <c r="L66" s="3">
        <f t="shared" ca="1" si="75"/>
        <v>3.4964749312014723E-2</v>
      </c>
      <c r="M66" s="3">
        <f t="shared" ca="1" si="75"/>
        <v>3.3850757813487363E-2</v>
      </c>
      <c r="N66" s="3">
        <f t="shared" ca="1" si="75"/>
        <v>3.7891106708963625E-2</v>
      </c>
      <c r="O66" s="3">
        <f t="shared" ca="1" si="75"/>
        <v>3.4855706623828579E-2</v>
      </c>
      <c r="P66" s="3">
        <f t="shared" ca="1" si="75"/>
        <v>3.9887270668877269E-2</v>
      </c>
      <c r="Q66" s="3">
        <f t="shared" ca="1" si="75"/>
        <v>3.7922992518657161E-2</v>
      </c>
      <c r="R66" s="3">
        <f t="shared" ca="1" si="75"/>
        <v>4.1914876549807911E-2</v>
      </c>
      <c r="S66" s="3">
        <f t="shared" ca="1" si="75"/>
        <v>4.0696774126957755E-2</v>
      </c>
      <c r="T66" s="3">
        <f t="shared" ca="1" si="75"/>
        <v>4.243213786485292E-2</v>
      </c>
      <c r="U66" s="3">
        <f t="shared" ca="1" si="75"/>
        <v>4.2251906500653427E-2</v>
      </c>
      <c r="V66" s="3">
        <f t="shared" ca="1" si="75"/>
        <v>4.6288681499768558E-2</v>
      </c>
      <c r="W66" s="3">
        <f t="shared" ca="1" si="75"/>
        <v>4.3698751350014317E-2</v>
      </c>
      <c r="X66" s="3">
        <f t="shared" ca="1" si="75"/>
        <v>5.2842200822334928E-2</v>
      </c>
      <c r="Y66" s="3">
        <f t="shared" ca="1" si="75"/>
        <v>5.2551705687135852E-2</v>
      </c>
      <c r="Z66" s="3">
        <f t="shared" ca="1" si="75"/>
        <v>5.8093954394955599E-2</v>
      </c>
      <c r="AA66" s="3">
        <f t="shared" ca="1" si="75"/>
        <v>6.2332863582856446E-2</v>
      </c>
      <c r="AB66" s="3">
        <f t="shared" ref="AB66" ca="1" si="80">MIN(0.99,AB9+$O$3)</f>
        <v>6.2849713178535743E-2</v>
      </c>
      <c r="AC66" s="3">
        <f t="shared" ca="1" si="76"/>
        <v>7.2912339198120152E-2</v>
      </c>
      <c r="AD66" s="3">
        <f t="shared" ca="1" si="76"/>
        <v>6.8421518522173846E-2</v>
      </c>
      <c r="AE66" s="3">
        <f t="shared" ca="1" si="76"/>
        <v>8.2741929561125416E-2</v>
      </c>
      <c r="AF66" s="3">
        <f t="shared" ca="1" si="76"/>
        <v>7.8234317779736801E-2</v>
      </c>
      <c r="AG66" s="3">
        <f t="shared" ca="1" si="76"/>
        <v>8.9288493445900063E-2</v>
      </c>
      <c r="AH66" s="3">
        <f t="shared" ca="1" si="76"/>
        <v>0.10611945592348593</v>
      </c>
      <c r="AI66" s="3">
        <f t="shared" ca="1" si="76"/>
        <v>0.11567211302804761</v>
      </c>
      <c r="AJ66" s="3">
        <f t="shared" ca="1" si="76"/>
        <v>0.17234132105259659</v>
      </c>
    </row>
    <row r="67" spans="1:36" x14ac:dyDescent="0.35">
      <c r="A67" t="s">
        <v>77</v>
      </c>
      <c r="B67" t="s">
        <v>76</v>
      </c>
      <c r="C67" s="4" t="s">
        <v>66</v>
      </c>
      <c r="D67" s="3">
        <f t="shared" ca="1" si="77"/>
        <v>2.7632736491942755E-2</v>
      </c>
      <c r="E67" s="3">
        <f t="shared" ca="1" si="75"/>
        <v>2.7810539757163234E-2</v>
      </c>
      <c r="F67" s="3">
        <f t="shared" ca="1" si="75"/>
        <v>2.9996641439371106E-2</v>
      </c>
      <c r="G67" s="3">
        <f t="shared" ca="1" si="75"/>
        <v>3.0349656612801139E-2</v>
      </c>
      <c r="H67" s="3">
        <f t="shared" ca="1" si="75"/>
        <v>3.1333291726969789E-2</v>
      </c>
      <c r="I67" s="3">
        <f t="shared" ca="1" si="75"/>
        <v>3.235258037684012E-2</v>
      </c>
      <c r="J67" s="3">
        <f t="shared" ca="1" si="75"/>
        <v>3.3445257628025797E-2</v>
      </c>
      <c r="K67" s="3">
        <f t="shared" ca="1" si="75"/>
        <v>3.4064841418840357E-2</v>
      </c>
      <c r="L67" s="3">
        <f t="shared" ca="1" si="75"/>
        <v>3.5897893935762482E-2</v>
      </c>
      <c r="M67" s="3">
        <f t="shared" ca="1" si="75"/>
        <v>3.4838331764831122E-2</v>
      </c>
      <c r="N67" s="3">
        <f t="shared" ca="1" si="75"/>
        <v>3.884113723318823E-2</v>
      </c>
      <c r="O67" s="3">
        <f t="shared" ca="1" si="75"/>
        <v>3.5840562383286652E-2</v>
      </c>
      <c r="P67" s="3">
        <f t="shared" ca="1" si="75"/>
        <v>4.0863978985097679E-2</v>
      </c>
      <c r="Q67" s="3">
        <f t="shared" ca="1" si="75"/>
        <v>3.8833220359931003E-2</v>
      </c>
      <c r="R67" s="3">
        <f t="shared" ca="1" si="75"/>
        <v>4.2913690909378008E-2</v>
      </c>
      <c r="S67" s="3">
        <f t="shared" ca="1" si="75"/>
        <v>4.1678987199078345E-2</v>
      </c>
      <c r="T67" s="3">
        <f t="shared" ca="1" si="75"/>
        <v>4.3384162633159883E-2</v>
      </c>
      <c r="U67" s="3">
        <f t="shared" ca="1" si="75"/>
        <v>4.3174715616295607E-2</v>
      </c>
      <c r="V67" s="3">
        <f t="shared" ca="1" si="75"/>
        <v>4.7236651412355925E-2</v>
      </c>
      <c r="W67" s="3">
        <f t="shared" ca="1" si="75"/>
        <v>4.461209281712071E-2</v>
      </c>
      <c r="X67" s="3">
        <f t="shared" ca="1" si="75"/>
        <v>5.3799350238133925E-2</v>
      </c>
      <c r="Y67" s="3">
        <f t="shared" ca="1" si="75"/>
        <v>5.3492017354123969E-2</v>
      </c>
      <c r="Z67" s="3">
        <f t="shared" ca="1" si="75"/>
        <v>5.9061901596005439E-2</v>
      </c>
      <c r="AA67" s="3">
        <f t="shared" ca="1" si="75"/>
        <v>6.3290823616776043E-2</v>
      </c>
      <c r="AB67" s="3">
        <f t="shared" ref="AB67" ca="1" si="81">MIN(0.99,AB10+$O$3)</f>
        <v>6.3797018963729329E-2</v>
      </c>
      <c r="AC67" s="3">
        <f t="shared" ca="1" si="76"/>
        <v>7.3870820272367549E-2</v>
      </c>
      <c r="AD67" s="3">
        <f t="shared" ca="1" si="76"/>
        <v>6.9406851262124009E-2</v>
      </c>
      <c r="AE67" s="3">
        <f t="shared" ca="1" si="76"/>
        <v>8.3649428229579673E-2</v>
      </c>
      <c r="AF67" s="3">
        <f t="shared" ca="1" si="76"/>
        <v>7.9144691183232696E-2</v>
      </c>
      <c r="AG67" s="3">
        <f t="shared" ca="1" si="76"/>
        <v>9.0286691592781187E-2</v>
      </c>
      <c r="AH67" s="3">
        <f t="shared" ca="1" si="76"/>
        <v>0.1070979412835476</v>
      </c>
      <c r="AI67" s="3">
        <f t="shared" ca="1" si="76"/>
        <v>0.11658175699556841</v>
      </c>
      <c r="AJ67" s="3">
        <f t="shared" ca="1" si="76"/>
        <v>0.17333633138748025</v>
      </c>
    </row>
    <row r="68" spans="1:36" x14ac:dyDescent="0.35">
      <c r="A68" t="s">
        <v>77</v>
      </c>
      <c r="B68" t="s">
        <v>76</v>
      </c>
      <c r="C68" s="4">
        <v>3</v>
      </c>
      <c r="D68" s="3">
        <f t="shared" ca="1" si="77"/>
        <v>2.8535418899800331E-2</v>
      </c>
      <c r="E68" s="3">
        <f t="shared" ca="1" si="75"/>
        <v>2.8756847217422138E-2</v>
      </c>
      <c r="F68" s="3">
        <f t="shared" ca="1" si="75"/>
        <v>3.0902193381780692E-2</v>
      </c>
      <c r="G68" s="3">
        <f t="shared" ca="1" si="75"/>
        <v>3.1319356617259313E-2</v>
      </c>
      <c r="H68" s="3">
        <f t="shared" ca="1" si="75"/>
        <v>3.232440490878237E-2</v>
      </c>
      <c r="I68" s="3">
        <f t="shared" ca="1" si="75"/>
        <v>3.3321189068105724E-2</v>
      </c>
      <c r="J68" s="3">
        <f t="shared" ca="1" si="75"/>
        <v>3.4366055130992723E-2</v>
      </c>
      <c r="K68" s="3">
        <f t="shared" ca="1" si="75"/>
        <v>3.5054291289198666E-2</v>
      </c>
      <c r="L68" s="3">
        <f t="shared" ca="1" si="75"/>
        <v>3.6841578856936556E-2</v>
      </c>
      <c r="M68" s="3">
        <f t="shared" ca="1" si="75"/>
        <v>3.5799616003714382E-2</v>
      </c>
      <c r="N68" s="3">
        <f t="shared" ca="1" si="75"/>
        <v>3.9774661628305369E-2</v>
      </c>
      <c r="O68" s="3">
        <f t="shared" ca="1" si="75"/>
        <v>3.6819145554687842E-2</v>
      </c>
      <c r="P68" s="3">
        <f t="shared" ca="1" si="75"/>
        <v>4.1772022416589449E-2</v>
      </c>
      <c r="Q68" s="3">
        <f t="shared" ca="1" si="75"/>
        <v>3.9816667110201633E-2</v>
      </c>
      <c r="R68" s="3">
        <f t="shared" ca="1" si="75"/>
        <v>4.3900383735384595E-2</v>
      </c>
      <c r="S68" s="3">
        <f t="shared" ca="1" si="75"/>
        <v>4.2633224898428357E-2</v>
      </c>
      <c r="T68" s="3">
        <f t="shared" ca="1" si="75"/>
        <v>4.433632632314069E-2</v>
      </c>
      <c r="U68" s="3">
        <f t="shared" ca="1" si="75"/>
        <v>4.4170541774706383E-2</v>
      </c>
      <c r="V68" s="3">
        <f t="shared" ca="1" si="75"/>
        <v>4.8162682533392794E-2</v>
      </c>
      <c r="W68" s="3">
        <f t="shared" ca="1" si="75"/>
        <v>4.5576200663516378E-2</v>
      </c>
      <c r="X68" s="3">
        <f t="shared" ca="1" si="75"/>
        <v>5.4748592196886006E-2</v>
      </c>
      <c r="Y68" s="3">
        <f t="shared" ca="1" si="75"/>
        <v>5.4489087370722784E-2</v>
      </c>
      <c r="Z68" s="3">
        <f t="shared" ca="1" si="75"/>
        <v>6.0045434060242646E-2</v>
      </c>
      <c r="AA68" s="3">
        <f t="shared" ca="1" si="75"/>
        <v>6.4207726995219483E-2</v>
      </c>
      <c r="AB68" s="3">
        <f t="shared" ref="AB68" ca="1" si="82">MIN(0.99,AB11+$O$3)</f>
        <v>6.4753314758215857E-2</v>
      </c>
      <c r="AC68" s="3">
        <f t="shared" ca="1" si="76"/>
        <v>7.4779794575989197E-2</v>
      </c>
      <c r="AD68" s="3">
        <f t="shared" ca="1" si="76"/>
        <v>7.0321129724457615E-2</v>
      </c>
      <c r="AE68" s="3">
        <f t="shared" ca="1" si="76"/>
        <v>8.4554916437570918E-2</v>
      </c>
      <c r="AF68" s="3">
        <f t="shared" ca="1" si="76"/>
        <v>8.0087085794999235E-2</v>
      </c>
      <c r="AG68" s="3">
        <f t="shared" ca="1" si="76"/>
        <v>9.1264153112874113E-2</v>
      </c>
      <c r="AH68" s="3">
        <f t="shared" ca="1" si="76"/>
        <v>0.10809683715153912</v>
      </c>
      <c r="AI68" s="3">
        <f t="shared" ca="1" si="76"/>
        <v>0.11750365930736803</v>
      </c>
      <c r="AJ68" s="3">
        <f t="shared" ca="1" si="76"/>
        <v>0.17431590924834728</v>
      </c>
    </row>
    <row r="69" spans="1:36" x14ac:dyDescent="0.35">
      <c r="A69" t="s">
        <v>77</v>
      </c>
      <c r="B69" t="s">
        <v>76</v>
      </c>
      <c r="C69" s="4" t="s">
        <v>67</v>
      </c>
      <c r="D69" s="3">
        <f t="shared" ca="1" si="77"/>
        <v>2.9510622980847535E-2</v>
      </c>
      <c r="E69" s="3">
        <f t="shared" ca="1" si="75"/>
        <v>2.9705799362329352E-2</v>
      </c>
      <c r="F69" s="3">
        <f t="shared" ca="1" si="75"/>
        <v>3.1854124176218128E-2</v>
      </c>
      <c r="G69" s="3">
        <f t="shared" ca="1" si="75"/>
        <v>3.2267827144320048E-2</v>
      </c>
      <c r="H69" s="3">
        <f t="shared" ca="1" si="75"/>
        <v>3.3241966778974667E-2</v>
      </c>
      <c r="I69" s="3">
        <f t="shared" ca="1" si="75"/>
        <v>3.4260629029326924E-2</v>
      </c>
      <c r="J69" s="3">
        <f t="shared" ca="1" si="75"/>
        <v>3.5359835827577887E-2</v>
      </c>
      <c r="K69" s="3">
        <f t="shared" ca="1" si="75"/>
        <v>3.6008935136804199E-2</v>
      </c>
      <c r="L69" s="3">
        <f t="shared" ca="1" si="75"/>
        <v>3.7822250648340459E-2</v>
      </c>
      <c r="M69" s="3">
        <f t="shared" ca="1" si="75"/>
        <v>3.6762819786083589E-2</v>
      </c>
      <c r="N69" s="3">
        <f t="shared" ca="1" si="75"/>
        <v>4.073249575977482E-2</v>
      </c>
      <c r="O69" s="3">
        <f t="shared" ca="1" si="75"/>
        <v>3.7803701985589536E-2</v>
      </c>
      <c r="P69" s="3">
        <f t="shared" ca="1" si="75"/>
        <v>4.270411681172466E-2</v>
      </c>
      <c r="Q69" s="3">
        <f t="shared" ca="1" si="75"/>
        <v>4.0741243084011301E-2</v>
      </c>
      <c r="R69" s="3">
        <f t="shared" ca="1" si="75"/>
        <v>4.4830146296141161E-2</v>
      </c>
      <c r="S69" s="3">
        <f t="shared" ca="1" si="75"/>
        <v>4.3604001596953587E-2</v>
      </c>
      <c r="T69" s="3">
        <f t="shared" ca="1" si="75"/>
        <v>4.5260814987765408E-2</v>
      </c>
      <c r="U69" s="3">
        <f t="shared" ca="1" si="75"/>
        <v>4.5089939795012537E-2</v>
      </c>
      <c r="V69" s="3">
        <f t="shared" ca="1" si="75"/>
        <v>4.9078668308939394E-2</v>
      </c>
      <c r="W69" s="3">
        <f t="shared" ca="1" si="75"/>
        <v>4.6513808931606559E-2</v>
      </c>
      <c r="X69" s="3">
        <f t="shared" ca="1" si="75"/>
        <v>5.5682838270696818E-2</v>
      </c>
      <c r="Y69" s="3">
        <f t="shared" ca="1" si="75"/>
        <v>5.5435207387835146E-2</v>
      </c>
      <c r="Z69" s="3">
        <f t="shared" ca="1" si="75"/>
        <v>6.0962198162292591E-2</v>
      </c>
      <c r="AA69" s="3">
        <f t="shared" ca="1" si="75"/>
        <v>6.5202441290445584E-2</v>
      </c>
      <c r="AB69" s="3">
        <f t="shared" ref="AB69" ca="1" si="83">MIN(0.99,AB12+$O$3)</f>
        <v>6.5671610864655422E-2</v>
      </c>
      <c r="AC69" s="3">
        <f t="shared" ca="1" si="76"/>
        <v>7.5734017177726876E-2</v>
      </c>
      <c r="AD69" s="3">
        <f t="shared" ca="1" si="76"/>
        <v>7.1228043341401343E-2</v>
      </c>
      <c r="AE69" s="3">
        <f t="shared" ca="1" si="76"/>
        <v>8.5549592362791471E-2</v>
      </c>
      <c r="AF69" s="3">
        <f t="shared" ca="1" si="76"/>
        <v>8.1049294447893605E-2</v>
      </c>
      <c r="AG69" s="3">
        <f t="shared" ca="1" si="76"/>
        <v>9.2165781092361204E-2</v>
      </c>
      <c r="AH69" s="3">
        <f t="shared" ca="1" si="76"/>
        <v>0.10908362778977246</v>
      </c>
      <c r="AI69" s="3">
        <f t="shared" ca="1" si="76"/>
        <v>0.11842937782447535</v>
      </c>
      <c r="AJ69" s="3">
        <f t="shared" ca="1" si="76"/>
        <v>0.17527502747557741</v>
      </c>
    </row>
    <row r="70" spans="1:36" x14ac:dyDescent="0.35">
      <c r="A70" t="s">
        <v>77</v>
      </c>
      <c r="B70" t="s">
        <v>76</v>
      </c>
      <c r="C70" s="4" t="s">
        <v>68</v>
      </c>
      <c r="D70" s="3">
        <f t="shared" ca="1" si="77"/>
        <v>3.042201625209949E-2</v>
      </c>
      <c r="E70" s="3">
        <f t="shared" ca="1" si="75"/>
        <v>3.0649787593776526E-2</v>
      </c>
      <c r="F70" s="3">
        <f t="shared" ca="1" si="75"/>
        <v>3.2849350303095444E-2</v>
      </c>
      <c r="G70" s="3">
        <f t="shared" ca="1" si="75"/>
        <v>3.3214582663345094E-2</v>
      </c>
      <c r="H70" s="3">
        <f t="shared" ca="1" si="75"/>
        <v>3.4169522384931789E-2</v>
      </c>
      <c r="I70" s="3">
        <f t="shared" ca="1" si="75"/>
        <v>3.5249949219688367E-2</v>
      </c>
      <c r="J70" s="3">
        <f t="shared" ca="1" si="75"/>
        <v>3.6315778297119947E-2</v>
      </c>
      <c r="K70" s="3">
        <f t="shared" ca="1" si="75"/>
        <v>3.6955267408858336E-2</v>
      </c>
      <c r="L70" s="3">
        <f t="shared" ca="1" si="75"/>
        <v>3.876189308503046E-2</v>
      </c>
      <c r="M70" s="3">
        <f t="shared" ca="1" si="75"/>
        <v>3.7739408119132199E-2</v>
      </c>
      <c r="N70" s="3">
        <f t="shared" ca="1" si="75"/>
        <v>4.163882781521476E-2</v>
      </c>
      <c r="O70" s="3">
        <f t="shared" ca="1" si="75"/>
        <v>3.8803672328245851E-2</v>
      </c>
      <c r="P70" s="3">
        <f t="shared" ca="1" si="75"/>
        <v>4.3688162760386652E-2</v>
      </c>
      <c r="Q70" s="3">
        <f t="shared" ca="1" si="75"/>
        <v>4.1669036729938297E-2</v>
      </c>
      <c r="R70" s="3">
        <f t="shared" ca="1" si="75"/>
        <v>4.5739692308070991E-2</v>
      </c>
      <c r="S70" s="3">
        <f t="shared" ca="1" si="75"/>
        <v>4.4506900017459231E-2</v>
      </c>
      <c r="T70" s="3">
        <f t="shared" ca="1" si="75"/>
        <v>4.6182358962920923E-2</v>
      </c>
      <c r="U70" s="3">
        <f t="shared" ca="1" si="75"/>
        <v>4.6052843780424457E-2</v>
      </c>
      <c r="V70" s="3">
        <f t="shared" ca="1" si="75"/>
        <v>5.0029186935479308E-2</v>
      </c>
      <c r="W70" s="3">
        <f t="shared" ca="1" si="75"/>
        <v>4.7484583950980652E-2</v>
      </c>
      <c r="X70" s="3">
        <f t="shared" ca="1" si="75"/>
        <v>5.6671693500971551E-2</v>
      </c>
      <c r="Y70" s="3">
        <f t="shared" ca="1" si="75"/>
        <v>5.6351374772753857E-2</v>
      </c>
      <c r="Z70" s="3">
        <f t="shared" ca="1" si="75"/>
        <v>6.1875780244345306E-2</v>
      </c>
      <c r="AA70" s="3">
        <f t="shared" ca="1" si="75"/>
        <v>6.6111885582276819E-2</v>
      </c>
      <c r="AB70" s="3">
        <f t="shared" ref="AB70" ca="1" si="84">MIN(0.99,AB13+$O$3)</f>
        <v>6.6665847360598773E-2</v>
      </c>
      <c r="AC70" s="3">
        <f t="shared" ca="1" si="76"/>
        <v>7.6670777012293884E-2</v>
      </c>
      <c r="AD70" s="3">
        <f t="shared" ca="1" si="76"/>
        <v>7.2138271997898323E-2</v>
      </c>
      <c r="AE70" s="3">
        <f t="shared" ca="1" si="76"/>
        <v>8.6453371654723971E-2</v>
      </c>
      <c r="AF70" s="3">
        <f t="shared" ca="1" si="76"/>
        <v>8.195103742963912E-2</v>
      </c>
      <c r="AG70" s="3">
        <f t="shared" ca="1" si="76"/>
        <v>9.3135608880384246E-2</v>
      </c>
      <c r="AH70" s="3">
        <f t="shared" ca="1" si="76"/>
        <v>0.1100351421219711</v>
      </c>
      <c r="AI70" s="3">
        <f t="shared" ca="1" si="76"/>
        <v>0.11935640499901148</v>
      </c>
      <c r="AJ70" s="3">
        <f t="shared" ca="1" si="76"/>
        <v>0.17620785585581994</v>
      </c>
    </row>
    <row r="71" spans="1:36" x14ac:dyDescent="0.35">
      <c r="A71" t="s">
        <v>77</v>
      </c>
      <c r="B71" t="s">
        <v>76</v>
      </c>
      <c r="C71" s="4">
        <v>4</v>
      </c>
      <c r="D71" s="3">
        <f t="shared" ca="1" si="77"/>
        <v>3.1353697522748178E-2</v>
      </c>
      <c r="E71" s="3">
        <f t="shared" ca="1" si="75"/>
        <v>3.1621827350310286E-2</v>
      </c>
      <c r="F71" s="3">
        <f t="shared" ca="1" si="75"/>
        <v>3.3845392329472139E-2</v>
      </c>
      <c r="G71" s="3">
        <f t="shared" ca="1" si="75"/>
        <v>3.4139383439687643E-2</v>
      </c>
      <c r="H71" s="3">
        <f t="shared" ca="1" si="75"/>
        <v>3.5075058875749576E-2</v>
      </c>
      <c r="I71" s="3">
        <f t="shared" ca="1" si="75"/>
        <v>3.6166670557556048E-2</v>
      </c>
      <c r="J71" s="3">
        <f t="shared" ca="1" si="75"/>
        <v>3.7245464210301747E-2</v>
      </c>
      <c r="K71" s="3">
        <f t="shared" ca="1" si="75"/>
        <v>3.7879871362227674E-2</v>
      </c>
      <c r="L71" s="3">
        <f t="shared" ca="1" si="75"/>
        <v>3.9755308482763992E-2</v>
      </c>
      <c r="M71" s="3">
        <f t="shared" ca="1" si="75"/>
        <v>3.871104693920964E-2</v>
      </c>
      <c r="N71" s="3">
        <f t="shared" ca="1" si="75"/>
        <v>4.2589041605893233E-2</v>
      </c>
      <c r="O71" s="3">
        <f t="shared" ca="1" si="75"/>
        <v>3.9710756430602255E-2</v>
      </c>
      <c r="P71" s="3">
        <f t="shared" ca="1" si="75"/>
        <v>4.4592371834465946E-2</v>
      </c>
      <c r="Q71" s="3">
        <f t="shared" ca="1" si="75"/>
        <v>4.2667368477124892E-2</v>
      </c>
      <c r="R71" s="3">
        <f t="shared" ca="1" si="75"/>
        <v>4.6692499694547154E-2</v>
      </c>
      <c r="S71" s="3">
        <f t="shared" ca="1" si="75"/>
        <v>4.5468895932076168E-2</v>
      </c>
      <c r="T71" s="3">
        <f t="shared" ca="1" si="75"/>
        <v>4.7180190530957677E-2</v>
      </c>
      <c r="U71" s="3">
        <f t="shared" ca="1" si="75"/>
        <v>4.7023431437911364E-2</v>
      </c>
      <c r="V71" s="3">
        <f t="shared" ca="1" si="75"/>
        <v>5.0993280816635476E-2</v>
      </c>
      <c r="W71" s="3">
        <f t="shared" ca="1" si="75"/>
        <v>4.839221602780451E-2</v>
      </c>
      <c r="X71" s="3">
        <f t="shared" ca="1" si="75"/>
        <v>5.7584822502365206E-2</v>
      </c>
      <c r="Y71" s="3">
        <f t="shared" ca="1" si="75"/>
        <v>5.7328585201283207E-2</v>
      </c>
      <c r="Z71" s="3">
        <f t="shared" ca="1" si="75"/>
        <v>6.2777027839560309E-2</v>
      </c>
      <c r="AA71" s="3">
        <f t="shared" ca="1" si="75"/>
        <v>6.7015618671197125E-2</v>
      </c>
      <c r="AB71" s="3">
        <f t="shared" ref="AB71" ca="1" si="85">MIN(0.99,AB14+$O$3)</f>
        <v>6.7648664569886149E-2</v>
      </c>
      <c r="AC71" s="3">
        <f t="shared" ca="1" si="76"/>
        <v>7.7617280978708958E-2</v>
      </c>
      <c r="AD71" s="3">
        <f t="shared" ca="1" si="76"/>
        <v>7.3127294390794656E-2</v>
      </c>
      <c r="AE71" s="3">
        <f t="shared" ca="1" si="76"/>
        <v>8.7372679032820172E-2</v>
      </c>
      <c r="AF71" s="3">
        <f t="shared" ca="1" si="76"/>
        <v>8.2872124704446909E-2</v>
      </c>
      <c r="AG71" s="3">
        <f t="shared" ca="1" si="76"/>
        <v>9.4108030631885192E-2</v>
      </c>
      <c r="AH71" s="3">
        <f t="shared" ca="1" si="76"/>
        <v>0.11096661835791824</v>
      </c>
      <c r="AI71" s="3">
        <f t="shared" ca="1" si="76"/>
        <v>0.12031375578961187</v>
      </c>
      <c r="AJ71" s="3">
        <f t="shared" ca="1" si="76"/>
        <v>0.17716856842828727</v>
      </c>
    </row>
    <row r="72" spans="1:36" x14ac:dyDescent="0.35">
      <c r="A72" t="s">
        <v>77</v>
      </c>
      <c r="B72" t="s">
        <v>76</v>
      </c>
      <c r="C72" s="4" t="s">
        <v>69</v>
      </c>
      <c r="D72" s="3">
        <f t="shared" ca="1" si="77"/>
        <v>3.2321794182056426E-2</v>
      </c>
      <c r="E72" s="3">
        <f t="shared" ca="1" si="75"/>
        <v>3.2617147497803103E-2</v>
      </c>
      <c r="F72" s="3">
        <f t="shared" ca="1" si="75"/>
        <v>3.4786530317218067E-2</v>
      </c>
      <c r="G72" s="3">
        <f t="shared" ca="1" si="75"/>
        <v>3.5077026484538552E-2</v>
      </c>
      <c r="H72" s="3">
        <f t="shared" ca="1" si="75"/>
        <v>3.6003056957058556E-2</v>
      </c>
      <c r="I72" s="3">
        <f t="shared" ca="1" si="75"/>
        <v>3.7111435486877273E-2</v>
      </c>
      <c r="J72" s="3">
        <f t="shared" ca="1" si="75"/>
        <v>3.8222483490849522E-2</v>
      </c>
      <c r="K72" s="3">
        <f t="shared" ca="1" si="75"/>
        <v>3.8841121995803148E-2</v>
      </c>
      <c r="L72" s="3">
        <f t="shared" ca="1" si="75"/>
        <v>4.0723694744726036E-2</v>
      </c>
      <c r="M72" s="3">
        <f t="shared" ca="1" si="75"/>
        <v>3.9649290678108212E-2</v>
      </c>
      <c r="N72" s="3">
        <f t="shared" ca="1" si="75"/>
        <v>4.3515811346744059E-2</v>
      </c>
      <c r="O72" s="3">
        <f t="shared" ca="1" si="75"/>
        <v>4.0662621471962992E-2</v>
      </c>
      <c r="P72" s="3">
        <f t="shared" ca="1" si="75"/>
        <v>4.5540757391633831E-2</v>
      </c>
      <c r="Q72" s="3">
        <f t="shared" ca="1" si="75"/>
        <v>4.3657151963836967E-2</v>
      </c>
      <c r="R72" s="3">
        <f t="shared" ca="1" si="75"/>
        <v>4.7691279745688077E-2</v>
      </c>
      <c r="S72" s="3">
        <f t="shared" ca="1" si="75"/>
        <v>4.6456641665537257E-2</v>
      </c>
      <c r="T72" s="3">
        <f t="shared" ca="1" si="75"/>
        <v>4.8091798188571122E-2</v>
      </c>
      <c r="U72" s="3">
        <f t="shared" ca="1" si="75"/>
        <v>4.7932641023434606E-2</v>
      </c>
      <c r="V72" s="3">
        <f t="shared" ca="1" si="75"/>
        <v>5.1991299239981484E-2</v>
      </c>
      <c r="W72" s="3">
        <f t="shared" ca="1" si="75"/>
        <v>4.9375350655192204E-2</v>
      </c>
      <c r="X72" s="3">
        <f t="shared" ca="1" si="75"/>
        <v>5.8523825763146943E-2</v>
      </c>
      <c r="Y72" s="3">
        <f t="shared" ca="1" si="75"/>
        <v>5.8292073239655746E-2</v>
      </c>
      <c r="Z72" s="3">
        <f t="shared" ca="1" si="75"/>
        <v>6.3716902951887006E-2</v>
      </c>
      <c r="AA72" s="3">
        <f t="shared" ca="1" si="75"/>
        <v>6.7918922007563276E-2</v>
      </c>
      <c r="AB72" s="3">
        <f t="shared" ref="AB72" ca="1" si="86">MIN(0.99,AB15+$O$3)</f>
        <v>6.8607484743148095E-2</v>
      </c>
      <c r="AC72" s="3">
        <f t="shared" ca="1" si="76"/>
        <v>7.8534860762902253E-2</v>
      </c>
      <c r="AD72" s="3">
        <f t="shared" ca="1" si="76"/>
        <v>7.4072834968488113E-2</v>
      </c>
      <c r="AE72" s="3">
        <f t="shared" ca="1" si="76"/>
        <v>8.8371786005469327E-2</v>
      </c>
      <c r="AF72" s="3">
        <f t="shared" ca="1" si="76"/>
        <v>8.3870166430794882E-2</v>
      </c>
      <c r="AG72" s="3">
        <f t="shared" ca="1" si="76"/>
        <v>9.5103114173284514E-2</v>
      </c>
      <c r="AH72" s="3">
        <f t="shared" ca="1" si="76"/>
        <v>0.11195632339405448</v>
      </c>
      <c r="AI72" s="3">
        <f t="shared" ca="1" si="76"/>
        <v>0.1212305038990277</v>
      </c>
      <c r="AJ72" s="3">
        <f t="shared" ca="1" si="76"/>
        <v>0.17809447556301206</v>
      </c>
    </row>
    <row r="73" spans="1:36" x14ac:dyDescent="0.35">
      <c r="A73" t="s">
        <v>77</v>
      </c>
      <c r="B73" t="s">
        <v>76</v>
      </c>
      <c r="C73" s="4" t="s">
        <v>70</v>
      </c>
      <c r="D73" s="3">
        <f t="shared" ca="1" si="77"/>
        <v>3.3320062572296492E-2</v>
      </c>
      <c r="E73" s="3">
        <f t="shared" ca="1" si="75"/>
        <v>3.3538251139519193E-2</v>
      </c>
      <c r="F73" s="3">
        <f t="shared" ca="1" si="75"/>
        <v>3.5784089630028396E-2</v>
      </c>
      <c r="G73" s="3">
        <f t="shared" ca="1" si="75"/>
        <v>3.6025333612648987E-2</v>
      </c>
      <c r="H73" s="3">
        <f t="shared" ca="1" si="75"/>
        <v>3.7000467265193307E-2</v>
      </c>
      <c r="I73" s="3">
        <f t="shared" ca="1" si="75"/>
        <v>3.8097466589309605E-2</v>
      </c>
      <c r="J73" s="3">
        <f t="shared" ca="1" si="75"/>
        <v>3.9180294845313296E-2</v>
      </c>
      <c r="K73" s="3">
        <f t="shared" ca="1" si="75"/>
        <v>3.9815330208830629E-2</v>
      </c>
      <c r="L73" s="3">
        <f t="shared" ca="1" si="75"/>
        <v>4.1666312972172333E-2</v>
      </c>
      <c r="M73" s="3">
        <f t="shared" ca="1" si="75"/>
        <v>4.0603014671515933E-2</v>
      </c>
      <c r="N73" s="3">
        <f t="shared" ca="1" si="75"/>
        <v>4.450014817948101E-2</v>
      </c>
      <c r="O73" s="3">
        <f t="shared" ca="1" si="75"/>
        <v>4.1649534327212689E-2</v>
      </c>
      <c r="P73" s="3">
        <f t="shared" ca="1" si="75"/>
        <v>4.651507899607147E-2</v>
      </c>
      <c r="Q73" s="3">
        <f t="shared" ca="1" si="75"/>
        <v>4.4612446092076583E-2</v>
      </c>
      <c r="R73" s="3">
        <f t="shared" ca="1" si="75"/>
        <v>4.8608276079926765E-2</v>
      </c>
      <c r="S73" s="3">
        <f t="shared" ca="1" si="75"/>
        <v>4.7434890555675194E-2</v>
      </c>
      <c r="T73" s="3">
        <f t="shared" ca="1" si="75"/>
        <v>4.9081579213357721E-2</v>
      </c>
      <c r="U73" s="3">
        <f t="shared" ca="1" si="75"/>
        <v>4.8879508321764284E-2</v>
      </c>
      <c r="V73" s="3">
        <f t="shared" ca="1" si="75"/>
        <v>5.2956474773497304E-2</v>
      </c>
      <c r="W73" s="3">
        <f t="shared" ca="1" si="75"/>
        <v>5.0300556521033976E-2</v>
      </c>
      <c r="X73" s="3">
        <f t="shared" ca="1" si="75"/>
        <v>5.9449737581022087E-2</v>
      </c>
      <c r="Y73" s="3">
        <f t="shared" ca="1" si="75"/>
        <v>5.9291185344650554E-2</v>
      </c>
      <c r="Z73" s="3">
        <f t="shared" ca="1" si="75"/>
        <v>6.47037381027179E-2</v>
      </c>
      <c r="AA73" s="3">
        <f t="shared" ca="1" si="75"/>
        <v>6.8867247365775902E-2</v>
      </c>
      <c r="AB73" s="3">
        <f t="shared" ref="AB73" ca="1" si="87">MIN(0.99,AB16+$O$3)</f>
        <v>6.9522271760022292E-2</v>
      </c>
      <c r="AC73" s="3">
        <f t="shared" ca="1" si="76"/>
        <v>7.9483824815140991E-2</v>
      </c>
      <c r="AD73" s="3">
        <f t="shared" ca="1" si="76"/>
        <v>7.4993590714268518E-2</v>
      </c>
      <c r="AE73" s="3">
        <f t="shared" ca="1" si="76"/>
        <v>8.9341413037694606E-2</v>
      </c>
      <c r="AF73" s="3">
        <f t="shared" ca="1" si="76"/>
        <v>8.480462617265698E-2</v>
      </c>
      <c r="AG73" s="3">
        <f t="shared" ca="1" si="76"/>
        <v>9.6085122276809182E-2</v>
      </c>
      <c r="AH73" s="3">
        <f t="shared" ca="1" si="76"/>
        <v>0.11288126211553254</v>
      </c>
      <c r="AI73" s="3">
        <f t="shared" ca="1" si="76"/>
        <v>0.12218668280160666</v>
      </c>
      <c r="AJ73" s="3">
        <f t="shared" ca="1" si="76"/>
        <v>0.17904127982700893</v>
      </c>
    </row>
    <row r="74" spans="1:36" x14ac:dyDescent="0.35">
      <c r="A74" t="s">
        <v>77</v>
      </c>
      <c r="B74" t="s">
        <v>76</v>
      </c>
      <c r="C74" s="4">
        <v>5</v>
      </c>
      <c r="D74" s="3">
        <f t="shared" ca="1" si="77"/>
        <v>3.4290481775973519E-2</v>
      </c>
      <c r="E74" s="3">
        <f t="shared" ca="1" si="75"/>
        <v>3.4479441520624619E-2</v>
      </c>
      <c r="F74" s="3">
        <f t="shared" ca="1" si="75"/>
        <v>3.6745493164832811E-2</v>
      </c>
      <c r="G74" s="3">
        <f t="shared" ca="1" si="75"/>
        <v>3.6925403352093621E-2</v>
      </c>
      <c r="H74" s="3">
        <f t="shared" ca="1" si="75"/>
        <v>3.7943915025675373E-2</v>
      </c>
      <c r="I74" s="3">
        <f t="shared" ca="1" si="75"/>
        <v>3.9036207290582506E-2</v>
      </c>
      <c r="J74" s="3">
        <f t="shared" ca="1" si="75"/>
        <v>4.0168864345776704E-2</v>
      </c>
      <c r="K74" s="3">
        <f t="shared" ca="1" si="75"/>
        <v>4.0784152021837827E-2</v>
      </c>
      <c r="L74" s="3">
        <f t="shared" ca="1" si="75"/>
        <v>4.260109605798304E-2</v>
      </c>
      <c r="M74" s="3">
        <f t="shared" ca="1" si="75"/>
        <v>4.1512547071963599E-2</v>
      </c>
      <c r="N74" s="3">
        <f t="shared" ca="1" si="75"/>
        <v>4.5472245662050451E-2</v>
      </c>
      <c r="O74" s="3">
        <f t="shared" ca="1" si="75"/>
        <v>4.2647524861742669E-2</v>
      </c>
      <c r="P74" s="3">
        <f t="shared" ca="1" si="75"/>
        <v>4.745826008245084E-2</v>
      </c>
      <c r="Q74" s="3">
        <f t="shared" ca="1" si="75"/>
        <v>4.555987316373547E-2</v>
      </c>
      <c r="R74" s="3">
        <f t="shared" ca="1" si="75"/>
        <v>4.9602352222499771E-2</v>
      </c>
      <c r="S74" s="3">
        <f t="shared" ca="1" si="75"/>
        <v>4.8419820099609649E-2</v>
      </c>
      <c r="T74" s="3">
        <f t="shared" ca="1" si="75"/>
        <v>5.0051564396724466E-2</v>
      </c>
      <c r="U74" s="3">
        <f t="shared" ca="1" si="75"/>
        <v>4.9835606087200418E-2</v>
      </c>
      <c r="V74" s="3">
        <f t="shared" ref="E74:AA85" ca="1" si="88">MIN(0.99,V17+$O$3)</f>
        <v>5.3939011627139113E-2</v>
      </c>
      <c r="W74" s="3">
        <f t="shared" ca="1" si="88"/>
        <v>5.1259675682486537E-2</v>
      </c>
      <c r="X74" s="3">
        <f t="shared" ca="1" si="88"/>
        <v>6.0423814987167909E-2</v>
      </c>
      <c r="Y74" s="3">
        <f t="shared" ca="1" si="88"/>
        <v>6.0286224095366971E-2</v>
      </c>
      <c r="Z74" s="3">
        <f t="shared" ca="1" si="88"/>
        <v>6.563341412482146E-2</v>
      </c>
      <c r="AA74" s="3">
        <f t="shared" ca="1" si="88"/>
        <v>6.9812541998760275E-2</v>
      </c>
      <c r="AB74" s="3">
        <f t="shared" ref="AB74" ca="1" si="89">MIN(0.99,AB17+$O$3)</f>
        <v>7.0518606168177372E-2</v>
      </c>
      <c r="AC74" s="3">
        <f t="shared" ca="1" si="76"/>
        <v>8.0482016904741618E-2</v>
      </c>
      <c r="AD74" s="3">
        <f t="shared" ca="1" si="76"/>
        <v>7.5946838091091415E-2</v>
      </c>
      <c r="AE74" s="3">
        <f t="shared" ca="1" si="76"/>
        <v>9.0302592756005828E-2</v>
      </c>
      <c r="AF74" s="3">
        <f t="shared" ca="1" si="76"/>
        <v>8.5785414386521097E-2</v>
      </c>
      <c r="AG74" s="3">
        <f t="shared" ca="1" si="76"/>
        <v>9.70261230253959E-2</v>
      </c>
      <c r="AH74" s="3">
        <f t="shared" ca="1" si="76"/>
        <v>0.11387939033161307</v>
      </c>
      <c r="AI74" s="3">
        <f t="shared" ca="1" si="76"/>
        <v>0.12313860465451817</v>
      </c>
      <c r="AJ74" s="3">
        <f t="shared" ca="1" si="76"/>
        <v>0.17998523237737785</v>
      </c>
    </row>
    <row r="75" spans="1:36" x14ac:dyDescent="0.35">
      <c r="A75" t="s">
        <v>77</v>
      </c>
      <c r="B75" t="s">
        <v>76</v>
      </c>
      <c r="C75" s="4" t="s">
        <v>71</v>
      </c>
      <c r="D75" s="3">
        <f t="shared" ca="1" si="77"/>
        <v>3.5252315814816165E-2</v>
      </c>
      <c r="E75" s="3">
        <f t="shared" ca="1" si="88"/>
        <v>3.5437199667640092E-2</v>
      </c>
      <c r="F75" s="3">
        <f t="shared" ca="1" si="88"/>
        <v>3.7660333644560708E-2</v>
      </c>
      <c r="G75" s="3">
        <f t="shared" ca="1" si="88"/>
        <v>3.7869082976222268E-2</v>
      </c>
      <c r="H75" s="3">
        <f t="shared" ca="1" si="88"/>
        <v>3.8886063899263051E-2</v>
      </c>
      <c r="I75" s="3">
        <f t="shared" ca="1" si="88"/>
        <v>3.9966169586575208E-2</v>
      </c>
      <c r="J75" s="3">
        <f t="shared" ca="1" si="88"/>
        <v>4.1106491918994389E-2</v>
      </c>
      <c r="K75" s="3">
        <f t="shared" ca="1" si="88"/>
        <v>4.1761875681039326E-2</v>
      </c>
      <c r="L75" s="3">
        <f t="shared" ca="1" si="88"/>
        <v>4.3592385185048127E-2</v>
      </c>
      <c r="M75" s="3">
        <f t="shared" ca="1" si="88"/>
        <v>4.2434156758302151E-2</v>
      </c>
      <c r="N75" s="3">
        <f t="shared" ca="1" si="88"/>
        <v>4.6465510718404567E-2</v>
      </c>
      <c r="O75" s="3">
        <f t="shared" ca="1" si="88"/>
        <v>4.361631836762557E-2</v>
      </c>
      <c r="P75" s="3">
        <f t="shared" ca="1" si="88"/>
        <v>4.8366683199747726E-2</v>
      </c>
      <c r="Q75" s="3">
        <f t="shared" ca="1" si="88"/>
        <v>4.6492329944718525E-2</v>
      </c>
      <c r="R75" s="3">
        <f t="shared" ca="1" si="88"/>
        <v>5.0521281351998223E-2</v>
      </c>
      <c r="S75" s="3">
        <f t="shared" ca="1" si="88"/>
        <v>4.9372957799791152E-2</v>
      </c>
      <c r="T75" s="3">
        <f t="shared" ca="1" si="88"/>
        <v>5.1014582899917983E-2</v>
      </c>
      <c r="U75" s="3">
        <f t="shared" ca="1" si="88"/>
        <v>5.0748606684286629E-2</v>
      </c>
      <c r="V75" s="3">
        <f t="shared" ca="1" si="88"/>
        <v>5.4914908918971814E-2</v>
      </c>
      <c r="W75" s="3">
        <f t="shared" ca="1" si="88"/>
        <v>5.2194419073828047E-2</v>
      </c>
      <c r="X75" s="3">
        <f t="shared" ca="1" si="88"/>
        <v>6.1405021625515671E-2</v>
      </c>
      <c r="Y75" s="3">
        <f t="shared" ca="1" si="88"/>
        <v>6.1245743187725375E-2</v>
      </c>
      <c r="Z75" s="3">
        <f t="shared" ca="1" si="88"/>
        <v>6.6587422231627516E-2</v>
      </c>
      <c r="AA75" s="3">
        <f t="shared" ca="1" si="88"/>
        <v>7.0812046341835633E-2</v>
      </c>
      <c r="AB75" s="3">
        <f t="shared" ref="AB75" ca="1" si="90">MIN(0.99,AB18+$O$3)</f>
        <v>7.1481133173866895E-2</v>
      </c>
      <c r="AC75" s="3">
        <f t="shared" ca="1" si="76"/>
        <v>8.1443668723246543E-2</v>
      </c>
      <c r="AD75" s="3">
        <f t="shared" ca="1" si="76"/>
        <v>7.6924752629194029E-2</v>
      </c>
      <c r="AE75" s="3">
        <f t="shared" ca="1" si="76"/>
        <v>9.1262066743059811E-2</v>
      </c>
      <c r="AF75" s="3">
        <f t="shared" ca="1" si="76"/>
        <v>8.6743806383389799E-2</v>
      </c>
      <c r="AG75" s="3">
        <f t="shared" ca="1" si="76"/>
        <v>9.8005719282346193E-2</v>
      </c>
      <c r="AH75" s="3">
        <f t="shared" ca="1" si="76"/>
        <v>0.11485829682867119</v>
      </c>
      <c r="AI75" s="3">
        <f t="shared" ca="1" si="76"/>
        <v>0.12404711762559195</v>
      </c>
      <c r="AJ75" s="3">
        <f t="shared" ca="1" si="76"/>
        <v>0.18097103985528301</v>
      </c>
    </row>
    <row r="76" spans="1:36" x14ac:dyDescent="0.35">
      <c r="A76" t="s">
        <v>77</v>
      </c>
      <c r="B76" t="s">
        <v>76</v>
      </c>
      <c r="C76" s="4" t="s">
        <v>72</v>
      </c>
      <c r="D76" s="3">
        <f t="shared" ca="1" si="77"/>
        <v>3.6152445030916927E-2</v>
      </c>
      <c r="E76" s="3">
        <f t="shared" ca="1" si="88"/>
        <v>3.6350829701458816E-2</v>
      </c>
      <c r="F76" s="3">
        <f t="shared" ca="1" si="88"/>
        <v>3.8580161000270966E-2</v>
      </c>
      <c r="G76" s="3">
        <f t="shared" ca="1" si="88"/>
        <v>3.8825488412896861E-2</v>
      </c>
      <c r="H76" s="3">
        <f t="shared" ca="1" si="88"/>
        <v>3.9798407985671448E-2</v>
      </c>
      <c r="I76" s="3">
        <f t="shared" ca="1" si="88"/>
        <v>4.0942231093108489E-2</v>
      </c>
      <c r="J76" s="3">
        <f t="shared" ca="1" si="88"/>
        <v>4.2009096113489686E-2</v>
      </c>
      <c r="K76" s="3">
        <f t="shared" ca="1" si="88"/>
        <v>4.2680613761538783E-2</v>
      </c>
      <c r="L76" s="3">
        <f t="shared" ca="1" si="88"/>
        <v>4.4579345557199987E-2</v>
      </c>
      <c r="M76" s="3">
        <f t="shared" ca="1" si="88"/>
        <v>4.3408197683742156E-2</v>
      </c>
      <c r="N76" s="3">
        <f t="shared" ca="1" si="88"/>
        <v>4.7415099592844456E-2</v>
      </c>
      <c r="O76" s="3">
        <f t="shared" ca="1" si="88"/>
        <v>4.4614953832701365E-2</v>
      </c>
      <c r="P76" s="3">
        <f t="shared" ca="1" si="88"/>
        <v>4.9334759832945253E-2</v>
      </c>
      <c r="Q76" s="3">
        <f t="shared" ca="1" si="88"/>
        <v>4.7470127589873706E-2</v>
      </c>
      <c r="R76" s="3">
        <f t="shared" ca="1" si="88"/>
        <v>5.15060157683217E-2</v>
      </c>
      <c r="S76" s="3">
        <f t="shared" ca="1" si="88"/>
        <v>5.0310219539041981E-2</v>
      </c>
      <c r="T76" s="3">
        <f t="shared" ca="1" si="88"/>
        <v>5.1925925344397134E-2</v>
      </c>
      <c r="U76" s="3">
        <f t="shared" ca="1" si="88"/>
        <v>5.1737723038825491E-2</v>
      </c>
      <c r="V76" s="3">
        <f t="shared" ca="1" si="88"/>
        <v>5.5833397104936421E-2</v>
      </c>
      <c r="W76" s="3">
        <f t="shared" ca="1" si="88"/>
        <v>5.3111173693610597E-2</v>
      </c>
      <c r="X76" s="3">
        <f t="shared" ca="1" si="88"/>
        <v>6.2400387702887992E-2</v>
      </c>
      <c r="Y76" s="3">
        <f t="shared" ca="1" si="88"/>
        <v>6.2212145655377242E-2</v>
      </c>
      <c r="Z76" s="3">
        <f t="shared" ca="1" si="88"/>
        <v>6.7512506580291939E-2</v>
      </c>
      <c r="AA76" s="3">
        <f t="shared" ca="1" si="88"/>
        <v>7.1736347948423457E-2</v>
      </c>
      <c r="AB76" s="3">
        <f t="shared" ref="AB76" ca="1" si="91">MIN(0.99,AB19+$O$3)</f>
        <v>7.2467480710824816E-2</v>
      </c>
      <c r="AC76" s="3">
        <f t="shared" ca="1" si="76"/>
        <v>8.2375486760457528E-2</v>
      </c>
      <c r="AD76" s="3">
        <f t="shared" ca="1" si="76"/>
        <v>7.7883747964579808E-2</v>
      </c>
      <c r="AE76" s="3">
        <f t="shared" ca="1" si="76"/>
        <v>9.2166855258105529E-2</v>
      </c>
      <c r="AF76" s="3">
        <f t="shared" ca="1" si="76"/>
        <v>8.7686936452228997E-2</v>
      </c>
      <c r="AG76" s="3">
        <f t="shared" ca="1" si="76"/>
        <v>9.893169798160284E-2</v>
      </c>
      <c r="AH76" s="3">
        <f t="shared" ca="1" si="76"/>
        <v>0.11579916474548538</v>
      </c>
      <c r="AI76" s="3">
        <f t="shared" ca="1" si="76"/>
        <v>0.12496599081363205</v>
      </c>
      <c r="AJ76" s="3">
        <f t="shared" ca="1" si="76"/>
        <v>0.18188969352085779</v>
      </c>
    </row>
    <row r="77" spans="1:36" x14ac:dyDescent="0.35">
      <c r="A77" t="s">
        <v>77</v>
      </c>
      <c r="B77" t="s">
        <v>76</v>
      </c>
      <c r="C77" s="4">
        <v>6</v>
      </c>
      <c r="D77" s="3">
        <f t="shared" ca="1" si="77"/>
        <v>3.7103925523829615E-2</v>
      </c>
      <c r="E77" s="3">
        <f t="shared" ca="1" si="88"/>
        <v>3.7273480413622356E-2</v>
      </c>
      <c r="F77" s="3">
        <f t="shared" ca="1" si="88"/>
        <v>3.9484260479984157E-2</v>
      </c>
      <c r="G77" s="3">
        <f t="shared" ca="1" si="88"/>
        <v>3.9784990179027438E-2</v>
      </c>
      <c r="H77" s="3">
        <f t="shared" ca="1" si="88"/>
        <v>4.0746432107819031E-2</v>
      </c>
      <c r="I77" s="3">
        <f t="shared" ca="1" si="88"/>
        <v>4.1924662333216428E-2</v>
      </c>
      <c r="J77" s="3">
        <f t="shared" ca="1" si="88"/>
        <v>4.2979100515904894E-2</v>
      </c>
      <c r="K77" s="3">
        <f t="shared" ca="1" si="88"/>
        <v>4.3643417586740563E-2</v>
      </c>
      <c r="L77" s="3">
        <f t="shared" ca="1" si="88"/>
        <v>4.5548114463104583E-2</v>
      </c>
      <c r="M77" s="3">
        <f t="shared" ca="1" si="88"/>
        <v>4.4387711815409479E-2</v>
      </c>
      <c r="N77" s="3">
        <f t="shared" ca="1" si="88"/>
        <v>4.832986742779026E-2</v>
      </c>
      <c r="O77" s="3">
        <f t="shared" ca="1" si="88"/>
        <v>4.554893173846828E-2</v>
      </c>
      <c r="P77" s="3">
        <f t="shared" ca="1" si="88"/>
        <v>5.0281455029663913E-2</v>
      </c>
      <c r="Q77" s="3">
        <f t="shared" ca="1" si="88"/>
        <v>4.840478690063911E-2</v>
      </c>
      <c r="R77" s="3">
        <f t="shared" ca="1" si="88"/>
        <v>5.241363236616467E-2</v>
      </c>
      <c r="S77" s="3">
        <f t="shared" ca="1" si="88"/>
        <v>5.1231757462390011E-2</v>
      </c>
      <c r="T77" s="3">
        <f t="shared" ca="1" si="88"/>
        <v>5.2865839441618004E-2</v>
      </c>
      <c r="U77" s="3">
        <f t="shared" ca="1" si="88"/>
        <v>5.2651666601106012E-2</v>
      </c>
      <c r="V77" s="3">
        <f t="shared" ca="1" si="88"/>
        <v>5.6807452264244739E-2</v>
      </c>
      <c r="W77" s="3">
        <f t="shared" ca="1" si="88"/>
        <v>5.4069344767362096E-2</v>
      </c>
      <c r="X77" s="3">
        <f t="shared" ca="1" si="88"/>
        <v>6.333571279416883E-2</v>
      </c>
      <c r="Y77" s="3">
        <f t="shared" ca="1" si="88"/>
        <v>6.3119962252992351E-2</v>
      </c>
      <c r="Z77" s="3">
        <f t="shared" ca="1" si="88"/>
        <v>6.847223979345711E-2</v>
      </c>
      <c r="AA77" s="3">
        <f t="shared" ca="1" si="88"/>
        <v>7.268728917574642E-2</v>
      </c>
      <c r="AB77" s="3">
        <f t="shared" ref="AB77" ca="1" si="92">MIN(0.99,AB20+$O$3)</f>
        <v>7.33696232075432E-2</v>
      </c>
      <c r="AC77" s="3">
        <f t="shared" ca="1" si="76"/>
        <v>8.3349953632745194E-2</v>
      </c>
      <c r="AD77" s="3">
        <f t="shared" ca="1" si="76"/>
        <v>7.8818404522337626E-2</v>
      </c>
      <c r="AE77" s="3">
        <f t="shared" ca="1" si="76"/>
        <v>9.3153739272858221E-2</v>
      </c>
      <c r="AF77" s="3">
        <f t="shared" ca="1" si="76"/>
        <v>8.8680560202234332E-2</v>
      </c>
      <c r="AG77" s="3">
        <f t="shared" ca="1" si="76"/>
        <v>9.9875569737770398E-2</v>
      </c>
      <c r="AH77" s="3">
        <f t="shared" ca="1" si="76"/>
        <v>0.11675955657050127</v>
      </c>
      <c r="AI77" s="3">
        <f t="shared" ca="1" si="76"/>
        <v>0.12594268838125666</v>
      </c>
      <c r="AJ77" s="3">
        <f t="shared" ca="1" si="76"/>
        <v>0.18283526118322763</v>
      </c>
    </row>
    <row r="78" spans="1:36" x14ac:dyDescent="0.35">
      <c r="A78" t="s">
        <v>77</v>
      </c>
      <c r="B78" t="s">
        <v>76</v>
      </c>
      <c r="C78" s="4" t="s">
        <v>73</v>
      </c>
      <c r="D78" s="3">
        <f t="shared" ca="1" si="77"/>
        <v>3.8076343410252164E-2</v>
      </c>
      <c r="E78" s="3">
        <f t="shared" ca="1" si="88"/>
        <v>3.8220448312122117E-2</v>
      </c>
      <c r="F78" s="3">
        <f t="shared" ca="1" si="88"/>
        <v>4.0474475509503449E-2</v>
      </c>
      <c r="G78" s="3">
        <f t="shared" ca="1" si="88"/>
        <v>4.0761084793114286E-2</v>
      </c>
      <c r="H78" s="3">
        <f t="shared" ca="1" si="88"/>
        <v>4.1744522938184481E-2</v>
      </c>
      <c r="I78" s="3">
        <f t="shared" ca="1" si="88"/>
        <v>4.2897788197689149E-2</v>
      </c>
      <c r="J78" s="3">
        <f t="shared" ca="1" si="88"/>
        <v>4.3883185304970873E-2</v>
      </c>
      <c r="K78" s="3">
        <f t="shared" ca="1" si="88"/>
        <v>4.4607880304561739E-2</v>
      </c>
      <c r="L78" s="3">
        <f t="shared" ca="1" si="88"/>
        <v>4.6455920816493607E-2</v>
      </c>
      <c r="M78" s="3">
        <f t="shared" ca="1" si="88"/>
        <v>4.5288634924567292E-2</v>
      </c>
      <c r="N78" s="3">
        <f t="shared" ca="1" si="88"/>
        <v>4.9311145294651637E-2</v>
      </c>
      <c r="O78" s="3">
        <f t="shared" ca="1" si="88"/>
        <v>4.6452283815432649E-2</v>
      </c>
      <c r="P78" s="3">
        <f t="shared" ca="1" si="88"/>
        <v>5.1272247291273942E-2</v>
      </c>
      <c r="Q78" s="3">
        <f t="shared" ca="1" si="88"/>
        <v>4.9322726460812649E-2</v>
      </c>
      <c r="R78" s="3">
        <f t="shared" ca="1" si="88"/>
        <v>5.3397149081169271E-2</v>
      </c>
      <c r="S78" s="3">
        <f t="shared" ca="1" si="88"/>
        <v>5.2179343186951305E-2</v>
      </c>
      <c r="T78" s="3">
        <f t="shared" ca="1" si="88"/>
        <v>5.3818966535687081E-2</v>
      </c>
      <c r="U78" s="3">
        <f t="shared" ca="1" si="88"/>
        <v>5.3555167541427307E-2</v>
      </c>
      <c r="V78" s="3">
        <f t="shared" ca="1" si="88"/>
        <v>5.7748233990400494E-2</v>
      </c>
      <c r="W78" s="3">
        <f t="shared" ca="1" si="88"/>
        <v>5.5030469659940073E-2</v>
      </c>
      <c r="X78" s="3">
        <f t="shared" ca="1" si="88"/>
        <v>6.423723151594006E-2</v>
      </c>
      <c r="Y78" s="3">
        <f t="shared" ca="1" si="88"/>
        <v>6.4040881082994466E-2</v>
      </c>
      <c r="Z78" s="3">
        <f t="shared" ca="1" si="88"/>
        <v>6.9463222183403062E-2</v>
      </c>
      <c r="AA78" s="3">
        <f t="shared" ca="1" si="88"/>
        <v>7.3627256529838314E-2</v>
      </c>
      <c r="AB78" s="3">
        <f t="shared" ref="AB78" ca="1" si="93">MIN(0.99,AB21+$O$3)</f>
        <v>7.433022564033348E-2</v>
      </c>
      <c r="AC78" s="3">
        <f t="shared" ca="1" si="76"/>
        <v>8.4267167041067015E-2</v>
      </c>
      <c r="AD78" s="3">
        <f t="shared" ca="1" si="76"/>
        <v>7.9726376327012377E-2</v>
      </c>
      <c r="AE78" s="3">
        <f t="shared" ca="1" si="76"/>
        <v>9.4093762480073756E-2</v>
      </c>
      <c r="AF78" s="3">
        <f t="shared" ca="1" si="76"/>
        <v>8.962933772390283E-2</v>
      </c>
      <c r="AG78" s="3">
        <f t="shared" ca="1" si="76"/>
        <v>0.10078160364646946</v>
      </c>
      <c r="AH78" s="3">
        <f t="shared" ca="1" si="76"/>
        <v>0.11768443861067618</v>
      </c>
      <c r="AI78" s="3">
        <f t="shared" ca="1" si="76"/>
        <v>0.12691532296838084</v>
      </c>
      <c r="AJ78" s="3">
        <f t="shared" ca="1" si="76"/>
        <v>0.18376592350239432</v>
      </c>
    </row>
    <row r="79" spans="1:36" x14ac:dyDescent="0.35">
      <c r="A79" t="s">
        <v>77</v>
      </c>
      <c r="B79" t="s">
        <v>76</v>
      </c>
      <c r="C79" s="4" t="s">
        <v>74</v>
      </c>
      <c r="D79" s="3">
        <f t="shared" ca="1" si="77"/>
        <v>3.897763928951084E-2</v>
      </c>
      <c r="E79" s="3">
        <f t="shared" ca="1" si="88"/>
        <v>3.9185436779868521E-2</v>
      </c>
      <c r="F79" s="3">
        <f t="shared" ca="1" si="88"/>
        <v>4.1439383080087586E-2</v>
      </c>
      <c r="G79" s="3">
        <f t="shared" ca="1" si="88"/>
        <v>4.1707938263329608E-2</v>
      </c>
      <c r="H79" s="3">
        <f t="shared" ca="1" si="88"/>
        <v>4.272831419804779E-2</v>
      </c>
      <c r="I79" s="3">
        <f t="shared" ca="1" si="88"/>
        <v>4.3799586844370408E-2</v>
      </c>
      <c r="J79" s="3">
        <f t="shared" ca="1" si="88"/>
        <v>4.4878908646493305E-2</v>
      </c>
      <c r="K79" s="3">
        <f t="shared" ca="1" si="88"/>
        <v>4.559224066381326E-2</v>
      </c>
      <c r="L79" s="3">
        <f t="shared" ca="1" si="88"/>
        <v>4.7443325354229259E-2</v>
      </c>
      <c r="M79" s="3">
        <f t="shared" ca="1" si="88"/>
        <v>4.6265813482198298E-2</v>
      </c>
      <c r="N79" s="3">
        <f t="shared" ca="1" si="88"/>
        <v>5.0307272751339643E-2</v>
      </c>
      <c r="O79" s="3">
        <f t="shared" ca="1" si="88"/>
        <v>4.7391280638935267E-2</v>
      </c>
      <c r="P79" s="3">
        <f t="shared" ca="1" si="88"/>
        <v>5.2183006535830051E-2</v>
      </c>
      <c r="Q79" s="3">
        <f t="shared" ca="1" si="88"/>
        <v>5.0242322027796986E-2</v>
      </c>
      <c r="R79" s="3">
        <f t="shared" ca="1" si="88"/>
        <v>5.4313369639595613E-2</v>
      </c>
      <c r="S79" s="3">
        <f t="shared" ca="1" si="88"/>
        <v>5.3124709990082959E-2</v>
      </c>
      <c r="T79" s="3">
        <f t="shared" ca="1" si="88"/>
        <v>5.4790822628961941E-2</v>
      </c>
      <c r="U79" s="3">
        <f t="shared" ca="1" si="88"/>
        <v>5.4501393744067636E-2</v>
      </c>
      <c r="V79" s="3">
        <f t="shared" ca="1" si="88"/>
        <v>5.8724209770869285E-2</v>
      </c>
      <c r="W79" s="3">
        <f t="shared" ca="1" si="88"/>
        <v>5.6028908521711822E-2</v>
      </c>
      <c r="X79" s="3">
        <f t="shared" ca="1" si="88"/>
        <v>6.5211591835553639E-2</v>
      </c>
      <c r="Y79" s="3">
        <f t="shared" ca="1" si="88"/>
        <v>6.4957097827992499E-2</v>
      </c>
      <c r="Z79" s="3">
        <f t="shared" ca="1" si="88"/>
        <v>7.0427681368468775E-2</v>
      </c>
      <c r="AA79" s="3">
        <f t="shared" ca="1" si="88"/>
        <v>7.458193720008563E-2</v>
      </c>
      <c r="AB79" s="3">
        <f t="shared" ref="AB79:AJ94" ca="1" si="94">MIN(0.99,AB22+$O$3)</f>
        <v>7.5289124051551304E-2</v>
      </c>
      <c r="AC79" s="3">
        <f t="shared" ca="1" si="94"/>
        <v>8.5172249048327806E-2</v>
      </c>
      <c r="AD79" s="3">
        <f t="shared" ca="1" si="94"/>
        <v>8.0716600628391061E-2</v>
      </c>
      <c r="AE79" s="3">
        <f t="shared" ca="1" si="94"/>
        <v>9.5017728469283996E-2</v>
      </c>
      <c r="AF79" s="3">
        <f t="shared" ca="1" si="94"/>
        <v>9.0606794667857038E-2</v>
      </c>
      <c r="AG79" s="3">
        <f t="shared" ca="1" si="94"/>
        <v>0.10171653063188432</v>
      </c>
      <c r="AH79" s="3">
        <f t="shared" ca="1" si="94"/>
        <v>0.11861833689731144</v>
      </c>
      <c r="AI79" s="3">
        <f t="shared" ca="1" si="94"/>
        <v>0.12788614259121348</v>
      </c>
      <c r="AJ79" s="3">
        <f t="shared" ca="1" si="94"/>
        <v>0.18473333340118234</v>
      </c>
    </row>
    <row r="80" spans="1:36" x14ac:dyDescent="0.35">
      <c r="A80" t="s">
        <v>77</v>
      </c>
      <c r="B80" t="s">
        <v>76</v>
      </c>
      <c r="C80" s="4">
        <v>7</v>
      </c>
      <c r="D80" s="3">
        <f t="shared" ca="1" si="77"/>
        <v>3.9917500457153476E-2</v>
      </c>
      <c r="E80" s="3">
        <f t="shared" ca="1" si="88"/>
        <v>4.0145254027243796E-2</v>
      </c>
      <c r="F80" s="3">
        <f t="shared" ca="1" si="88"/>
        <v>4.240207998671032E-2</v>
      </c>
      <c r="G80" s="3">
        <f t="shared" ca="1" si="88"/>
        <v>4.2655961922810647E-2</v>
      </c>
      <c r="H80" s="3">
        <f t="shared" ca="1" si="88"/>
        <v>4.369369579748994E-2</v>
      </c>
      <c r="I80" s="3">
        <f t="shared" ca="1" si="88"/>
        <v>4.4712770370238325E-2</v>
      </c>
      <c r="J80" s="3">
        <f t="shared" ca="1" si="88"/>
        <v>4.5802021895231859E-2</v>
      </c>
      <c r="K80" s="3">
        <f t="shared" ca="1" si="88"/>
        <v>4.6565803889783909E-2</v>
      </c>
      <c r="L80" s="3">
        <f t="shared" ca="1" si="88"/>
        <v>4.8391266178167081E-2</v>
      </c>
      <c r="M80" s="3">
        <f t="shared" ca="1" si="88"/>
        <v>4.7253252161495854E-2</v>
      </c>
      <c r="N80" s="3">
        <f t="shared" ca="1" si="88"/>
        <v>5.1303183100044204E-2</v>
      </c>
      <c r="O80" s="3">
        <f t="shared" ca="1" si="88"/>
        <v>4.8313826593341797E-2</v>
      </c>
      <c r="P80" s="3">
        <f t="shared" ca="1" si="88"/>
        <v>5.3115654610217854E-2</v>
      </c>
      <c r="Q80" s="3">
        <f t="shared" ca="1" si="88"/>
        <v>5.1164492849901398E-2</v>
      </c>
      <c r="R80" s="3">
        <f t="shared" ca="1" si="88"/>
        <v>5.5231283107714572E-2</v>
      </c>
      <c r="S80" s="3">
        <f t="shared" ca="1" si="88"/>
        <v>5.4048976461946438E-2</v>
      </c>
      <c r="T80" s="3">
        <f t="shared" ca="1" si="88"/>
        <v>5.5741699628516668E-2</v>
      </c>
      <c r="U80" s="3">
        <f t="shared" ca="1" si="88"/>
        <v>5.5467115659572963E-2</v>
      </c>
      <c r="V80" s="3">
        <f t="shared" ca="1" si="88"/>
        <v>5.9634500210641546E-2</v>
      </c>
      <c r="W80" s="3">
        <f t="shared" ca="1" si="88"/>
        <v>5.6967627336666646E-2</v>
      </c>
      <c r="X80" s="3">
        <f t="shared" ca="1" si="88"/>
        <v>6.6184367354596874E-2</v>
      </c>
      <c r="Y80" s="3">
        <f t="shared" ca="1" si="88"/>
        <v>6.5947228346252482E-2</v>
      </c>
      <c r="Z80" s="3">
        <f t="shared" ca="1" si="88"/>
        <v>7.1389245541982921E-2</v>
      </c>
      <c r="AA80" s="3">
        <f t="shared" ca="1" si="88"/>
        <v>7.5537737673600308E-2</v>
      </c>
      <c r="AB80" s="3">
        <f t="shared" ref="AB80" ca="1" si="95">MIN(0.99,AB23+$O$3)</f>
        <v>7.6257376411871192E-2</v>
      </c>
      <c r="AC80" s="3">
        <f t="shared" ca="1" si="94"/>
        <v>8.6115430043037511E-2</v>
      </c>
      <c r="AD80" s="3">
        <f t="shared" ca="1" si="94"/>
        <v>8.1680075854409173E-2</v>
      </c>
      <c r="AE80" s="3">
        <f t="shared" ca="1" si="94"/>
        <v>9.6010852462887125E-2</v>
      </c>
      <c r="AF80" s="3">
        <f t="shared" ca="1" si="94"/>
        <v>9.1556304016067097E-2</v>
      </c>
      <c r="AG80" s="3">
        <f t="shared" ca="1" si="94"/>
        <v>0.10269025144899674</v>
      </c>
      <c r="AH80" s="3">
        <f t="shared" ca="1" si="94"/>
        <v>0.11961363140557976</v>
      </c>
      <c r="AI80" s="3">
        <f t="shared" ca="1" si="94"/>
        <v>0.12885618723574055</v>
      </c>
      <c r="AJ80" s="3">
        <f t="shared" ca="1" si="94"/>
        <v>0.18565884083679893</v>
      </c>
    </row>
    <row r="81" spans="1:36" x14ac:dyDescent="0.35">
      <c r="A81" t="s">
        <v>77</v>
      </c>
      <c r="B81" t="s">
        <v>76</v>
      </c>
      <c r="C81" s="4" t="s">
        <v>75</v>
      </c>
      <c r="D81" s="3">
        <f t="shared" ca="1" si="77"/>
        <v>4.0875279045820764E-2</v>
      </c>
      <c r="E81" s="3">
        <f t="shared" ca="1" si="88"/>
        <v>4.1050952856554107E-2</v>
      </c>
      <c r="F81" s="3">
        <f t="shared" ca="1" si="88"/>
        <v>4.3331291703665703E-2</v>
      </c>
      <c r="G81" s="3">
        <f t="shared" ca="1" si="88"/>
        <v>4.3617035472300246E-2</v>
      </c>
      <c r="H81" s="3">
        <f t="shared" ca="1" si="88"/>
        <v>4.4659732397400301E-2</v>
      </c>
      <c r="I81" s="3">
        <f t="shared" ca="1" si="88"/>
        <v>4.5625266300928752E-2</v>
      </c>
      <c r="J81" s="3">
        <f t="shared" ca="1" si="88"/>
        <v>4.673219373925494E-2</v>
      </c>
      <c r="K81" s="3">
        <f t="shared" ca="1" si="88"/>
        <v>4.7534920103237552E-2</v>
      </c>
      <c r="L81" s="3">
        <f t="shared" ca="1" si="88"/>
        <v>4.9367663099142395E-2</v>
      </c>
      <c r="M81" s="3">
        <f t="shared" ca="1" si="88"/>
        <v>4.8248868170021955E-2</v>
      </c>
      <c r="N81" s="3">
        <f t="shared" ca="1" si="88"/>
        <v>5.2301215955139375E-2</v>
      </c>
      <c r="O81" s="3">
        <f t="shared" ca="1" si="88"/>
        <v>4.9300242761142449E-2</v>
      </c>
      <c r="P81" s="3">
        <f t="shared" ca="1" si="88"/>
        <v>5.4056846225950368E-2</v>
      </c>
      <c r="Q81" s="3">
        <f t="shared" ca="1" si="88"/>
        <v>5.2144920288838277E-2</v>
      </c>
      <c r="R81" s="3">
        <f t="shared" ca="1" si="88"/>
        <v>5.6143639840127171E-2</v>
      </c>
      <c r="S81" s="3">
        <f t="shared" ca="1" si="88"/>
        <v>5.5034138765704031E-2</v>
      </c>
      <c r="T81" s="3">
        <f t="shared" ca="1" si="88"/>
        <v>5.6679201537240292E-2</v>
      </c>
      <c r="U81" s="3">
        <f t="shared" ca="1" si="88"/>
        <v>5.6464213174064817E-2</v>
      </c>
      <c r="V81" s="3">
        <f t="shared" ca="1" si="88"/>
        <v>6.058600593753475E-2</v>
      </c>
      <c r="W81" s="3">
        <f t="shared" ca="1" si="88"/>
        <v>5.7948794587549528E-2</v>
      </c>
      <c r="X81" s="3">
        <f t="shared" ca="1" si="88"/>
        <v>6.7114788410963799E-2</v>
      </c>
      <c r="Y81" s="3">
        <f t="shared" ca="1" si="88"/>
        <v>6.6858619484755938E-2</v>
      </c>
      <c r="Z81" s="3">
        <f t="shared" ca="1" si="88"/>
        <v>7.2363688088643158E-2</v>
      </c>
      <c r="AA81" s="3">
        <f t="shared" ca="1" si="88"/>
        <v>7.6453285624751816E-2</v>
      </c>
      <c r="AB81" s="3">
        <f t="shared" ref="AB81" ca="1" si="96">MIN(0.99,AB24+$O$3)</f>
        <v>7.7224204114412068E-2</v>
      </c>
      <c r="AC81" s="3">
        <f t="shared" ca="1" si="94"/>
        <v>8.7063507362981463E-2</v>
      </c>
      <c r="AD81" s="3">
        <f t="shared" ca="1" si="94"/>
        <v>8.2653063211581057E-2</v>
      </c>
      <c r="AE81" s="3">
        <f t="shared" ca="1" si="94"/>
        <v>9.6962034273169795E-2</v>
      </c>
      <c r="AF81" s="3">
        <f t="shared" ca="1" si="94"/>
        <v>9.2501160086666284E-2</v>
      </c>
      <c r="AG81" s="3">
        <f t="shared" ca="1" si="94"/>
        <v>0.10366917311204668</v>
      </c>
      <c r="AH81" s="3">
        <f t="shared" ca="1" si="94"/>
        <v>0.12059688142287708</v>
      </c>
      <c r="AI81" s="3">
        <f t="shared" ca="1" si="94"/>
        <v>0.12978900967914031</v>
      </c>
      <c r="AJ81" s="3">
        <f t="shared" ca="1" si="94"/>
        <v>0.18655889479748142</v>
      </c>
    </row>
    <row r="82" spans="1:36" x14ac:dyDescent="0.35">
      <c r="A82" t="s">
        <v>77</v>
      </c>
      <c r="B82" t="s">
        <v>61</v>
      </c>
      <c r="C82" s="4">
        <v>1</v>
      </c>
      <c r="D82" s="3">
        <f t="shared" ca="1" si="77"/>
        <v>2.4913705909847563E-2</v>
      </c>
      <c r="E82" s="3">
        <f t="shared" ca="1" si="88"/>
        <v>2.501489110742797E-2</v>
      </c>
      <c r="F82" s="3">
        <f t="shared" ca="1" si="88"/>
        <v>2.7194444470184802E-2</v>
      </c>
      <c r="G82" s="3">
        <f t="shared" ca="1" si="88"/>
        <v>2.75160497555813E-2</v>
      </c>
      <c r="H82" s="3">
        <f t="shared" ca="1" si="88"/>
        <v>2.8618601818109664E-2</v>
      </c>
      <c r="I82" s="3">
        <f t="shared" ca="1" si="88"/>
        <v>2.9560943764107256E-2</v>
      </c>
      <c r="J82" s="3">
        <f t="shared" ca="1" si="88"/>
        <v>3.0614138834151476E-2</v>
      </c>
      <c r="K82" s="3">
        <f t="shared" ca="1" si="88"/>
        <v>3.1290571818734597E-2</v>
      </c>
      <c r="L82" s="3">
        <f t="shared" ca="1" si="88"/>
        <v>3.3082434204609074E-2</v>
      </c>
      <c r="M82" s="3">
        <f t="shared" ca="1" si="88"/>
        <v>3.2058248239438134E-2</v>
      </c>
      <c r="N82" s="3">
        <f t="shared" ca="1" si="88"/>
        <v>3.605550039036521E-2</v>
      </c>
      <c r="O82" s="3">
        <f t="shared" ca="1" si="88"/>
        <v>3.3029621394540604E-2</v>
      </c>
      <c r="P82" s="3">
        <f t="shared" ca="1" si="88"/>
        <v>3.7997233402660924E-2</v>
      </c>
      <c r="Q82" s="3">
        <f t="shared" ca="1" si="88"/>
        <v>3.6083634915801889E-2</v>
      </c>
      <c r="R82" s="3">
        <f t="shared" ca="1" si="88"/>
        <v>4.0064857934216602E-2</v>
      </c>
      <c r="S82" s="3">
        <f t="shared" ca="1" si="88"/>
        <v>3.8896046395142936E-2</v>
      </c>
      <c r="T82" s="3">
        <f t="shared" ca="1" si="88"/>
        <v>4.0590905782288619E-2</v>
      </c>
      <c r="U82" s="3">
        <f t="shared" ca="1" si="88"/>
        <v>4.0444573540657294E-2</v>
      </c>
      <c r="V82" s="3">
        <f t="shared" ca="1" si="88"/>
        <v>4.4474417489700088E-2</v>
      </c>
      <c r="W82" s="3">
        <f t="shared" ca="1" si="88"/>
        <v>4.1911075326445335E-2</v>
      </c>
      <c r="X82" s="3">
        <f t="shared" ca="1" si="88"/>
        <v>5.1015268972069636E-2</v>
      </c>
      <c r="Y82" s="3">
        <f t="shared" ca="1" si="88"/>
        <v>5.0669398032775231E-2</v>
      </c>
      <c r="Z82" s="3">
        <f t="shared" ca="1" si="88"/>
        <v>5.6211387944149448E-2</v>
      </c>
      <c r="AA82" s="3">
        <f t="shared" ca="1" si="88"/>
        <v>6.0427035773633279E-2</v>
      </c>
      <c r="AB82" s="3">
        <f t="shared" ref="AB82" ca="1" si="97">MIN(0.99,AB25+$O$3)</f>
        <v>6.1009861435001374E-2</v>
      </c>
      <c r="AC82" s="3">
        <f t="shared" ca="1" si="94"/>
        <v>7.1039922733635213E-2</v>
      </c>
      <c r="AD82" s="3">
        <f t="shared" ca="1" si="94"/>
        <v>6.6584554078741337E-2</v>
      </c>
      <c r="AE82" s="3">
        <f t="shared" ca="1" si="94"/>
        <v>8.0909917212217797E-2</v>
      </c>
      <c r="AF82" s="3">
        <f t="shared" ca="1" si="94"/>
        <v>7.6385227567861536E-2</v>
      </c>
      <c r="AG82" s="3">
        <f t="shared" ca="1" si="94"/>
        <v>8.7414225348875246E-2</v>
      </c>
      <c r="AH82" s="3">
        <f t="shared" ca="1" si="94"/>
        <v>0.10422340421813228</v>
      </c>
      <c r="AI82" s="3">
        <f t="shared" ca="1" si="94"/>
        <v>0.11377928075068411</v>
      </c>
      <c r="AJ82" s="3">
        <f t="shared" ca="1" si="94"/>
        <v>0.17043416287807256</v>
      </c>
    </row>
    <row r="83" spans="1:36" x14ac:dyDescent="0.35">
      <c r="A83" t="s">
        <v>77</v>
      </c>
      <c r="B83" t="s">
        <v>61</v>
      </c>
      <c r="C83" s="4" t="s">
        <v>64</v>
      </c>
      <c r="D83" s="3">
        <f t="shared" ca="1" si="77"/>
        <v>2.5859369085096725E-2</v>
      </c>
      <c r="E83" s="3">
        <f t="shared" ca="1" si="88"/>
        <v>2.5952874469364628E-2</v>
      </c>
      <c r="F83" s="3">
        <f t="shared" ca="1" si="88"/>
        <v>2.8136420264131639E-2</v>
      </c>
      <c r="G83" s="3">
        <f t="shared" ca="1" si="88"/>
        <v>2.8461271233584998E-2</v>
      </c>
      <c r="H83" s="3">
        <f t="shared" ca="1" si="88"/>
        <v>2.9565750332690471E-2</v>
      </c>
      <c r="I83" s="3">
        <f t="shared" ca="1" si="88"/>
        <v>3.0483703257362216E-2</v>
      </c>
      <c r="J83" s="3">
        <f t="shared" ca="1" si="88"/>
        <v>3.1530427554768675E-2</v>
      </c>
      <c r="K83" s="3">
        <f t="shared" ca="1" si="88"/>
        <v>3.222500921293351E-2</v>
      </c>
      <c r="L83" s="3">
        <f t="shared" ca="1" si="88"/>
        <v>3.4032238065345111E-2</v>
      </c>
      <c r="M83" s="3">
        <f t="shared" ca="1" si="88"/>
        <v>3.3015141840230751E-2</v>
      </c>
      <c r="N83" s="3">
        <f t="shared" ca="1" si="88"/>
        <v>3.7005504803608799E-2</v>
      </c>
      <c r="O83" s="3">
        <f t="shared" ca="1" si="88"/>
        <v>3.3976087755544768E-2</v>
      </c>
      <c r="P83" s="3">
        <f t="shared" ca="1" si="88"/>
        <v>3.8973100783297743E-2</v>
      </c>
      <c r="Q83" s="3">
        <f t="shared" ca="1" si="88"/>
        <v>3.703562870858422E-2</v>
      </c>
      <c r="R83" s="3">
        <f t="shared" ca="1" si="88"/>
        <v>4.1008718824845122E-2</v>
      </c>
      <c r="S83" s="3">
        <f t="shared" ca="1" si="88"/>
        <v>3.983324613575695E-2</v>
      </c>
      <c r="T83" s="3">
        <f t="shared" ca="1" si="88"/>
        <v>4.1517323755621865E-2</v>
      </c>
      <c r="U83" s="3">
        <f t="shared" ca="1" si="88"/>
        <v>4.1358018967929747E-2</v>
      </c>
      <c r="V83" s="3">
        <f t="shared" ca="1" si="88"/>
        <v>4.5413827681672361E-2</v>
      </c>
      <c r="W83" s="3">
        <f t="shared" ca="1" si="88"/>
        <v>4.2848944283317342E-2</v>
      </c>
      <c r="X83" s="3">
        <f t="shared" ca="1" si="88"/>
        <v>5.1945560605902386E-2</v>
      </c>
      <c r="Y83" s="3">
        <f t="shared" ca="1" si="88"/>
        <v>5.165548829601193E-2</v>
      </c>
      <c r="Z83" s="3">
        <f t="shared" ca="1" si="88"/>
        <v>5.7180368336985671E-2</v>
      </c>
      <c r="AA83" s="3">
        <f t="shared" ca="1" si="88"/>
        <v>6.1412512025703317E-2</v>
      </c>
      <c r="AB83" s="3">
        <f t="shared" ref="AB83" ca="1" si="98">MIN(0.99,AB26+$O$3)</f>
        <v>6.1934171179409185E-2</v>
      </c>
      <c r="AC83" s="3">
        <f t="shared" ca="1" si="94"/>
        <v>7.2009224929046656E-2</v>
      </c>
      <c r="AD83" s="3">
        <f t="shared" ca="1" si="94"/>
        <v>6.7564747644908385E-2</v>
      </c>
      <c r="AE83" s="3">
        <f t="shared" ca="1" si="94"/>
        <v>8.1821463079713608E-2</v>
      </c>
      <c r="AF83" s="3">
        <f t="shared" ca="1" si="94"/>
        <v>7.7341394106224884E-2</v>
      </c>
      <c r="AG83" s="3">
        <f t="shared" ca="1" si="94"/>
        <v>8.8406165541363907E-2</v>
      </c>
      <c r="AH83" s="3">
        <f t="shared" ca="1" si="94"/>
        <v>0.10520115255780724</v>
      </c>
      <c r="AI83" s="3">
        <f t="shared" ca="1" si="94"/>
        <v>0.1147736278818148</v>
      </c>
      <c r="AJ83" s="3">
        <f t="shared" ca="1" si="94"/>
        <v>0.17140802984172168</v>
      </c>
    </row>
    <row r="84" spans="1:36" x14ac:dyDescent="0.35">
      <c r="A84" t="s">
        <v>77</v>
      </c>
      <c r="B84" t="s">
        <v>61</v>
      </c>
      <c r="C84" s="4">
        <v>2</v>
      </c>
      <c r="D84" s="3">
        <f t="shared" ca="1" si="77"/>
        <v>2.6808230056545257E-2</v>
      </c>
      <c r="E84" s="3">
        <f t="shared" ca="1" si="88"/>
        <v>2.6910771231287187E-2</v>
      </c>
      <c r="F84" s="3">
        <f t="shared" ca="1" si="88"/>
        <v>2.9134214468251006E-2</v>
      </c>
      <c r="G84" s="3">
        <f t="shared" ca="1" si="88"/>
        <v>2.9449986216935155E-2</v>
      </c>
      <c r="H84" s="3">
        <f t="shared" ca="1" si="88"/>
        <v>3.0485016684805001E-2</v>
      </c>
      <c r="I84" s="3">
        <f t="shared" ca="1" si="88"/>
        <v>3.1406362488834071E-2</v>
      </c>
      <c r="J84" s="3">
        <f t="shared" ca="1" si="88"/>
        <v>3.247613490555433E-2</v>
      </c>
      <c r="K84" s="3">
        <f t="shared" ca="1" si="88"/>
        <v>3.3128929243782336E-2</v>
      </c>
      <c r="L84" s="3">
        <f t="shared" ca="1" si="88"/>
        <v>3.4966265956155596E-2</v>
      </c>
      <c r="M84" s="3">
        <f t="shared" ca="1" si="88"/>
        <v>3.3917253851371496E-2</v>
      </c>
      <c r="N84" s="3">
        <f t="shared" ca="1" si="88"/>
        <v>3.7958403473875912E-2</v>
      </c>
      <c r="O84" s="3">
        <f t="shared" ca="1" si="88"/>
        <v>3.4891319465371898E-2</v>
      </c>
      <c r="P84" s="3">
        <f t="shared" ca="1" si="88"/>
        <v>3.9922422200451932E-2</v>
      </c>
      <c r="Q84" s="3">
        <f t="shared" ca="1" si="88"/>
        <v>3.8020248104859704E-2</v>
      </c>
      <c r="R84" s="3">
        <f t="shared" ca="1" si="88"/>
        <v>4.1974093514756165E-2</v>
      </c>
      <c r="S84" s="3">
        <f t="shared" ca="1" si="88"/>
        <v>4.0733364832246058E-2</v>
      </c>
      <c r="T84" s="3">
        <f t="shared" ca="1" si="88"/>
        <v>4.2491267302027985E-2</v>
      </c>
      <c r="U84" s="3">
        <f t="shared" ca="1" si="88"/>
        <v>4.2342966228622728E-2</v>
      </c>
      <c r="V84" s="3">
        <f t="shared" ca="1" si="88"/>
        <v>4.6363804915033724E-2</v>
      </c>
      <c r="W84" s="3">
        <f t="shared" ca="1" si="88"/>
        <v>4.3768143392335229E-2</v>
      </c>
      <c r="X84" s="3">
        <f t="shared" ca="1" si="88"/>
        <v>5.2862942597823398E-2</v>
      </c>
      <c r="Y84" s="3">
        <f t="shared" ca="1" si="88"/>
        <v>5.2640897707001214E-2</v>
      </c>
      <c r="Z84" s="3">
        <f t="shared" ca="1" si="88"/>
        <v>5.8098541840124925E-2</v>
      </c>
      <c r="AA84" s="3">
        <f t="shared" ca="1" si="88"/>
        <v>6.2332948039680189E-2</v>
      </c>
      <c r="AB84" s="3">
        <f t="shared" ref="AB84" ca="1" si="99">MIN(0.99,AB27+$O$3)</f>
        <v>6.2855796795334984E-2</v>
      </c>
      <c r="AC84" s="3">
        <f t="shared" ca="1" si="94"/>
        <v>7.2990470493755996E-2</v>
      </c>
      <c r="AD84" s="3">
        <f t="shared" ca="1" si="94"/>
        <v>6.8478437603692571E-2</v>
      </c>
      <c r="AE84" s="3">
        <f t="shared" ca="1" si="94"/>
        <v>8.274791470939355E-2</v>
      </c>
      <c r="AF84" s="3">
        <f t="shared" ca="1" si="94"/>
        <v>7.8245937024817261E-2</v>
      </c>
      <c r="AG84" s="3">
        <f t="shared" ca="1" si="94"/>
        <v>8.9340071320367004E-2</v>
      </c>
      <c r="AH84" s="3">
        <f t="shared" ca="1" si="94"/>
        <v>0.10619220392855247</v>
      </c>
      <c r="AI84" s="3">
        <f t="shared" ca="1" si="94"/>
        <v>0.11574634419460308</v>
      </c>
      <c r="AJ84" s="3">
        <f t="shared" ca="1" si="94"/>
        <v>0.1723632326667498</v>
      </c>
    </row>
    <row r="85" spans="1:36" x14ac:dyDescent="0.35">
      <c r="A85" t="s">
        <v>77</v>
      </c>
      <c r="B85" t="s">
        <v>61</v>
      </c>
      <c r="C85" s="4" t="s">
        <v>65</v>
      </c>
      <c r="D85" s="3">
        <f t="shared" ca="1" si="77"/>
        <v>2.7708986657541616E-2</v>
      </c>
      <c r="E85" s="3">
        <f t="shared" ca="1" si="88"/>
        <v>2.7871356019541306E-2</v>
      </c>
      <c r="F85" s="3">
        <f t="shared" ca="1" si="88"/>
        <v>3.0047760598953459E-2</v>
      </c>
      <c r="G85" s="3">
        <f t="shared" ca="1" si="88"/>
        <v>3.0369212456604476E-2</v>
      </c>
      <c r="H85" s="3">
        <f t="shared" ca="1" si="88"/>
        <v>3.14315963014003E-2</v>
      </c>
      <c r="I85" s="3">
        <f t="shared" ca="1" si="88"/>
        <v>3.2371000592803886E-2</v>
      </c>
      <c r="J85" s="3">
        <f t="shared" ca="1" si="88"/>
        <v>3.3445780297351714E-2</v>
      </c>
      <c r="K85" s="3">
        <f t="shared" ca="1" si="88"/>
        <v>3.407717455954605E-2</v>
      </c>
      <c r="L85" s="3">
        <f t="shared" ca="1" si="88"/>
        <v>3.5964749312014724E-2</v>
      </c>
      <c r="M85" s="3">
        <f t="shared" ca="1" si="88"/>
        <v>3.4850757813487357E-2</v>
      </c>
      <c r="N85" s="3">
        <f t="shared" ca="1" si="88"/>
        <v>3.8891106708963619E-2</v>
      </c>
      <c r="O85" s="3">
        <f t="shared" ca="1" si="88"/>
        <v>3.585570662382858E-2</v>
      </c>
      <c r="P85" s="3">
        <f t="shared" ca="1" si="88"/>
        <v>4.0887270668877269E-2</v>
      </c>
      <c r="Q85" s="3">
        <f t="shared" ca="1" si="88"/>
        <v>3.8922992518657162E-2</v>
      </c>
      <c r="R85" s="3">
        <f t="shared" ca="1" si="88"/>
        <v>4.2914876549807912E-2</v>
      </c>
      <c r="S85" s="3">
        <f t="shared" ca="1" si="88"/>
        <v>4.1696774126957756E-2</v>
      </c>
      <c r="T85" s="3">
        <f t="shared" ca="1" si="88"/>
        <v>4.3432137864852921E-2</v>
      </c>
      <c r="U85" s="3">
        <f t="shared" ca="1" si="88"/>
        <v>4.3251906500653428E-2</v>
      </c>
      <c r="V85" s="3">
        <f t="shared" ca="1" si="88"/>
        <v>4.7288681499768559E-2</v>
      </c>
      <c r="W85" s="3">
        <f t="shared" ca="1" si="88"/>
        <v>4.4698751350014318E-2</v>
      </c>
      <c r="X85" s="3">
        <f t="shared" ref="E85:AA96" ca="1" si="100">MIN(0.99,X28+$O$3)</f>
        <v>5.3842200822334929E-2</v>
      </c>
      <c r="Y85" s="3">
        <f t="shared" ca="1" si="100"/>
        <v>5.3551705687135853E-2</v>
      </c>
      <c r="Z85" s="3">
        <f t="shared" ca="1" si="100"/>
        <v>5.90939543949556E-2</v>
      </c>
      <c r="AA85" s="3">
        <f t="shared" ca="1" si="100"/>
        <v>6.3332863582856447E-2</v>
      </c>
      <c r="AB85" s="3">
        <f t="shared" ref="AB85" ca="1" si="101">MIN(0.99,AB28+$O$3)</f>
        <v>6.3849713178535744E-2</v>
      </c>
      <c r="AC85" s="3">
        <f t="shared" ca="1" si="94"/>
        <v>7.3912339198120153E-2</v>
      </c>
      <c r="AD85" s="3">
        <f t="shared" ca="1" si="94"/>
        <v>6.9421518522173847E-2</v>
      </c>
      <c r="AE85" s="3">
        <f t="shared" ca="1" si="94"/>
        <v>8.3741929561125417E-2</v>
      </c>
      <c r="AF85" s="3">
        <f t="shared" ca="1" si="94"/>
        <v>7.9234317779736801E-2</v>
      </c>
      <c r="AG85" s="3">
        <f t="shared" ca="1" si="94"/>
        <v>9.0288493445900064E-2</v>
      </c>
      <c r="AH85" s="3">
        <f t="shared" ca="1" si="94"/>
        <v>0.10711945592348593</v>
      </c>
      <c r="AI85" s="3">
        <f t="shared" ca="1" si="94"/>
        <v>0.11667211302804761</v>
      </c>
      <c r="AJ85" s="3">
        <f t="shared" ca="1" si="94"/>
        <v>0.17334132105259659</v>
      </c>
    </row>
    <row r="86" spans="1:36" x14ac:dyDescent="0.35">
      <c r="A86" t="s">
        <v>77</v>
      </c>
      <c r="B86" t="s">
        <v>61</v>
      </c>
      <c r="C86" s="4" t="s">
        <v>66</v>
      </c>
      <c r="D86" s="3">
        <f t="shared" ca="1" si="77"/>
        <v>2.8632736491942756E-2</v>
      </c>
      <c r="E86" s="3">
        <f t="shared" ca="1" si="100"/>
        <v>2.8810539757163231E-2</v>
      </c>
      <c r="F86" s="3">
        <f t="shared" ca="1" si="100"/>
        <v>3.0996641439371107E-2</v>
      </c>
      <c r="G86" s="3">
        <f t="shared" ca="1" si="100"/>
        <v>3.134965661280114E-2</v>
      </c>
      <c r="H86" s="3">
        <f t="shared" ca="1" si="100"/>
        <v>3.233329172696979E-2</v>
      </c>
      <c r="I86" s="3">
        <f t="shared" ca="1" si="100"/>
        <v>3.3352580376840121E-2</v>
      </c>
      <c r="J86" s="3">
        <f t="shared" ca="1" si="100"/>
        <v>3.4445257628025798E-2</v>
      </c>
      <c r="K86" s="3">
        <f t="shared" ca="1" si="100"/>
        <v>3.5064841418840358E-2</v>
      </c>
      <c r="L86" s="3">
        <f t="shared" ca="1" si="100"/>
        <v>3.6897893935762482E-2</v>
      </c>
      <c r="M86" s="3">
        <f t="shared" ca="1" si="100"/>
        <v>3.5838331764831123E-2</v>
      </c>
      <c r="N86" s="3">
        <f t="shared" ca="1" si="100"/>
        <v>3.9841137233188231E-2</v>
      </c>
      <c r="O86" s="3">
        <f t="shared" ca="1" si="100"/>
        <v>3.6840562383286653E-2</v>
      </c>
      <c r="P86" s="3">
        <f t="shared" ca="1" si="100"/>
        <v>4.186397898509768E-2</v>
      </c>
      <c r="Q86" s="3">
        <f t="shared" ca="1" si="100"/>
        <v>3.9833220359931004E-2</v>
      </c>
      <c r="R86" s="3">
        <f t="shared" ca="1" si="100"/>
        <v>4.3913690909378009E-2</v>
      </c>
      <c r="S86" s="3">
        <f t="shared" ca="1" si="100"/>
        <v>4.2678987199078346E-2</v>
      </c>
      <c r="T86" s="3">
        <f t="shared" ca="1" si="100"/>
        <v>4.4384162633159883E-2</v>
      </c>
      <c r="U86" s="3">
        <f t="shared" ca="1" si="100"/>
        <v>4.4174715616295608E-2</v>
      </c>
      <c r="V86" s="3">
        <f t="shared" ca="1" si="100"/>
        <v>4.8236651412355926E-2</v>
      </c>
      <c r="W86" s="3">
        <f t="shared" ca="1" si="100"/>
        <v>4.5612092817120711E-2</v>
      </c>
      <c r="X86" s="3">
        <f t="shared" ca="1" si="100"/>
        <v>5.4799350238133919E-2</v>
      </c>
      <c r="Y86" s="3">
        <f t="shared" ca="1" si="100"/>
        <v>5.4492017354123963E-2</v>
      </c>
      <c r="Z86" s="3">
        <f t="shared" ca="1" si="100"/>
        <v>6.006190159600544E-2</v>
      </c>
      <c r="AA86" s="3">
        <f t="shared" ca="1" si="100"/>
        <v>6.4290823616776044E-2</v>
      </c>
      <c r="AB86" s="3">
        <f t="shared" ref="AB86" ca="1" si="102">MIN(0.99,AB29+$O$3)</f>
        <v>6.479701896372933E-2</v>
      </c>
      <c r="AC86" s="3">
        <f t="shared" ca="1" si="94"/>
        <v>7.487082027236755E-2</v>
      </c>
      <c r="AD86" s="3">
        <f t="shared" ca="1" si="94"/>
        <v>7.0406851262124009E-2</v>
      </c>
      <c r="AE86" s="3">
        <f t="shared" ca="1" si="94"/>
        <v>8.4649428229579673E-2</v>
      </c>
      <c r="AF86" s="3">
        <f t="shared" ca="1" si="94"/>
        <v>8.0144691183232697E-2</v>
      </c>
      <c r="AG86" s="3">
        <f t="shared" ca="1" si="94"/>
        <v>9.1286691592781188E-2</v>
      </c>
      <c r="AH86" s="3">
        <f t="shared" ca="1" si="94"/>
        <v>0.10809794128354761</v>
      </c>
      <c r="AI86" s="3">
        <f t="shared" ca="1" si="94"/>
        <v>0.11758175699556841</v>
      </c>
      <c r="AJ86" s="3">
        <f t="shared" ca="1" si="94"/>
        <v>0.17433633138748025</v>
      </c>
    </row>
    <row r="87" spans="1:36" x14ac:dyDescent="0.35">
      <c r="A87" t="s">
        <v>77</v>
      </c>
      <c r="B87" t="s">
        <v>61</v>
      </c>
      <c r="C87" s="4">
        <v>3</v>
      </c>
      <c r="D87" s="3">
        <f t="shared" ca="1" si="77"/>
        <v>2.9535418899800332E-2</v>
      </c>
      <c r="E87" s="3">
        <f t="shared" ca="1" si="100"/>
        <v>2.9756847217422139E-2</v>
      </c>
      <c r="F87" s="3">
        <f t="shared" ca="1" si="100"/>
        <v>3.1902193381780693E-2</v>
      </c>
      <c r="G87" s="3">
        <f t="shared" ca="1" si="100"/>
        <v>3.2319356617259314E-2</v>
      </c>
      <c r="H87" s="3">
        <f t="shared" ca="1" si="100"/>
        <v>3.3324404908782371E-2</v>
      </c>
      <c r="I87" s="3">
        <f t="shared" ca="1" si="100"/>
        <v>3.4321189068105717E-2</v>
      </c>
      <c r="J87" s="3">
        <f t="shared" ca="1" si="100"/>
        <v>3.5366055130992724E-2</v>
      </c>
      <c r="K87" s="3">
        <f t="shared" ca="1" si="100"/>
        <v>3.6054291289198667E-2</v>
      </c>
      <c r="L87" s="3">
        <f t="shared" ca="1" si="100"/>
        <v>3.7841578856936557E-2</v>
      </c>
      <c r="M87" s="3">
        <f t="shared" ca="1" si="100"/>
        <v>3.6799616003714383E-2</v>
      </c>
      <c r="N87" s="3">
        <f t="shared" ca="1" si="100"/>
        <v>4.077466162830537E-2</v>
      </c>
      <c r="O87" s="3">
        <f t="shared" ca="1" si="100"/>
        <v>3.7819145554687843E-2</v>
      </c>
      <c r="P87" s="3">
        <f t="shared" ca="1" si="100"/>
        <v>4.277202241658945E-2</v>
      </c>
      <c r="Q87" s="3">
        <f t="shared" ca="1" si="100"/>
        <v>4.0816667110201633E-2</v>
      </c>
      <c r="R87" s="3">
        <f t="shared" ca="1" si="100"/>
        <v>4.4900383735384596E-2</v>
      </c>
      <c r="S87" s="3">
        <f t="shared" ca="1" si="100"/>
        <v>4.3633224898428358E-2</v>
      </c>
      <c r="T87" s="3">
        <f t="shared" ca="1" si="100"/>
        <v>4.5336326323140691E-2</v>
      </c>
      <c r="U87" s="3">
        <f t="shared" ca="1" si="100"/>
        <v>4.5170541774706384E-2</v>
      </c>
      <c r="V87" s="3">
        <f t="shared" ca="1" si="100"/>
        <v>4.9162682533392794E-2</v>
      </c>
      <c r="W87" s="3">
        <f t="shared" ca="1" si="100"/>
        <v>4.6576200663516379E-2</v>
      </c>
      <c r="X87" s="3">
        <f t="shared" ca="1" si="100"/>
        <v>5.5748592196886007E-2</v>
      </c>
      <c r="Y87" s="3">
        <f t="shared" ca="1" si="100"/>
        <v>5.5489087370722785E-2</v>
      </c>
      <c r="Z87" s="3">
        <f t="shared" ca="1" si="100"/>
        <v>6.1045434060242647E-2</v>
      </c>
      <c r="AA87" s="3">
        <f t="shared" ca="1" si="100"/>
        <v>6.5207726995219484E-2</v>
      </c>
      <c r="AB87" s="3">
        <f t="shared" ref="AB87" ca="1" si="103">MIN(0.99,AB30+$O$3)</f>
        <v>6.5753314758215858E-2</v>
      </c>
      <c r="AC87" s="3">
        <f t="shared" ca="1" si="94"/>
        <v>7.5779794575989198E-2</v>
      </c>
      <c r="AD87" s="3">
        <f t="shared" ca="1" si="94"/>
        <v>7.1321129724457616E-2</v>
      </c>
      <c r="AE87" s="3">
        <f t="shared" ca="1" si="94"/>
        <v>8.5554916437570905E-2</v>
      </c>
      <c r="AF87" s="3">
        <f t="shared" ca="1" si="94"/>
        <v>8.1087085794999236E-2</v>
      </c>
      <c r="AG87" s="3">
        <f t="shared" ca="1" si="94"/>
        <v>9.2264153112874114E-2</v>
      </c>
      <c r="AH87" s="3">
        <f t="shared" ca="1" si="94"/>
        <v>0.10909683715153912</v>
      </c>
      <c r="AI87" s="3">
        <f t="shared" ca="1" si="94"/>
        <v>0.11850365930736803</v>
      </c>
      <c r="AJ87" s="3">
        <f t="shared" ca="1" si="94"/>
        <v>0.17531590924834728</v>
      </c>
    </row>
    <row r="88" spans="1:36" x14ac:dyDescent="0.35">
      <c r="A88" t="s">
        <v>77</v>
      </c>
      <c r="B88" t="s">
        <v>61</v>
      </c>
      <c r="C88" s="4" t="s">
        <v>67</v>
      </c>
      <c r="D88" s="3">
        <f t="shared" ca="1" si="77"/>
        <v>3.0510622980847536E-2</v>
      </c>
      <c r="E88" s="3">
        <f t="shared" ca="1" si="100"/>
        <v>3.0705799362329353E-2</v>
      </c>
      <c r="F88" s="3">
        <f t="shared" ca="1" si="100"/>
        <v>3.2854124176218129E-2</v>
      </c>
      <c r="G88" s="3">
        <f t="shared" ca="1" si="100"/>
        <v>3.3267827144320049E-2</v>
      </c>
      <c r="H88" s="3">
        <f t="shared" ca="1" si="100"/>
        <v>3.4241966778974661E-2</v>
      </c>
      <c r="I88" s="3">
        <f t="shared" ca="1" si="100"/>
        <v>3.5260629029326924E-2</v>
      </c>
      <c r="J88" s="3">
        <f t="shared" ca="1" si="100"/>
        <v>3.6359835827577888E-2</v>
      </c>
      <c r="K88" s="3">
        <f t="shared" ca="1" si="100"/>
        <v>3.70089351368042E-2</v>
      </c>
      <c r="L88" s="3">
        <f t="shared" ca="1" si="100"/>
        <v>3.8822250648340453E-2</v>
      </c>
      <c r="M88" s="3">
        <f t="shared" ca="1" si="100"/>
        <v>3.776281978608359E-2</v>
      </c>
      <c r="N88" s="3">
        <f t="shared" ca="1" si="100"/>
        <v>4.1732495759774821E-2</v>
      </c>
      <c r="O88" s="3">
        <f t="shared" ca="1" si="100"/>
        <v>3.8803701985589537E-2</v>
      </c>
      <c r="P88" s="3">
        <f t="shared" ca="1" si="100"/>
        <v>4.3704116811724661E-2</v>
      </c>
      <c r="Q88" s="3">
        <f t="shared" ca="1" si="100"/>
        <v>4.1741243084011302E-2</v>
      </c>
      <c r="R88" s="3">
        <f t="shared" ca="1" si="100"/>
        <v>4.5830146296141162E-2</v>
      </c>
      <c r="S88" s="3">
        <f t="shared" ca="1" si="100"/>
        <v>4.4604001596953588E-2</v>
      </c>
      <c r="T88" s="3">
        <f t="shared" ca="1" si="100"/>
        <v>4.6260814987765408E-2</v>
      </c>
      <c r="U88" s="3">
        <f t="shared" ca="1" si="100"/>
        <v>4.6089939795012538E-2</v>
      </c>
      <c r="V88" s="3">
        <f t="shared" ca="1" si="100"/>
        <v>5.0078668308939395E-2</v>
      </c>
      <c r="W88" s="3">
        <f t="shared" ca="1" si="100"/>
        <v>4.751380893160656E-2</v>
      </c>
      <c r="X88" s="3">
        <f t="shared" ca="1" si="100"/>
        <v>5.6682838270696818E-2</v>
      </c>
      <c r="Y88" s="3">
        <f t="shared" ca="1" si="100"/>
        <v>5.6435207387835147E-2</v>
      </c>
      <c r="Z88" s="3">
        <f t="shared" ca="1" si="100"/>
        <v>6.1962198162292592E-2</v>
      </c>
      <c r="AA88" s="3">
        <f t="shared" ca="1" si="100"/>
        <v>6.6202441290445585E-2</v>
      </c>
      <c r="AB88" s="3">
        <f t="shared" ref="AB88" ca="1" si="104">MIN(0.99,AB31+$O$3)</f>
        <v>6.6671610864655423E-2</v>
      </c>
      <c r="AC88" s="3">
        <f t="shared" ca="1" si="94"/>
        <v>7.6734017177726876E-2</v>
      </c>
      <c r="AD88" s="3">
        <f t="shared" ca="1" si="94"/>
        <v>7.2228043341401343E-2</v>
      </c>
      <c r="AE88" s="3">
        <f t="shared" ca="1" si="94"/>
        <v>8.6549592362791472E-2</v>
      </c>
      <c r="AF88" s="3">
        <f t="shared" ca="1" si="94"/>
        <v>8.2049294447893606E-2</v>
      </c>
      <c r="AG88" s="3">
        <f t="shared" ca="1" si="94"/>
        <v>9.3165781092361205E-2</v>
      </c>
      <c r="AH88" s="3">
        <f t="shared" ca="1" si="94"/>
        <v>0.11008362778977246</v>
      </c>
      <c r="AI88" s="3">
        <f t="shared" ca="1" si="94"/>
        <v>0.11942937782447535</v>
      </c>
      <c r="AJ88" s="3">
        <f t="shared" ca="1" si="94"/>
        <v>0.17627502747557741</v>
      </c>
    </row>
    <row r="89" spans="1:36" x14ac:dyDescent="0.35">
      <c r="A89" t="s">
        <v>77</v>
      </c>
      <c r="B89" t="s">
        <v>61</v>
      </c>
      <c r="C89" s="4" t="s">
        <v>68</v>
      </c>
      <c r="D89" s="3">
        <f t="shared" ca="1" si="77"/>
        <v>3.1422016252099491E-2</v>
      </c>
      <c r="E89" s="3">
        <f t="shared" ca="1" si="100"/>
        <v>3.1649787593776527E-2</v>
      </c>
      <c r="F89" s="3">
        <f t="shared" ca="1" si="100"/>
        <v>3.3849350303095445E-2</v>
      </c>
      <c r="G89" s="3">
        <f t="shared" ca="1" si="100"/>
        <v>3.4214582663345094E-2</v>
      </c>
      <c r="H89" s="3">
        <f t="shared" ca="1" si="100"/>
        <v>3.516952238493179E-2</v>
      </c>
      <c r="I89" s="3">
        <f t="shared" ca="1" si="100"/>
        <v>3.6249949219688368E-2</v>
      </c>
      <c r="J89" s="3">
        <f t="shared" ca="1" si="100"/>
        <v>3.7315778297119948E-2</v>
      </c>
      <c r="K89" s="3">
        <f t="shared" ca="1" si="100"/>
        <v>3.7955267408858337E-2</v>
      </c>
      <c r="L89" s="3">
        <f t="shared" ca="1" si="100"/>
        <v>3.9761893085030461E-2</v>
      </c>
      <c r="M89" s="3">
        <f t="shared" ca="1" si="100"/>
        <v>3.8739408119132193E-2</v>
      </c>
      <c r="N89" s="3">
        <f t="shared" ca="1" si="100"/>
        <v>4.2638827815214761E-2</v>
      </c>
      <c r="O89" s="3">
        <f t="shared" ca="1" si="100"/>
        <v>3.9803672328245852E-2</v>
      </c>
      <c r="P89" s="3">
        <f t="shared" ca="1" si="100"/>
        <v>4.4688162760386653E-2</v>
      </c>
      <c r="Q89" s="3">
        <f t="shared" ca="1" si="100"/>
        <v>4.2669036729938298E-2</v>
      </c>
      <c r="R89" s="3">
        <f t="shared" ca="1" si="100"/>
        <v>4.6739692308070992E-2</v>
      </c>
      <c r="S89" s="3">
        <f t="shared" ca="1" si="100"/>
        <v>4.5506900017459231E-2</v>
      </c>
      <c r="T89" s="3">
        <f t="shared" ca="1" si="100"/>
        <v>4.7182358962920924E-2</v>
      </c>
      <c r="U89" s="3">
        <f t="shared" ca="1" si="100"/>
        <v>4.7052843780424458E-2</v>
      </c>
      <c r="V89" s="3">
        <f t="shared" ca="1" si="100"/>
        <v>5.1029186935479309E-2</v>
      </c>
      <c r="W89" s="3">
        <f t="shared" ca="1" si="100"/>
        <v>4.8484583950980653E-2</v>
      </c>
      <c r="X89" s="3">
        <f t="shared" ca="1" si="100"/>
        <v>5.7671693500971552E-2</v>
      </c>
      <c r="Y89" s="3">
        <f t="shared" ca="1" si="100"/>
        <v>5.7351374772753858E-2</v>
      </c>
      <c r="Z89" s="3">
        <f t="shared" ca="1" si="100"/>
        <v>6.2875780244345314E-2</v>
      </c>
      <c r="AA89" s="3">
        <f t="shared" ca="1" si="100"/>
        <v>6.711188558227682E-2</v>
      </c>
      <c r="AB89" s="3">
        <f t="shared" ref="AB89" ca="1" si="105">MIN(0.99,AB32+$O$3)</f>
        <v>6.7665847360598774E-2</v>
      </c>
      <c r="AC89" s="3">
        <f t="shared" ca="1" si="94"/>
        <v>7.7670777012293885E-2</v>
      </c>
      <c r="AD89" s="3">
        <f t="shared" ca="1" si="94"/>
        <v>7.3138271997898324E-2</v>
      </c>
      <c r="AE89" s="3">
        <f t="shared" ca="1" si="94"/>
        <v>8.7453371654723971E-2</v>
      </c>
      <c r="AF89" s="3">
        <f t="shared" ca="1" si="94"/>
        <v>8.2951037429639121E-2</v>
      </c>
      <c r="AG89" s="3">
        <f t="shared" ca="1" si="94"/>
        <v>9.4135608880384247E-2</v>
      </c>
      <c r="AH89" s="3">
        <f t="shared" ca="1" si="94"/>
        <v>0.1110351421219711</v>
      </c>
      <c r="AI89" s="3">
        <f t="shared" ca="1" si="94"/>
        <v>0.12035640499901148</v>
      </c>
      <c r="AJ89" s="3">
        <f t="shared" ca="1" si="94"/>
        <v>0.17720785585581994</v>
      </c>
    </row>
    <row r="90" spans="1:36" x14ac:dyDescent="0.35">
      <c r="A90" t="s">
        <v>77</v>
      </c>
      <c r="B90" t="s">
        <v>61</v>
      </c>
      <c r="C90" s="4">
        <v>4</v>
      </c>
      <c r="D90" s="3">
        <f t="shared" ca="1" si="77"/>
        <v>3.2353697522748179E-2</v>
      </c>
      <c r="E90" s="3">
        <f t="shared" ca="1" si="100"/>
        <v>3.2621827350310287E-2</v>
      </c>
      <c r="F90" s="3">
        <f t="shared" ca="1" si="100"/>
        <v>3.4845392329472133E-2</v>
      </c>
      <c r="G90" s="3">
        <f t="shared" ca="1" si="100"/>
        <v>3.5139383439687644E-2</v>
      </c>
      <c r="H90" s="3">
        <f t="shared" ca="1" si="100"/>
        <v>3.6075058875749577E-2</v>
      </c>
      <c r="I90" s="3">
        <f t="shared" ca="1" si="100"/>
        <v>3.7166670557556049E-2</v>
      </c>
      <c r="J90" s="3">
        <f t="shared" ca="1" si="100"/>
        <v>3.8245464210301748E-2</v>
      </c>
      <c r="K90" s="3">
        <f t="shared" ca="1" si="100"/>
        <v>3.8879871362227675E-2</v>
      </c>
      <c r="L90" s="3">
        <f t="shared" ca="1" si="100"/>
        <v>4.0755308482763992E-2</v>
      </c>
      <c r="M90" s="3">
        <f t="shared" ca="1" si="100"/>
        <v>3.971104693920964E-2</v>
      </c>
      <c r="N90" s="3">
        <f t="shared" ca="1" si="100"/>
        <v>4.3589041605893233E-2</v>
      </c>
      <c r="O90" s="3">
        <f t="shared" ca="1" si="100"/>
        <v>4.0710756430602256E-2</v>
      </c>
      <c r="P90" s="3">
        <f t="shared" ca="1" si="100"/>
        <v>4.5592371834465947E-2</v>
      </c>
      <c r="Q90" s="3">
        <f t="shared" ca="1" si="100"/>
        <v>4.3667368477124893E-2</v>
      </c>
      <c r="R90" s="3">
        <f t="shared" ca="1" si="100"/>
        <v>4.7692499694547155E-2</v>
      </c>
      <c r="S90" s="3">
        <f t="shared" ca="1" si="100"/>
        <v>4.6468895932076169E-2</v>
      </c>
      <c r="T90" s="3">
        <f t="shared" ca="1" si="100"/>
        <v>4.8180190530957678E-2</v>
      </c>
      <c r="U90" s="3">
        <f t="shared" ca="1" si="100"/>
        <v>4.8023431437911365E-2</v>
      </c>
      <c r="V90" s="3">
        <f t="shared" ca="1" si="100"/>
        <v>5.1993280816635477E-2</v>
      </c>
      <c r="W90" s="3">
        <f t="shared" ca="1" si="100"/>
        <v>4.9392216027804511E-2</v>
      </c>
      <c r="X90" s="3">
        <f t="shared" ca="1" si="100"/>
        <v>5.8584822502365207E-2</v>
      </c>
      <c r="Y90" s="3">
        <f t="shared" ca="1" si="100"/>
        <v>5.8328585201283208E-2</v>
      </c>
      <c r="Z90" s="3">
        <f t="shared" ca="1" si="100"/>
        <v>6.377702783956031E-2</v>
      </c>
      <c r="AA90" s="3">
        <f t="shared" ca="1" si="100"/>
        <v>6.8015618671197126E-2</v>
      </c>
      <c r="AB90" s="3">
        <f t="shared" ref="AB90" ca="1" si="106">MIN(0.99,AB33+$O$3)</f>
        <v>6.864866456988615E-2</v>
      </c>
      <c r="AC90" s="3">
        <f t="shared" ca="1" si="94"/>
        <v>7.8617280978708959E-2</v>
      </c>
      <c r="AD90" s="3">
        <f t="shared" ca="1" si="94"/>
        <v>7.4127294390794657E-2</v>
      </c>
      <c r="AE90" s="3">
        <f t="shared" ca="1" si="94"/>
        <v>8.8372679032820173E-2</v>
      </c>
      <c r="AF90" s="3">
        <f t="shared" ca="1" si="94"/>
        <v>8.387212470444691E-2</v>
      </c>
      <c r="AG90" s="3">
        <f t="shared" ca="1" si="94"/>
        <v>9.5108030631885193E-2</v>
      </c>
      <c r="AH90" s="3">
        <f t="shared" ca="1" si="94"/>
        <v>0.11196661835791824</v>
      </c>
      <c r="AI90" s="3">
        <f t="shared" ca="1" si="94"/>
        <v>0.12131375578961187</v>
      </c>
      <c r="AJ90" s="3">
        <f t="shared" ca="1" si="94"/>
        <v>0.17816856842828727</v>
      </c>
    </row>
    <row r="91" spans="1:36" x14ac:dyDescent="0.35">
      <c r="A91" t="s">
        <v>77</v>
      </c>
      <c r="B91" t="s">
        <v>61</v>
      </c>
      <c r="C91" s="4" t="s">
        <v>69</v>
      </c>
      <c r="D91" s="3">
        <f t="shared" ca="1" si="77"/>
        <v>3.3321794182056427E-2</v>
      </c>
      <c r="E91" s="3">
        <f t="shared" ca="1" si="100"/>
        <v>3.3617147497803104E-2</v>
      </c>
      <c r="F91" s="3">
        <f t="shared" ca="1" si="100"/>
        <v>3.5786530317218068E-2</v>
      </c>
      <c r="G91" s="3">
        <f t="shared" ca="1" si="100"/>
        <v>3.6077026484538553E-2</v>
      </c>
      <c r="H91" s="3">
        <f t="shared" ca="1" si="100"/>
        <v>3.7003056957058557E-2</v>
      </c>
      <c r="I91" s="3">
        <f t="shared" ca="1" si="100"/>
        <v>3.8111435486877274E-2</v>
      </c>
      <c r="J91" s="3">
        <f t="shared" ca="1" si="100"/>
        <v>3.9222483490849523E-2</v>
      </c>
      <c r="K91" s="3">
        <f t="shared" ca="1" si="100"/>
        <v>3.9841121995803148E-2</v>
      </c>
      <c r="L91" s="3">
        <f t="shared" ca="1" si="100"/>
        <v>4.1723694744726036E-2</v>
      </c>
      <c r="M91" s="3">
        <f t="shared" ca="1" si="100"/>
        <v>4.0649290678108213E-2</v>
      </c>
      <c r="N91" s="3">
        <f t="shared" ca="1" si="100"/>
        <v>4.4515811346744059E-2</v>
      </c>
      <c r="O91" s="3">
        <f t="shared" ca="1" si="100"/>
        <v>4.1662621471962993E-2</v>
      </c>
      <c r="P91" s="3">
        <f t="shared" ca="1" si="100"/>
        <v>4.6540757391633832E-2</v>
      </c>
      <c r="Q91" s="3">
        <f t="shared" ca="1" si="100"/>
        <v>4.4657151963836968E-2</v>
      </c>
      <c r="R91" s="3">
        <f t="shared" ca="1" si="100"/>
        <v>4.8691279745688078E-2</v>
      </c>
      <c r="S91" s="3">
        <f t="shared" ca="1" si="100"/>
        <v>4.7456641665537258E-2</v>
      </c>
      <c r="T91" s="3">
        <f t="shared" ca="1" si="100"/>
        <v>4.9091798188571123E-2</v>
      </c>
      <c r="U91" s="3">
        <f t="shared" ca="1" si="100"/>
        <v>4.8932641023434607E-2</v>
      </c>
      <c r="V91" s="3">
        <f t="shared" ca="1" si="100"/>
        <v>5.2991299239981485E-2</v>
      </c>
      <c r="W91" s="3">
        <f t="shared" ca="1" si="100"/>
        <v>5.0375350655192205E-2</v>
      </c>
      <c r="X91" s="3">
        <f t="shared" ca="1" si="100"/>
        <v>5.9523825763146944E-2</v>
      </c>
      <c r="Y91" s="3">
        <f t="shared" ca="1" si="100"/>
        <v>5.9292073239655747E-2</v>
      </c>
      <c r="Z91" s="3">
        <f t="shared" ca="1" si="100"/>
        <v>6.4716902951887006E-2</v>
      </c>
      <c r="AA91" s="3">
        <f t="shared" ca="1" si="100"/>
        <v>6.8918922007563277E-2</v>
      </c>
      <c r="AB91" s="3">
        <f t="shared" ref="AB91" ca="1" si="107">MIN(0.99,AB34+$O$3)</f>
        <v>6.9607484743148096E-2</v>
      </c>
      <c r="AC91" s="3">
        <f t="shared" ca="1" si="94"/>
        <v>7.9534860762902254E-2</v>
      </c>
      <c r="AD91" s="3">
        <f t="shared" ca="1" si="94"/>
        <v>7.5072834968488114E-2</v>
      </c>
      <c r="AE91" s="3">
        <f t="shared" ca="1" si="94"/>
        <v>8.9371786005469328E-2</v>
      </c>
      <c r="AF91" s="3">
        <f t="shared" ca="1" si="94"/>
        <v>8.4870166430794883E-2</v>
      </c>
      <c r="AG91" s="3">
        <f t="shared" ca="1" si="94"/>
        <v>9.6103114173284515E-2</v>
      </c>
      <c r="AH91" s="3">
        <f t="shared" ca="1" si="94"/>
        <v>0.11295632339405448</v>
      </c>
      <c r="AI91" s="3">
        <f t="shared" ca="1" si="94"/>
        <v>0.1222305038990277</v>
      </c>
      <c r="AJ91" s="3">
        <f t="shared" ca="1" si="94"/>
        <v>0.17909447556301206</v>
      </c>
    </row>
    <row r="92" spans="1:36" x14ac:dyDescent="0.35">
      <c r="A92" t="s">
        <v>77</v>
      </c>
      <c r="B92" t="s">
        <v>61</v>
      </c>
      <c r="C92" s="4" t="s">
        <v>70</v>
      </c>
      <c r="D92" s="3">
        <f t="shared" ca="1" si="77"/>
        <v>3.4320062572296493E-2</v>
      </c>
      <c r="E92" s="3">
        <f t="shared" ca="1" si="100"/>
        <v>3.4538251139519194E-2</v>
      </c>
      <c r="F92" s="3">
        <f t="shared" ca="1" si="100"/>
        <v>3.6784089630028396E-2</v>
      </c>
      <c r="G92" s="3">
        <f t="shared" ca="1" si="100"/>
        <v>3.7025333612648988E-2</v>
      </c>
      <c r="H92" s="3">
        <f t="shared" ca="1" si="100"/>
        <v>3.8000467265193308E-2</v>
      </c>
      <c r="I92" s="3">
        <f t="shared" ca="1" si="100"/>
        <v>3.9097466589309605E-2</v>
      </c>
      <c r="J92" s="3">
        <f t="shared" ca="1" si="100"/>
        <v>4.0180294845313297E-2</v>
      </c>
      <c r="K92" s="3">
        <f t="shared" ca="1" si="100"/>
        <v>4.081533020883063E-2</v>
      </c>
      <c r="L92" s="3">
        <f t="shared" ca="1" si="100"/>
        <v>4.2666312972172334E-2</v>
      </c>
      <c r="M92" s="3">
        <f t="shared" ca="1" si="100"/>
        <v>4.1603014671515934E-2</v>
      </c>
      <c r="N92" s="3">
        <f t="shared" ca="1" si="100"/>
        <v>4.5500148179481011E-2</v>
      </c>
      <c r="O92" s="3">
        <f t="shared" ca="1" si="100"/>
        <v>4.264953432721269E-2</v>
      </c>
      <c r="P92" s="3">
        <f t="shared" ca="1" si="100"/>
        <v>4.7515078996071471E-2</v>
      </c>
      <c r="Q92" s="3">
        <f t="shared" ca="1" si="100"/>
        <v>4.5612446092076583E-2</v>
      </c>
      <c r="R92" s="3">
        <f t="shared" ca="1" si="100"/>
        <v>4.9608276079926766E-2</v>
      </c>
      <c r="S92" s="3">
        <f t="shared" ca="1" si="100"/>
        <v>4.8434890555675195E-2</v>
      </c>
      <c r="T92" s="3">
        <f t="shared" ca="1" si="100"/>
        <v>5.0081579213357721E-2</v>
      </c>
      <c r="U92" s="3">
        <f t="shared" ca="1" si="100"/>
        <v>4.9879508321764285E-2</v>
      </c>
      <c r="V92" s="3">
        <f t="shared" ca="1" si="100"/>
        <v>5.3956474773497305E-2</v>
      </c>
      <c r="W92" s="3">
        <f t="shared" ca="1" si="100"/>
        <v>5.1300556521033977E-2</v>
      </c>
      <c r="X92" s="3">
        <f t="shared" ca="1" si="100"/>
        <v>6.0449737581022088E-2</v>
      </c>
      <c r="Y92" s="3">
        <f t="shared" ca="1" si="100"/>
        <v>6.0291185344650555E-2</v>
      </c>
      <c r="Z92" s="3">
        <f t="shared" ca="1" si="100"/>
        <v>6.5703738102717901E-2</v>
      </c>
      <c r="AA92" s="3">
        <f t="shared" ca="1" si="100"/>
        <v>6.9867247365775903E-2</v>
      </c>
      <c r="AB92" s="3">
        <f t="shared" ref="AB92" ca="1" si="108">MIN(0.99,AB35+$O$3)</f>
        <v>7.0522271760022293E-2</v>
      </c>
      <c r="AC92" s="3">
        <f t="shared" ca="1" si="94"/>
        <v>8.0483824815140992E-2</v>
      </c>
      <c r="AD92" s="3">
        <f t="shared" ca="1" si="94"/>
        <v>7.5993590714268519E-2</v>
      </c>
      <c r="AE92" s="3">
        <f t="shared" ca="1" si="94"/>
        <v>9.0341413037694607E-2</v>
      </c>
      <c r="AF92" s="3">
        <f t="shared" ca="1" si="94"/>
        <v>8.5804626172656967E-2</v>
      </c>
      <c r="AG92" s="3">
        <f t="shared" ca="1" si="94"/>
        <v>9.7085122276809183E-2</v>
      </c>
      <c r="AH92" s="3">
        <f t="shared" ca="1" si="94"/>
        <v>0.11388126211553254</v>
      </c>
      <c r="AI92" s="3">
        <f t="shared" ca="1" si="94"/>
        <v>0.12318668280160666</v>
      </c>
      <c r="AJ92" s="3">
        <f t="shared" ca="1" si="94"/>
        <v>0.18004127982700893</v>
      </c>
    </row>
    <row r="93" spans="1:36" x14ac:dyDescent="0.35">
      <c r="A93" t="s">
        <v>77</v>
      </c>
      <c r="B93" t="s">
        <v>61</v>
      </c>
      <c r="C93" s="4">
        <v>5</v>
      </c>
      <c r="D93" s="3">
        <f t="shared" ca="1" si="77"/>
        <v>3.529048177597352E-2</v>
      </c>
      <c r="E93" s="3">
        <f t="shared" ca="1" si="100"/>
        <v>3.547944152062462E-2</v>
      </c>
      <c r="F93" s="3">
        <f t="shared" ca="1" si="100"/>
        <v>3.7745493164832805E-2</v>
      </c>
      <c r="G93" s="3">
        <f t="shared" ca="1" si="100"/>
        <v>3.7925403352093622E-2</v>
      </c>
      <c r="H93" s="3">
        <f t="shared" ca="1" si="100"/>
        <v>3.8943915025675374E-2</v>
      </c>
      <c r="I93" s="3">
        <f t="shared" ca="1" si="100"/>
        <v>4.0036207290582507E-2</v>
      </c>
      <c r="J93" s="3">
        <f t="shared" ca="1" si="100"/>
        <v>4.1168864345776705E-2</v>
      </c>
      <c r="K93" s="3">
        <f t="shared" ca="1" si="100"/>
        <v>4.1784152021837828E-2</v>
      </c>
      <c r="L93" s="3">
        <f t="shared" ca="1" si="100"/>
        <v>4.3601096057983041E-2</v>
      </c>
      <c r="M93" s="3">
        <f t="shared" ca="1" si="100"/>
        <v>4.2512547071963599E-2</v>
      </c>
      <c r="N93" s="3">
        <f t="shared" ca="1" si="100"/>
        <v>4.6472245662050451E-2</v>
      </c>
      <c r="O93" s="3">
        <f t="shared" ca="1" si="100"/>
        <v>4.364752486174267E-2</v>
      </c>
      <c r="P93" s="3">
        <f t="shared" ca="1" si="100"/>
        <v>4.8458260082450841E-2</v>
      </c>
      <c r="Q93" s="3">
        <f t="shared" ca="1" si="100"/>
        <v>4.6559873163735471E-2</v>
      </c>
      <c r="R93" s="3">
        <f t="shared" ca="1" si="100"/>
        <v>5.0602352222499772E-2</v>
      </c>
      <c r="S93" s="3">
        <f t="shared" ca="1" si="100"/>
        <v>4.941982009960965E-2</v>
      </c>
      <c r="T93" s="3">
        <f t="shared" ca="1" si="100"/>
        <v>5.1051564396724466E-2</v>
      </c>
      <c r="U93" s="3">
        <f t="shared" ca="1" si="100"/>
        <v>5.0835606087200419E-2</v>
      </c>
      <c r="V93" s="3">
        <f t="shared" ca="1" si="100"/>
        <v>5.4939011627139107E-2</v>
      </c>
      <c r="W93" s="3">
        <f t="shared" ca="1" si="100"/>
        <v>5.2259675682486538E-2</v>
      </c>
      <c r="X93" s="3">
        <f t="shared" ca="1" si="100"/>
        <v>6.142381498716791E-2</v>
      </c>
      <c r="Y93" s="3">
        <f t="shared" ca="1" si="100"/>
        <v>6.1286224095366972E-2</v>
      </c>
      <c r="Z93" s="3">
        <f t="shared" ca="1" si="100"/>
        <v>6.6633414124821461E-2</v>
      </c>
      <c r="AA93" s="3">
        <f t="shared" ca="1" si="100"/>
        <v>7.0812541998760276E-2</v>
      </c>
      <c r="AB93" s="3">
        <f t="shared" ref="AB93" ca="1" si="109">MIN(0.99,AB36+$O$3)</f>
        <v>7.1518606168177373E-2</v>
      </c>
      <c r="AC93" s="3">
        <f t="shared" ca="1" si="94"/>
        <v>8.1482016904741619E-2</v>
      </c>
      <c r="AD93" s="3">
        <f t="shared" ca="1" si="94"/>
        <v>7.6946838091091416E-2</v>
      </c>
      <c r="AE93" s="3">
        <f t="shared" ca="1" si="94"/>
        <v>9.1302592756005829E-2</v>
      </c>
      <c r="AF93" s="3">
        <f t="shared" ca="1" si="94"/>
        <v>8.6785414386521098E-2</v>
      </c>
      <c r="AG93" s="3">
        <f t="shared" ca="1" si="94"/>
        <v>9.80261230253959E-2</v>
      </c>
      <c r="AH93" s="3">
        <f t="shared" ca="1" si="94"/>
        <v>0.11487939033161307</v>
      </c>
      <c r="AI93" s="3">
        <f t="shared" ca="1" si="94"/>
        <v>0.12413860465451818</v>
      </c>
      <c r="AJ93" s="3">
        <f t="shared" ca="1" si="94"/>
        <v>0.18098523237737785</v>
      </c>
    </row>
    <row r="94" spans="1:36" x14ac:dyDescent="0.35">
      <c r="A94" t="s">
        <v>77</v>
      </c>
      <c r="B94" t="s">
        <v>61</v>
      </c>
      <c r="C94" s="4" t="s">
        <v>71</v>
      </c>
      <c r="D94" s="3">
        <f t="shared" ca="1" si="77"/>
        <v>3.6252315814816166E-2</v>
      </c>
      <c r="E94" s="3">
        <f t="shared" ca="1" si="100"/>
        <v>3.6437199667640092E-2</v>
      </c>
      <c r="F94" s="3">
        <f t="shared" ca="1" si="100"/>
        <v>3.8660333644560702E-2</v>
      </c>
      <c r="G94" s="3">
        <f t="shared" ca="1" si="100"/>
        <v>3.8869082976222269E-2</v>
      </c>
      <c r="H94" s="3">
        <f t="shared" ca="1" si="100"/>
        <v>3.9886063899263052E-2</v>
      </c>
      <c r="I94" s="3">
        <f t="shared" ca="1" si="100"/>
        <v>4.0966169586575209E-2</v>
      </c>
      <c r="J94" s="3">
        <f t="shared" ca="1" si="100"/>
        <v>4.210649191899439E-2</v>
      </c>
      <c r="K94" s="3">
        <f t="shared" ca="1" si="100"/>
        <v>4.2761875681039327E-2</v>
      </c>
      <c r="L94" s="3">
        <f t="shared" ca="1" si="100"/>
        <v>4.4592385185048128E-2</v>
      </c>
      <c r="M94" s="3">
        <f t="shared" ca="1" si="100"/>
        <v>4.3434156758302152E-2</v>
      </c>
      <c r="N94" s="3">
        <f t="shared" ca="1" si="100"/>
        <v>4.7465510718404567E-2</v>
      </c>
      <c r="O94" s="3">
        <f t="shared" ca="1" si="100"/>
        <v>4.4616318367625571E-2</v>
      </c>
      <c r="P94" s="3">
        <f t="shared" ca="1" si="100"/>
        <v>4.9366683199747727E-2</v>
      </c>
      <c r="Q94" s="3">
        <f t="shared" ca="1" si="100"/>
        <v>4.7492329944718525E-2</v>
      </c>
      <c r="R94" s="3">
        <f t="shared" ca="1" si="100"/>
        <v>5.1521281351998224E-2</v>
      </c>
      <c r="S94" s="3">
        <f t="shared" ca="1" si="100"/>
        <v>5.0372957799791153E-2</v>
      </c>
      <c r="T94" s="3">
        <f t="shared" ca="1" si="100"/>
        <v>5.2014582899917984E-2</v>
      </c>
      <c r="U94" s="3">
        <f t="shared" ca="1" si="100"/>
        <v>5.174860668428663E-2</v>
      </c>
      <c r="V94" s="3">
        <f t="shared" ca="1" si="100"/>
        <v>5.5914908918971815E-2</v>
      </c>
      <c r="W94" s="3">
        <f t="shared" ca="1" si="100"/>
        <v>5.3194419073828048E-2</v>
      </c>
      <c r="X94" s="3">
        <f t="shared" ca="1" si="100"/>
        <v>6.2405021625515672E-2</v>
      </c>
      <c r="Y94" s="3">
        <f t="shared" ca="1" si="100"/>
        <v>6.2245743187725376E-2</v>
      </c>
      <c r="Z94" s="3">
        <f t="shared" ca="1" si="100"/>
        <v>6.7587422231627517E-2</v>
      </c>
      <c r="AA94" s="3">
        <f t="shared" ca="1" si="100"/>
        <v>7.1812046341835634E-2</v>
      </c>
      <c r="AB94" s="3">
        <f t="shared" ref="AB94" ca="1" si="110">MIN(0.99,AB37+$O$3)</f>
        <v>7.2481133173866896E-2</v>
      </c>
      <c r="AC94" s="3">
        <f t="shared" ca="1" si="94"/>
        <v>8.2443668723246544E-2</v>
      </c>
      <c r="AD94" s="3">
        <f t="shared" ca="1" si="94"/>
        <v>7.792475262919403E-2</v>
      </c>
      <c r="AE94" s="3">
        <f t="shared" ca="1" si="94"/>
        <v>9.2262066743059812E-2</v>
      </c>
      <c r="AF94" s="3">
        <f t="shared" ca="1" si="94"/>
        <v>8.77438063833898E-2</v>
      </c>
      <c r="AG94" s="3">
        <f t="shared" ca="1" si="94"/>
        <v>9.9005719282346194E-2</v>
      </c>
      <c r="AH94" s="3">
        <f t="shared" ca="1" si="94"/>
        <v>0.11585829682867119</v>
      </c>
      <c r="AI94" s="3">
        <f t="shared" ca="1" si="94"/>
        <v>0.12504711762559195</v>
      </c>
      <c r="AJ94" s="3">
        <f t="shared" ca="1" si="94"/>
        <v>0.18197103985528301</v>
      </c>
    </row>
    <row r="95" spans="1:36" x14ac:dyDescent="0.35">
      <c r="A95" t="s">
        <v>77</v>
      </c>
      <c r="B95" t="s">
        <v>61</v>
      </c>
      <c r="C95" s="4" t="s">
        <v>72</v>
      </c>
      <c r="D95" s="3">
        <f t="shared" ca="1" si="77"/>
        <v>3.7152445030916928E-2</v>
      </c>
      <c r="E95" s="3">
        <f t="shared" ca="1" si="100"/>
        <v>3.735082970145881E-2</v>
      </c>
      <c r="F95" s="3">
        <f t="shared" ca="1" si="100"/>
        <v>3.9580161000270966E-2</v>
      </c>
      <c r="G95" s="3">
        <f t="shared" ca="1" si="100"/>
        <v>3.9825488412896862E-2</v>
      </c>
      <c r="H95" s="3">
        <f t="shared" ca="1" si="100"/>
        <v>4.0798407985671449E-2</v>
      </c>
      <c r="I95" s="3">
        <f t="shared" ca="1" si="100"/>
        <v>4.194223109310849E-2</v>
      </c>
      <c r="J95" s="3">
        <f t="shared" ca="1" si="100"/>
        <v>4.3009096113489687E-2</v>
      </c>
      <c r="K95" s="3">
        <f t="shared" ca="1" si="100"/>
        <v>4.3680613761538784E-2</v>
      </c>
      <c r="L95" s="3">
        <f t="shared" ca="1" si="100"/>
        <v>4.5579345557199988E-2</v>
      </c>
      <c r="M95" s="3">
        <f t="shared" ca="1" si="100"/>
        <v>4.4408197683742157E-2</v>
      </c>
      <c r="N95" s="3">
        <f t="shared" ca="1" si="100"/>
        <v>4.8415099592844457E-2</v>
      </c>
      <c r="O95" s="3">
        <f t="shared" ca="1" si="100"/>
        <v>4.5614953832701366E-2</v>
      </c>
      <c r="P95" s="3">
        <f t="shared" ca="1" si="100"/>
        <v>5.0334759832945254E-2</v>
      </c>
      <c r="Q95" s="3">
        <f t="shared" ca="1" si="100"/>
        <v>4.8470127589873707E-2</v>
      </c>
      <c r="R95" s="3">
        <f t="shared" ca="1" si="100"/>
        <v>5.2506015768321701E-2</v>
      </c>
      <c r="S95" s="3">
        <f t="shared" ca="1" si="100"/>
        <v>5.1310219539041982E-2</v>
      </c>
      <c r="T95" s="3">
        <f t="shared" ca="1" si="100"/>
        <v>5.2925925344397134E-2</v>
      </c>
      <c r="U95" s="3">
        <f t="shared" ca="1" si="100"/>
        <v>5.2737723038825492E-2</v>
      </c>
      <c r="V95" s="3">
        <f t="shared" ca="1" si="100"/>
        <v>5.6833397104936421E-2</v>
      </c>
      <c r="W95" s="3">
        <f t="shared" ca="1" si="100"/>
        <v>5.4111173693610598E-2</v>
      </c>
      <c r="X95" s="3">
        <f t="shared" ca="1" si="100"/>
        <v>6.3400387702888E-2</v>
      </c>
      <c r="Y95" s="3">
        <f t="shared" ca="1" si="100"/>
        <v>6.321214565537725E-2</v>
      </c>
      <c r="Z95" s="3">
        <f t="shared" ca="1" si="100"/>
        <v>6.851250658029194E-2</v>
      </c>
      <c r="AA95" s="3">
        <f t="shared" ca="1" si="100"/>
        <v>7.2736347948423458E-2</v>
      </c>
      <c r="AB95" s="3">
        <f t="shared" ref="AB95:AJ110" ca="1" si="111">MIN(0.99,AB38+$O$3)</f>
        <v>7.3467480710824817E-2</v>
      </c>
      <c r="AC95" s="3">
        <f t="shared" ca="1" si="111"/>
        <v>8.3375486760457529E-2</v>
      </c>
      <c r="AD95" s="3">
        <f t="shared" ca="1" si="111"/>
        <v>7.8883747964579809E-2</v>
      </c>
      <c r="AE95" s="3">
        <f t="shared" ca="1" si="111"/>
        <v>9.316685525810553E-2</v>
      </c>
      <c r="AF95" s="3">
        <f t="shared" ca="1" si="111"/>
        <v>8.8686936452228998E-2</v>
      </c>
      <c r="AG95" s="3">
        <f t="shared" ca="1" si="111"/>
        <v>9.9931697981602841E-2</v>
      </c>
      <c r="AH95" s="3">
        <f t="shared" ca="1" si="111"/>
        <v>0.11679916474548538</v>
      </c>
      <c r="AI95" s="3">
        <f t="shared" ca="1" si="111"/>
        <v>0.12596599081363205</v>
      </c>
      <c r="AJ95" s="3">
        <f t="shared" ca="1" si="111"/>
        <v>0.18288969352085779</v>
      </c>
    </row>
    <row r="96" spans="1:36" x14ac:dyDescent="0.35">
      <c r="A96" t="s">
        <v>77</v>
      </c>
      <c r="B96" t="s">
        <v>61</v>
      </c>
      <c r="C96" s="4">
        <v>6</v>
      </c>
      <c r="D96" s="3">
        <f t="shared" ca="1" si="77"/>
        <v>3.8103925523829615E-2</v>
      </c>
      <c r="E96" s="3">
        <f t="shared" ca="1" si="100"/>
        <v>3.8273480413622357E-2</v>
      </c>
      <c r="F96" s="3">
        <f t="shared" ca="1" si="100"/>
        <v>4.0484260479984158E-2</v>
      </c>
      <c r="G96" s="3">
        <f t="shared" ca="1" si="100"/>
        <v>4.0784990179027439E-2</v>
      </c>
      <c r="H96" s="3">
        <f t="shared" ca="1" si="100"/>
        <v>4.1746432107819031E-2</v>
      </c>
      <c r="I96" s="3">
        <f t="shared" ca="1" si="100"/>
        <v>4.2924662333216429E-2</v>
      </c>
      <c r="J96" s="3">
        <f t="shared" ca="1" si="100"/>
        <v>4.3979100515904895E-2</v>
      </c>
      <c r="K96" s="3">
        <f t="shared" ca="1" si="100"/>
        <v>4.4643417586740564E-2</v>
      </c>
      <c r="L96" s="3">
        <f t="shared" ca="1" si="100"/>
        <v>4.6548114463104584E-2</v>
      </c>
      <c r="M96" s="3">
        <f t="shared" ca="1" si="100"/>
        <v>4.538771181540948E-2</v>
      </c>
      <c r="N96" s="3">
        <f t="shared" ca="1" si="100"/>
        <v>4.9329867427790261E-2</v>
      </c>
      <c r="O96" s="3">
        <f t="shared" ca="1" si="100"/>
        <v>4.6548931738468281E-2</v>
      </c>
      <c r="P96" s="3">
        <f t="shared" ca="1" si="100"/>
        <v>5.1281455029663914E-2</v>
      </c>
      <c r="Q96" s="3">
        <f t="shared" ca="1" si="100"/>
        <v>4.9404786900639111E-2</v>
      </c>
      <c r="R96" s="3">
        <f t="shared" ca="1" si="100"/>
        <v>5.3413632366164671E-2</v>
      </c>
      <c r="S96" s="3">
        <f t="shared" ca="1" si="100"/>
        <v>5.2231757462390012E-2</v>
      </c>
      <c r="T96" s="3">
        <f t="shared" ca="1" si="100"/>
        <v>5.3865839441618005E-2</v>
      </c>
      <c r="U96" s="3">
        <f t="shared" ca="1" si="100"/>
        <v>5.3651666601106013E-2</v>
      </c>
      <c r="V96" s="3">
        <f t="shared" ca="1" si="100"/>
        <v>5.7807452264244739E-2</v>
      </c>
      <c r="W96" s="3">
        <f t="shared" ca="1" si="100"/>
        <v>5.5069344767362097E-2</v>
      </c>
      <c r="X96" s="3">
        <f t="shared" ca="1" si="100"/>
        <v>6.4335712794168831E-2</v>
      </c>
      <c r="Y96" s="3">
        <f t="shared" ca="1" si="100"/>
        <v>6.4119962252992352E-2</v>
      </c>
      <c r="Z96" s="3">
        <f t="shared" ref="E96:AA107" ca="1" si="112">MIN(0.99,Z39+$O$3)</f>
        <v>6.9472239793457111E-2</v>
      </c>
      <c r="AA96" s="3">
        <f t="shared" ca="1" si="112"/>
        <v>7.368728917574642E-2</v>
      </c>
      <c r="AB96" s="3">
        <f t="shared" ref="AB96" ca="1" si="113">MIN(0.99,AB39+$O$3)</f>
        <v>7.4369623207543201E-2</v>
      </c>
      <c r="AC96" s="3">
        <f t="shared" ca="1" si="111"/>
        <v>8.4349953632745195E-2</v>
      </c>
      <c r="AD96" s="3">
        <f t="shared" ca="1" si="111"/>
        <v>7.9818404522337627E-2</v>
      </c>
      <c r="AE96" s="3">
        <f t="shared" ca="1" si="111"/>
        <v>9.4153739272858222E-2</v>
      </c>
      <c r="AF96" s="3">
        <f t="shared" ca="1" si="111"/>
        <v>8.9680560202234333E-2</v>
      </c>
      <c r="AG96" s="3">
        <f t="shared" ca="1" si="111"/>
        <v>0.1008755697377704</v>
      </c>
      <c r="AH96" s="3">
        <f t="shared" ca="1" si="111"/>
        <v>0.11775955657050127</v>
      </c>
      <c r="AI96" s="3">
        <f t="shared" ca="1" si="111"/>
        <v>0.12694268838125666</v>
      </c>
      <c r="AJ96" s="3">
        <f t="shared" ca="1" si="111"/>
        <v>0.18383526118322763</v>
      </c>
    </row>
    <row r="97" spans="1:36" x14ac:dyDescent="0.35">
      <c r="A97" t="s">
        <v>77</v>
      </c>
      <c r="B97" t="s">
        <v>61</v>
      </c>
      <c r="C97" s="4" t="s">
        <v>73</v>
      </c>
      <c r="D97" s="3">
        <f t="shared" ca="1" si="77"/>
        <v>3.9076343410252165E-2</v>
      </c>
      <c r="E97" s="3">
        <f t="shared" ca="1" si="112"/>
        <v>3.9220448312122118E-2</v>
      </c>
      <c r="F97" s="3">
        <f t="shared" ca="1" si="112"/>
        <v>4.147447550950345E-2</v>
      </c>
      <c r="G97" s="3">
        <f t="shared" ca="1" si="112"/>
        <v>4.1761084793114286E-2</v>
      </c>
      <c r="H97" s="3">
        <f t="shared" ca="1" si="112"/>
        <v>4.2744522938184482E-2</v>
      </c>
      <c r="I97" s="3">
        <f t="shared" ca="1" si="112"/>
        <v>4.389778819768915E-2</v>
      </c>
      <c r="J97" s="3">
        <f t="shared" ca="1" si="112"/>
        <v>4.4883185304970874E-2</v>
      </c>
      <c r="K97" s="3">
        <f t="shared" ca="1" si="112"/>
        <v>4.560788030456174E-2</v>
      </c>
      <c r="L97" s="3">
        <f t="shared" ca="1" si="112"/>
        <v>4.7455920816493607E-2</v>
      </c>
      <c r="M97" s="3">
        <f t="shared" ca="1" si="112"/>
        <v>4.6288634924567293E-2</v>
      </c>
      <c r="N97" s="3">
        <f t="shared" ca="1" si="112"/>
        <v>5.0311145294651638E-2</v>
      </c>
      <c r="O97" s="3">
        <f t="shared" ca="1" si="112"/>
        <v>4.745228381543265E-2</v>
      </c>
      <c r="P97" s="3">
        <f t="shared" ca="1" si="112"/>
        <v>5.2272247291273943E-2</v>
      </c>
      <c r="Q97" s="3">
        <f t="shared" ca="1" si="112"/>
        <v>5.032272646081265E-2</v>
      </c>
      <c r="R97" s="3">
        <f t="shared" ca="1" si="112"/>
        <v>5.4397149081169265E-2</v>
      </c>
      <c r="S97" s="3">
        <f t="shared" ca="1" si="112"/>
        <v>5.3179343186951306E-2</v>
      </c>
      <c r="T97" s="3">
        <f t="shared" ca="1" si="112"/>
        <v>5.4818966535687082E-2</v>
      </c>
      <c r="U97" s="3">
        <f t="shared" ca="1" si="112"/>
        <v>5.45551675414273E-2</v>
      </c>
      <c r="V97" s="3">
        <f t="shared" ca="1" si="112"/>
        <v>5.8748233990400495E-2</v>
      </c>
      <c r="W97" s="3">
        <f t="shared" ca="1" si="112"/>
        <v>5.6030469659940074E-2</v>
      </c>
      <c r="X97" s="3">
        <f t="shared" ca="1" si="112"/>
        <v>6.5237231515940061E-2</v>
      </c>
      <c r="Y97" s="3">
        <f t="shared" ca="1" si="112"/>
        <v>6.5040881082994467E-2</v>
      </c>
      <c r="Z97" s="3">
        <f t="shared" ca="1" si="112"/>
        <v>7.0463222183403063E-2</v>
      </c>
      <c r="AA97" s="3">
        <f t="shared" ca="1" si="112"/>
        <v>7.4627256529838315E-2</v>
      </c>
      <c r="AB97" s="3">
        <f t="shared" ref="AB97" ca="1" si="114">MIN(0.99,AB40+$O$3)</f>
        <v>7.5330225640333481E-2</v>
      </c>
      <c r="AC97" s="3">
        <f t="shared" ca="1" si="111"/>
        <v>8.5267167041067016E-2</v>
      </c>
      <c r="AD97" s="3">
        <f t="shared" ca="1" si="111"/>
        <v>8.0726376327012378E-2</v>
      </c>
      <c r="AE97" s="3">
        <f t="shared" ca="1" si="111"/>
        <v>9.5093762480073757E-2</v>
      </c>
      <c r="AF97" s="3">
        <f t="shared" ca="1" si="111"/>
        <v>9.0629337723902831E-2</v>
      </c>
      <c r="AG97" s="3">
        <f t="shared" ca="1" si="111"/>
        <v>0.10178160364646946</v>
      </c>
      <c r="AH97" s="3">
        <f t="shared" ca="1" si="111"/>
        <v>0.11868443861067618</v>
      </c>
      <c r="AI97" s="3">
        <f t="shared" ca="1" si="111"/>
        <v>0.12791532296838085</v>
      </c>
      <c r="AJ97" s="3">
        <f t="shared" ca="1" si="111"/>
        <v>0.18476592350239432</v>
      </c>
    </row>
    <row r="98" spans="1:36" x14ac:dyDescent="0.35">
      <c r="A98" t="s">
        <v>77</v>
      </c>
      <c r="B98" t="s">
        <v>61</v>
      </c>
      <c r="C98" s="4" t="s">
        <v>74</v>
      </c>
      <c r="D98" s="3">
        <f t="shared" ca="1" si="77"/>
        <v>3.9977639289510841E-2</v>
      </c>
      <c r="E98" s="3">
        <f t="shared" ca="1" si="112"/>
        <v>4.0185436779868522E-2</v>
      </c>
      <c r="F98" s="3">
        <f t="shared" ca="1" si="112"/>
        <v>4.2439383080087587E-2</v>
      </c>
      <c r="G98" s="3">
        <f t="shared" ca="1" si="112"/>
        <v>4.2707938263329609E-2</v>
      </c>
      <c r="H98" s="3">
        <f t="shared" ca="1" si="112"/>
        <v>4.3728314198047791E-2</v>
      </c>
      <c r="I98" s="3">
        <f t="shared" ca="1" si="112"/>
        <v>4.4799586844370409E-2</v>
      </c>
      <c r="J98" s="3">
        <f t="shared" ca="1" si="112"/>
        <v>4.5878908646493306E-2</v>
      </c>
      <c r="K98" s="3">
        <f t="shared" ca="1" si="112"/>
        <v>4.6592240663813261E-2</v>
      </c>
      <c r="L98" s="3">
        <f t="shared" ca="1" si="112"/>
        <v>4.8443325354229259E-2</v>
      </c>
      <c r="M98" s="3">
        <f t="shared" ca="1" si="112"/>
        <v>4.7265813482198299E-2</v>
      </c>
      <c r="N98" s="3">
        <f t="shared" ca="1" si="112"/>
        <v>5.1307272751339644E-2</v>
      </c>
      <c r="O98" s="3">
        <f t="shared" ca="1" si="112"/>
        <v>4.8391280638935268E-2</v>
      </c>
      <c r="P98" s="3">
        <f t="shared" ca="1" si="112"/>
        <v>5.3183006535830052E-2</v>
      </c>
      <c r="Q98" s="3">
        <f t="shared" ca="1" si="112"/>
        <v>5.1242322027796987E-2</v>
      </c>
      <c r="R98" s="3">
        <f t="shared" ca="1" si="112"/>
        <v>5.5313369639595614E-2</v>
      </c>
      <c r="S98" s="3">
        <f t="shared" ca="1" si="112"/>
        <v>5.412470999008296E-2</v>
      </c>
      <c r="T98" s="3">
        <f t="shared" ca="1" si="112"/>
        <v>5.5790822628961942E-2</v>
      </c>
      <c r="U98" s="3">
        <f t="shared" ca="1" si="112"/>
        <v>5.5501393744067637E-2</v>
      </c>
      <c r="V98" s="3">
        <f t="shared" ca="1" si="112"/>
        <v>5.9724209770869285E-2</v>
      </c>
      <c r="W98" s="3">
        <f t="shared" ca="1" si="112"/>
        <v>5.7028908521711823E-2</v>
      </c>
      <c r="X98" s="3">
        <f t="shared" ca="1" si="112"/>
        <v>6.621159183555364E-2</v>
      </c>
      <c r="Y98" s="3">
        <f t="shared" ca="1" si="112"/>
        <v>6.59570978279925E-2</v>
      </c>
      <c r="Z98" s="3">
        <f t="shared" ca="1" si="112"/>
        <v>7.1427681368468776E-2</v>
      </c>
      <c r="AA98" s="3">
        <f t="shared" ca="1" si="112"/>
        <v>7.558193720008563E-2</v>
      </c>
      <c r="AB98" s="3">
        <f t="shared" ref="AB98" ca="1" si="115">MIN(0.99,AB41+$O$3)</f>
        <v>7.6289124051551305E-2</v>
      </c>
      <c r="AC98" s="3">
        <f t="shared" ca="1" si="111"/>
        <v>8.6172249048327793E-2</v>
      </c>
      <c r="AD98" s="3">
        <f t="shared" ca="1" si="111"/>
        <v>8.1716600628391062E-2</v>
      </c>
      <c r="AE98" s="3">
        <f t="shared" ca="1" si="111"/>
        <v>9.6017728469283997E-2</v>
      </c>
      <c r="AF98" s="3">
        <f t="shared" ca="1" si="111"/>
        <v>9.1606794667857039E-2</v>
      </c>
      <c r="AG98" s="3">
        <f t="shared" ca="1" si="111"/>
        <v>0.10271653063188432</v>
      </c>
      <c r="AH98" s="3">
        <f t="shared" ca="1" si="111"/>
        <v>0.11961833689731144</v>
      </c>
      <c r="AI98" s="3">
        <f t="shared" ca="1" si="111"/>
        <v>0.12888614259121348</v>
      </c>
      <c r="AJ98" s="3">
        <f t="shared" ca="1" si="111"/>
        <v>0.18573333340118234</v>
      </c>
    </row>
    <row r="99" spans="1:36" x14ac:dyDescent="0.35">
      <c r="A99" t="s">
        <v>77</v>
      </c>
      <c r="B99" t="s">
        <v>61</v>
      </c>
      <c r="C99" s="4">
        <v>7</v>
      </c>
      <c r="D99" s="3">
        <f t="shared" ca="1" si="77"/>
        <v>4.0917500457153477E-2</v>
      </c>
      <c r="E99" s="3">
        <f t="shared" ca="1" si="112"/>
        <v>4.1145254027243797E-2</v>
      </c>
      <c r="F99" s="3">
        <f t="shared" ca="1" si="112"/>
        <v>4.3402079986710321E-2</v>
      </c>
      <c r="G99" s="3">
        <f t="shared" ca="1" si="112"/>
        <v>4.3655961922810647E-2</v>
      </c>
      <c r="H99" s="3">
        <f t="shared" ca="1" si="112"/>
        <v>4.4693695797489941E-2</v>
      </c>
      <c r="I99" s="3">
        <f t="shared" ca="1" si="112"/>
        <v>4.5712770370238326E-2</v>
      </c>
      <c r="J99" s="3">
        <f t="shared" ca="1" si="112"/>
        <v>4.680202189523186E-2</v>
      </c>
      <c r="K99" s="3">
        <f t="shared" ca="1" si="112"/>
        <v>4.756580388978391E-2</v>
      </c>
      <c r="L99" s="3">
        <f t="shared" ca="1" si="112"/>
        <v>4.9391266178167081E-2</v>
      </c>
      <c r="M99" s="3">
        <f t="shared" ca="1" si="112"/>
        <v>4.8253252161495855E-2</v>
      </c>
      <c r="N99" s="3">
        <f t="shared" ca="1" si="112"/>
        <v>5.2303183100044205E-2</v>
      </c>
      <c r="O99" s="3">
        <f t="shared" ca="1" si="112"/>
        <v>4.9313826593341797E-2</v>
      </c>
      <c r="P99" s="3">
        <f t="shared" ca="1" si="112"/>
        <v>5.4115654610217855E-2</v>
      </c>
      <c r="Q99" s="3">
        <f t="shared" ca="1" si="112"/>
        <v>5.2164492849901399E-2</v>
      </c>
      <c r="R99" s="3">
        <f t="shared" ca="1" si="112"/>
        <v>5.6231283107714573E-2</v>
      </c>
      <c r="S99" s="3">
        <f t="shared" ca="1" si="112"/>
        <v>5.5048976461946432E-2</v>
      </c>
      <c r="T99" s="3">
        <f t="shared" ca="1" si="112"/>
        <v>5.6741699628516669E-2</v>
      </c>
      <c r="U99" s="3">
        <f t="shared" ca="1" si="112"/>
        <v>5.6467115659572964E-2</v>
      </c>
      <c r="V99" s="3">
        <f t="shared" ca="1" si="112"/>
        <v>6.0634500210641547E-2</v>
      </c>
      <c r="W99" s="3">
        <f t="shared" ca="1" si="112"/>
        <v>5.7967627336666647E-2</v>
      </c>
      <c r="X99" s="3">
        <f t="shared" ca="1" si="112"/>
        <v>6.7184367354596874E-2</v>
      </c>
      <c r="Y99" s="3">
        <f t="shared" ca="1" si="112"/>
        <v>6.6947228346252483E-2</v>
      </c>
      <c r="Z99" s="3">
        <f t="shared" ca="1" si="112"/>
        <v>7.2389245541982922E-2</v>
      </c>
      <c r="AA99" s="3">
        <f t="shared" ca="1" si="112"/>
        <v>7.6537737673600309E-2</v>
      </c>
      <c r="AB99" s="3">
        <f t="shared" ref="AB99" ca="1" si="116">MIN(0.99,AB42+$O$3)</f>
        <v>7.7257376411871193E-2</v>
      </c>
      <c r="AC99" s="3">
        <f t="shared" ca="1" si="111"/>
        <v>8.7115430043037512E-2</v>
      </c>
      <c r="AD99" s="3">
        <f t="shared" ca="1" si="111"/>
        <v>8.2680075854409174E-2</v>
      </c>
      <c r="AE99" s="3">
        <f t="shared" ca="1" si="111"/>
        <v>9.7010852462887126E-2</v>
      </c>
      <c r="AF99" s="3">
        <f t="shared" ca="1" si="111"/>
        <v>9.2556304016067098E-2</v>
      </c>
      <c r="AG99" s="3">
        <f t="shared" ca="1" si="111"/>
        <v>0.10369025144899674</v>
      </c>
      <c r="AH99" s="3">
        <f t="shared" ca="1" si="111"/>
        <v>0.12061363140557976</v>
      </c>
      <c r="AI99" s="3">
        <f t="shared" ca="1" si="111"/>
        <v>0.12985618723574055</v>
      </c>
      <c r="AJ99" s="3">
        <f t="shared" ca="1" si="111"/>
        <v>0.18665884083679893</v>
      </c>
    </row>
    <row r="100" spans="1:36" x14ac:dyDescent="0.35">
      <c r="A100" t="s">
        <v>77</v>
      </c>
      <c r="B100" t="s">
        <v>61</v>
      </c>
      <c r="C100" s="4" t="s">
        <v>75</v>
      </c>
      <c r="D100" s="3">
        <f t="shared" ca="1" si="77"/>
        <v>4.1875279045820765E-2</v>
      </c>
      <c r="E100" s="3">
        <f t="shared" ca="1" si="112"/>
        <v>4.2050952856554108E-2</v>
      </c>
      <c r="F100" s="3">
        <f t="shared" ca="1" si="112"/>
        <v>4.4331291703665704E-2</v>
      </c>
      <c r="G100" s="3">
        <f t="shared" ca="1" si="112"/>
        <v>4.4617035472300247E-2</v>
      </c>
      <c r="H100" s="3">
        <f t="shared" ca="1" si="112"/>
        <v>4.5659732397400302E-2</v>
      </c>
      <c r="I100" s="3">
        <f t="shared" ca="1" si="112"/>
        <v>4.6625266300928753E-2</v>
      </c>
      <c r="J100" s="3">
        <f t="shared" ca="1" si="112"/>
        <v>4.7732193739254941E-2</v>
      </c>
      <c r="K100" s="3">
        <f t="shared" ca="1" si="112"/>
        <v>4.8534920103237553E-2</v>
      </c>
      <c r="L100" s="3">
        <f t="shared" ca="1" si="112"/>
        <v>5.0367663099142396E-2</v>
      </c>
      <c r="M100" s="3">
        <f t="shared" ca="1" si="112"/>
        <v>4.9248868170021956E-2</v>
      </c>
      <c r="N100" s="3">
        <f t="shared" ca="1" si="112"/>
        <v>5.3301215955139376E-2</v>
      </c>
      <c r="O100" s="3">
        <f t="shared" ca="1" si="112"/>
        <v>5.030024276114245E-2</v>
      </c>
      <c r="P100" s="3">
        <f t="shared" ca="1" si="112"/>
        <v>5.5056846225950369E-2</v>
      </c>
      <c r="Q100" s="3">
        <f t="shared" ca="1" si="112"/>
        <v>5.3144920288838278E-2</v>
      </c>
      <c r="R100" s="3">
        <f t="shared" ca="1" si="112"/>
        <v>5.7143639840127172E-2</v>
      </c>
      <c r="S100" s="3">
        <f t="shared" ca="1" si="112"/>
        <v>5.6034138765704032E-2</v>
      </c>
      <c r="T100" s="3">
        <f t="shared" ca="1" si="112"/>
        <v>5.7679201537240293E-2</v>
      </c>
      <c r="U100" s="3">
        <f t="shared" ca="1" si="112"/>
        <v>5.7464213174064818E-2</v>
      </c>
      <c r="V100" s="3">
        <f t="shared" ca="1" si="112"/>
        <v>6.158600593753475E-2</v>
      </c>
      <c r="W100" s="3">
        <f t="shared" ca="1" si="112"/>
        <v>5.8948794587549529E-2</v>
      </c>
      <c r="X100" s="3">
        <f t="shared" ca="1" si="112"/>
        <v>6.81147884109638E-2</v>
      </c>
      <c r="Y100" s="3">
        <f t="shared" ca="1" si="112"/>
        <v>6.7858619484755939E-2</v>
      </c>
      <c r="Z100" s="3">
        <f t="shared" ca="1" si="112"/>
        <v>7.3363688088643159E-2</v>
      </c>
      <c r="AA100" s="3">
        <f t="shared" ca="1" si="112"/>
        <v>7.7453285624751816E-2</v>
      </c>
      <c r="AB100" s="3">
        <f t="shared" ref="AB100" ca="1" si="117">MIN(0.99,AB43+$O$3)</f>
        <v>7.8224204114412069E-2</v>
      </c>
      <c r="AC100" s="3">
        <f t="shared" ca="1" si="111"/>
        <v>8.8063507362981464E-2</v>
      </c>
      <c r="AD100" s="3">
        <f t="shared" ca="1" si="111"/>
        <v>8.3653063211581058E-2</v>
      </c>
      <c r="AE100" s="3">
        <f t="shared" ca="1" si="111"/>
        <v>9.7962034273169796E-2</v>
      </c>
      <c r="AF100" s="3">
        <f t="shared" ca="1" si="111"/>
        <v>9.3501160086666285E-2</v>
      </c>
      <c r="AG100" s="3">
        <f t="shared" ca="1" si="111"/>
        <v>0.10466917311204668</v>
      </c>
      <c r="AH100" s="3">
        <f t="shared" ca="1" si="111"/>
        <v>0.12159688142287708</v>
      </c>
      <c r="AI100" s="3">
        <f t="shared" ca="1" si="111"/>
        <v>0.13078900967914031</v>
      </c>
      <c r="AJ100" s="3">
        <f t="shared" ca="1" si="111"/>
        <v>0.18755889479748142</v>
      </c>
    </row>
    <row r="101" spans="1:36" x14ac:dyDescent="0.35">
      <c r="A101" t="s">
        <v>77</v>
      </c>
      <c r="B101" t="s">
        <v>62</v>
      </c>
      <c r="C101" s="4">
        <v>1</v>
      </c>
      <c r="D101" s="3">
        <f t="shared" ca="1" si="77"/>
        <v>2.5913705909847564E-2</v>
      </c>
      <c r="E101" s="3">
        <f t="shared" ca="1" si="112"/>
        <v>2.6014891107427968E-2</v>
      </c>
      <c r="F101" s="3">
        <f t="shared" ca="1" si="112"/>
        <v>2.8194444470184803E-2</v>
      </c>
      <c r="G101" s="3">
        <f t="shared" ca="1" si="112"/>
        <v>2.8516049755581297E-2</v>
      </c>
      <c r="H101" s="3">
        <f t="shared" ca="1" si="112"/>
        <v>2.9618601818109665E-2</v>
      </c>
      <c r="I101" s="3">
        <f t="shared" ca="1" si="112"/>
        <v>3.0560943764107253E-2</v>
      </c>
      <c r="J101" s="3">
        <f t="shared" ca="1" si="112"/>
        <v>3.1614138834151477E-2</v>
      </c>
      <c r="K101" s="3">
        <f t="shared" ca="1" si="112"/>
        <v>3.2290571818734598E-2</v>
      </c>
      <c r="L101" s="3">
        <f t="shared" ca="1" si="112"/>
        <v>3.4082434204609074E-2</v>
      </c>
      <c r="M101" s="3">
        <f t="shared" ca="1" si="112"/>
        <v>3.3058248239438134E-2</v>
      </c>
      <c r="N101" s="3">
        <f t="shared" ca="1" si="112"/>
        <v>3.7055500390365211E-2</v>
      </c>
      <c r="O101" s="3">
        <f t="shared" ca="1" si="112"/>
        <v>3.4029621394540605E-2</v>
      </c>
      <c r="P101" s="3">
        <f t="shared" ca="1" si="112"/>
        <v>3.8997233402660925E-2</v>
      </c>
      <c r="Q101" s="3">
        <f t="shared" ca="1" si="112"/>
        <v>3.708363491580189E-2</v>
      </c>
      <c r="R101" s="3">
        <f t="shared" ca="1" si="112"/>
        <v>4.1064857934216603E-2</v>
      </c>
      <c r="S101" s="3">
        <f t="shared" ca="1" si="112"/>
        <v>3.9896046395142937E-2</v>
      </c>
      <c r="T101" s="3">
        <f t="shared" ca="1" si="112"/>
        <v>4.159090578228862E-2</v>
      </c>
      <c r="U101" s="3">
        <f t="shared" ca="1" si="112"/>
        <v>4.1444573540657295E-2</v>
      </c>
      <c r="V101" s="3">
        <f t="shared" ca="1" si="112"/>
        <v>4.5474417489700089E-2</v>
      </c>
      <c r="W101" s="3">
        <f t="shared" ca="1" si="112"/>
        <v>4.2911075326445336E-2</v>
      </c>
      <c r="X101" s="3">
        <f t="shared" ca="1" si="112"/>
        <v>5.2015268972069637E-2</v>
      </c>
      <c r="Y101" s="3">
        <f t="shared" ca="1" si="112"/>
        <v>5.1669398032775232E-2</v>
      </c>
      <c r="Z101" s="3">
        <f t="shared" ca="1" si="112"/>
        <v>5.7211387944149449E-2</v>
      </c>
      <c r="AA101" s="3">
        <f t="shared" ca="1" si="112"/>
        <v>6.142703577363328E-2</v>
      </c>
      <c r="AB101" s="3">
        <f t="shared" ref="AB101" ca="1" si="118">MIN(0.99,AB44+$O$3)</f>
        <v>6.2009861435001375E-2</v>
      </c>
      <c r="AC101" s="3">
        <f t="shared" ca="1" si="111"/>
        <v>7.2039922733635214E-2</v>
      </c>
      <c r="AD101" s="3">
        <f t="shared" ca="1" si="111"/>
        <v>6.7584554078741338E-2</v>
      </c>
      <c r="AE101" s="3">
        <f t="shared" ca="1" si="111"/>
        <v>8.1909917212217798E-2</v>
      </c>
      <c r="AF101" s="3">
        <f t="shared" ca="1" si="111"/>
        <v>7.7385227567861536E-2</v>
      </c>
      <c r="AG101" s="3">
        <f t="shared" ca="1" si="111"/>
        <v>8.8414225348875247E-2</v>
      </c>
      <c r="AH101" s="3">
        <f t="shared" ca="1" si="111"/>
        <v>0.10522340421813228</v>
      </c>
      <c r="AI101" s="3">
        <f t="shared" ca="1" si="111"/>
        <v>0.11477928075068411</v>
      </c>
      <c r="AJ101" s="3">
        <f t="shared" ca="1" si="111"/>
        <v>0.17143416287807256</v>
      </c>
    </row>
    <row r="102" spans="1:36" x14ac:dyDescent="0.35">
      <c r="A102" t="s">
        <v>77</v>
      </c>
      <c r="B102" t="s">
        <v>62</v>
      </c>
      <c r="C102" s="4" t="s">
        <v>64</v>
      </c>
      <c r="D102" s="3">
        <f t="shared" ca="1" si="77"/>
        <v>2.6859369085096726E-2</v>
      </c>
      <c r="E102" s="3">
        <f t="shared" ca="1" si="112"/>
        <v>2.6952874469364629E-2</v>
      </c>
      <c r="F102" s="3">
        <f t="shared" ca="1" si="112"/>
        <v>2.913642026413164E-2</v>
      </c>
      <c r="G102" s="3">
        <f t="shared" ca="1" si="112"/>
        <v>2.9461271233584999E-2</v>
      </c>
      <c r="H102" s="3">
        <f t="shared" ca="1" si="112"/>
        <v>3.0565750332690472E-2</v>
      </c>
      <c r="I102" s="3">
        <f t="shared" ca="1" si="112"/>
        <v>3.1483703257362217E-2</v>
      </c>
      <c r="J102" s="3">
        <f t="shared" ca="1" si="112"/>
        <v>3.2530427554768676E-2</v>
      </c>
      <c r="K102" s="3">
        <f t="shared" ca="1" si="112"/>
        <v>3.3225009212933511E-2</v>
      </c>
      <c r="L102" s="3">
        <f t="shared" ca="1" si="112"/>
        <v>3.5032238065345112E-2</v>
      </c>
      <c r="M102" s="3">
        <f t="shared" ca="1" si="112"/>
        <v>3.4015141840230752E-2</v>
      </c>
      <c r="N102" s="3">
        <f t="shared" ca="1" si="112"/>
        <v>3.80055048036088E-2</v>
      </c>
      <c r="O102" s="3">
        <f t="shared" ca="1" si="112"/>
        <v>3.4976087755544769E-2</v>
      </c>
      <c r="P102" s="3">
        <f t="shared" ca="1" si="112"/>
        <v>3.9973100783297744E-2</v>
      </c>
      <c r="Q102" s="3">
        <f t="shared" ca="1" si="112"/>
        <v>3.8035628708584221E-2</v>
      </c>
      <c r="R102" s="3">
        <f t="shared" ca="1" si="112"/>
        <v>4.2008718824845123E-2</v>
      </c>
      <c r="S102" s="3">
        <f t="shared" ca="1" si="112"/>
        <v>4.0833246135756951E-2</v>
      </c>
      <c r="T102" s="3">
        <f t="shared" ca="1" si="112"/>
        <v>4.2517323755621866E-2</v>
      </c>
      <c r="U102" s="3">
        <f t="shared" ca="1" si="112"/>
        <v>4.2358018967929748E-2</v>
      </c>
      <c r="V102" s="3">
        <f t="shared" ca="1" si="112"/>
        <v>4.6413827681672362E-2</v>
      </c>
      <c r="W102" s="3">
        <f t="shared" ca="1" si="112"/>
        <v>4.3848944283317343E-2</v>
      </c>
      <c r="X102" s="3">
        <f t="shared" ca="1" si="112"/>
        <v>5.2945560605902386E-2</v>
      </c>
      <c r="Y102" s="3">
        <f t="shared" ca="1" si="112"/>
        <v>5.2655488296011931E-2</v>
      </c>
      <c r="Z102" s="3">
        <f t="shared" ca="1" si="112"/>
        <v>5.8180368336985672E-2</v>
      </c>
      <c r="AA102" s="3">
        <f t="shared" ca="1" si="112"/>
        <v>6.2412512025703318E-2</v>
      </c>
      <c r="AB102" s="3">
        <f t="shared" ref="AB102" ca="1" si="119">MIN(0.99,AB45+$O$3)</f>
        <v>6.2934171179409193E-2</v>
      </c>
      <c r="AC102" s="3">
        <f t="shared" ca="1" si="111"/>
        <v>7.3009224929046657E-2</v>
      </c>
      <c r="AD102" s="3">
        <f t="shared" ca="1" si="111"/>
        <v>6.8564747644908386E-2</v>
      </c>
      <c r="AE102" s="3">
        <f t="shared" ca="1" si="111"/>
        <v>8.2821463079713609E-2</v>
      </c>
      <c r="AF102" s="3">
        <f t="shared" ca="1" si="111"/>
        <v>7.8341394106224885E-2</v>
      </c>
      <c r="AG102" s="3">
        <f t="shared" ca="1" si="111"/>
        <v>8.9406165541363908E-2</v>
      </c>
      <c r="AH102" s="3">
        <f t="shared" ca="1" si="111"/>
        <v>0.10620115255780724</v>
      </c>
      <c r="AI102" s="3">
        <f t="shared" ca="1" si="111"/>
        <v>0.11577362788181481</v>
      </c>
      <c r="AJ102" s="3">
        <f t="shared" ca="1" si="111"/>
        <v>0.17240802984172168</v>
      </c>
    </row>
    <row r="103" spans="1:36" x14ac:dyDescent="0.35">
      <c r="A103" t="s">
        <v>77</v>
      </c>
      <c r="B103" t="s">
        <v>62</v>
      </c>
      <c r="C103" s="4">
        <v>2</v>
      </c>
      <c r="D103" s="3">
        <f t="shared" ca="1" si="77"/>
        <v>2.7808230056545258E-2</v>
      </c>
      <c r="E103" s="3">
        <f t="shared" ca="1" si="112"/>
        <v>2.7910771231287188E-2</v>
      </c>
      <c r="F103" s="3">
        <f t="shared" ca="1" si="112"/>
        <v>3.0134214468251003E-2</v>
      </c>
      <c r="G103" s="3">
        <f t="shared" ca="1" si="112"/>
        <v>3.0449986216935156E-2</v>
      </c>
      <c r="H103" s="3">
        <f t="shared" ca="1" si="112"/>
        <v>3.1485016684805002E-2</v>
      </c>
      <c r="I103" s="3">
        <f t="shared" ca="1" si="112"/>
        <v>3.2406362488834072E-2</v>
      </c>
      <c r="J103" s="3">
        <f t="shared" ca="1" si="112"/>
        <v>3.3476134905554331E-2</v>
      </c>
      <c r="K103" s="3">
        <f t="shared" ca="1" si="112"/>
        <v>3.4128929243782337E-2</v>
      </c>
      <c r="L103" s="3">
        <f t="shared" ca="1" si="112"/>
        <v>3.5966265956155596E-2</v>
      </c>
      <c r="M103" s="3">
        <f t="shared" ca="1" si="112"/>
        <v>3.4917253851371496E-2</v>
      </c>
      <c r="N103" s="3">
        <f t="shared" ca="1" si="112"/>
        <v>3.8958403473875913E-2</v>
      </c>
      <c r="O103" s="3">
        <f t="shared" ca="1" si="112"/>
        <v>3.5891319465371899E-2</v>
      </c>
      <c r="P103" s="3">
        <f t="shared" ca="1" si="112"/>
        <v>4.0922422200451933E-2</v>
      </c>
      <c r="Q103" s="3">
        <f t="shared" ca="1" si="112"/>
        <v>3.9020248104859705E-2</v>
      </c>
      <c r="R103" s="3">
        <f t="shared" ca="1" si="112"/>
        <v>4.2974093514756166E-2</v>
      </c>
      <c r="S103" s="3">
        <f t="shared" ca="1" si="112"/>
        <v>4.1733364832246059E-2</v>
      </c>
      <c r="T103" s="3">
        <f t="shared" ca="1" si="112"/>
        <v>4.3491267302027986E-2</v>
      </c>
      <c r="U103" s="3">
        <f t="shared" ca="1" si="112"/>
        <v>4.3342966228622729E-2</v>
      </c>
      <c r="V103" s="3">
        <f t="shared" ca="1" si="112"/>
        <v>4.7363804915033725E-2</v>
      </c>
      <c r="W103" s="3">
        <f t="shared" ca="1" si="112"/>
        <v>4.476814339233523E-2</v>
      </c>
      <c r="X103" s="3">
        <f t="shared" ca="1" si="112"/>
        <v>5.3862942597823399E-2</v>
      </c>
      <c r="Y103" s="3">
        <f t="shared" ca="1" si="112"/>
        <v>5.3640897707001214E-2</v>
      </c>
      <c r="Z103" s="3">
        <f t="shared" ca="1" si="112"/>
        <v>5.9098541840124925E-2</v>
      </c>
      <c r="AA103" s="3">
        <f t="shared" ca="1" si="112"/>
        <v>6.333294803968019E-2</v>
      </c>
      <c r="AB103" s="3">
        <f t="shared" ref="AB103" ca="1" si="120">MIN(0.99,AB46+$O$3)</f>
        <v>6.3855796795334985E-2</v>
      </c>
      <c r="AC103" s="3">
        <f t="shared" ca="1" si="111"/>
        <v>7.3990470493755997E-2</v>
      </c>
      <c r="AD103" s="3">
        <f t="shared" ca="1" si="111"/>
        <v>6.9478437603692572E-2</v>
      </c>
      <c r="AE103" s="3">
        <f t="shared" ca="1" si="111"/>
        <v>8.3747914709393551E-2</v>
      </c>
      <c r="AF103" s="3">
        <f t="shared" ca="1" si="111"/>
        <v>7.9245937024817262E-2</v>
      </c>
      <c r="AG103" s="3">
        <f t="shared" ca="1" si="111"/>
        <v>9.0340071320367005E-2</v>
      </c>
      <c r="AH103" s="3">
        <f t="shared" ca="1" si="111"/>
        <v>0.10719220392855247</v>
      </c>
      <c r="AI103" s="3">
        <f t="shared" ca="1" si="111"/>
        <v>0.11674634419460309</v>
      </c>
      <c r="AJ103" s="3">
        <f t="shared" ca="1" si="111"/>
        <v>0.1733632326667498</v>
      </c>
    </row>
    <row r="104" spans="1:36" x14ac:dyDescent="0.35">
      <c r="A104" t="s">
        <v>77</v>
      </c>
      <c r="B104" t="s">
        <v>62</v>
      </c>
      <c r="C104" s="4" t="s">
        <v>65</v>
      </c>
      <c r="D104" s="3">
        <f t="shared" ca="1" si="77"/>
        <v>2.8708986657541614E-2</v>
      </c>
      <c r="E104" s="3">
        <f t="shared" ca="1" si="112"/>
        <v>2.8871356019541307E-2</v>
      </c>
      <c r="F104" s="3">
        <f t="shared" ca="1" si="112"/>
        <v>3.104776059895346E-2</v>
      </c>
      <c r="G104" s="3">
        <f t="shared" ca="1" si="112"/>
        <v>3.1369212456604477E-2</v>
      </c>
      <c r="H104" s="3">
        <f t="shared" ca="1" si="112"/>
        <v>3.2431596301400301E-2</v>
      </c>
      <c r="I104" s="3">
        <f t="shared" ca="1" si="112"/>
        <v>3.3371000592803887E-2</v>
      </c>
      <c r="J104" s="3">
        <f t="shared" ca="1" si="112"/>
        <v>3.4445780297351715E-2</v>
      </c>
      <c r="K104" s="3">
        <f t="shared" ca="1" si="112"/>
        <v>3.5077174559546051E-2</v>
      </c>
      <c r="L104" s="3">
        <f t="shared" ca="1" si="112"/>
        <v>3.6964749312014725E-2</v>
      </c>
      <c r="M104" s="3">
        <f t="shared" ca="1" si="112"/>
        <v>3.5850757813487358E-2</v>
      </c>
      <c r="N104" s="3">
        <f t="shared" ca="1" si="112"/>
        <v>3.989110670896362E-2</v>
      </c>
      <c r="O104" s="3">
        <f t="shared" ca="1" si="112"/>
        <v>3.6855706623828581E-2</v>
      </c>
      <c r="P104" s="3">
        <f t="shared" ca="1" si="112"/>
        <v>4.188727066887727E-2</v>
      </c>
      <c r="Q104" s="3">
        <f t="shared" ca="1" si="112"/>
        <v>3.9922992518657163E-2</v>
      </c>
      <c r="R104" s="3">
        <f t="shared" ca="1" si="112"/>
        <v>4.3914876549807913E-2</v>
      </c>
      <c r="S104" s="3">
        <f t="shared" ca="1" si="112"/>
        <v>4.2696774126957757E-2</v>
      </c>
      <c r="T104" s="3">
        <f t="shared" ca="1" si="112"/>
        <v>4.4432137864852922E-2</v>
      </c>
      <c r="U104" s="3">
        <f t="shared" ca="1" si="112"/>
        <v>4.4251906500653429E-2</v>
      </c>
      <c r="V104" s="3">
        <f t="shared" ca="1" si="112"/>
        <v>4.828868149976856E-2</v>
      </c>
      <c r="W104" s="3">
        <f t="shared" ca="1" si="112"/>
        <v>4.5698751350014319E-2</v>
      </c>
      <c r="X104" s="3">
        <f t="shared" ca="1" si="112"/>
        <v>5.4842200822334923E-2</v>
      </c>
      <c r="Y104" s="3">
        <f t="shared" ca="1" si="112"/>
        <v>5.4551705687135854E-2</v>
      </c>
      <c r="Z104" s="3">
        <f t="shared" ca="1" si="112"/>
        <v>6.0093954394955601E-2</v>
      </c>
      <c r="AA104" s="3">
        <f t="shared" ca="1" si="112"/>
        <v>6.4332863582856448E-2</v>
      </c>
      <c r="AB104" s="3">
        <f t="shared" ref="AB104" ca="1" si="121">MIN(0.99,AB47+$O$3)</f>
        <v>6.4849713178535745E-2</v>
      </c>
      <c r="AC104" s="3">
        <f t="shared" ca="1" si="111"/>
        <v>7.4912339198120154E-2</v>
      </c>
      <c r="AD104" s="3">
        <f t="shared" ca="1" si="111"/>
        <v>7.0421518522173848E-2</v>
      </c>
      <c r="AE104" s="3">
        <f t="shared" ca="1" si="111"/>
        <v>8.4741929561125418E-2</v>
      </c>
      <c r="AF104" s="3">
        <f t="shared" ca="1" si="111"/>
        <v>8.0234317779736802E-2</v>
      </c>
      <c r="AG104" s="3">
        <f t="shared" ca="1" si="111"/>
        <v>9.1288493445900065E-2</v>
      </c>
      <c r="AH104" s="3">
        <f t="shared" ca="1" si="111"/>
        <v>0.10811945592348593</v>
      </c>
      <c r="AI104" s="3">
        <f t="shared" ca="1" si="111"/>
        <v>0.11767211302804761</v>
      </c>
      <c r="AJ104" s="3">
        <f t="shared" ca="1" si="111"/>
        <v>0.17434132105259659</v>
      </c>
    </row>
    <row r="105" spans="1:36" x14ac:dyDescent="0.35">
      <c r="A105" t="s">
        <v>77</v>
      </c>
      <c r="B105" t="s">
        <v>62</v>
      </c>
      <c r="C105" s="4" t="s">
        <v>66</v>
      </c>
      <c r="D105" s="3">
        <f t="shared" ca="1" si="77"/>
        <v>2.9632736491942757E-2</v>
      </c>
      <c r="E105" s="3">
        <f t="shared" ca="1" si="112"/>
        <v>2.9810539757163232E-2</v>
      </c>
      <c r="F105" s="3">
        <f t="shared" ca="1" si="112"/>
        <v>3.1996641439371108E-2</v>
      </c>
      <c r="G105" s="3">
        <f t="shared" ca="1" si="112"/>
        <v>3.2349656612801141E-2</v>
      </c>
      <c r="H105" s="3">
        <f t="shared" ca="1" si="112"/>
        <v>3.3333291726969791E-2</v>
      </c>
      <c r="I105" s="3">
        <f t="shared" ca="1" si="112"/>
        <v>3.4352580376840122E-2</v>
      </c>
      <c r="J105" s="3">
        <f t="shared" ca="1" si="112"/>
        <v>3.5445257628025799E-2</v>
      </c>
      <c r="K105" s="3">
        <f t="shared" ca="1" si="112"/>
        <v>3.6064841418840358E-2</v>
      </c>
      <c r="L105" s="3">
        <f t="shared" ca="1" si="112"/>
        <v>3.7897893935762483E-2</v>
      </c>
      <c r="M105" s="3">
        <f t="shared" ca="1" si="112"/>
        <v>3.6838331764831124E-2</v>
      </c>
      <c r="N105" s="3">
        <f t="shared" ca="1" si="112"/>
        <v>4.0841137233188232E-2</v>
      </c>
      <c r="O105" s="3">
        <f t="shared" ca="1" si="112"/>
        <v>3.7840562383286654E-2</v>
      </c>
      <c r="P105" s="3">
        <f t="shared" ca="1" si="112"/>
        <v>4.2863978985097681E-2</v>
      </c>
      <c r="Q105" s="3">
        <f t="shared" ca="1" si="112"/>
        <v>4.0833220359931005E-2</v>
      </c>
      <c r="R105" s="3">
        <f t="shared" ca="1" si="112"/>
        <v>4.491369090937801E-2</v>
      </c>
      <c r="S105" s="3">
        <f t="shared" ca="1" si="112"/>
        <v>4.3678987199078347E-2</v>
      </c>
      <c r="T105" s="3">
        <f t="shared" ca="1" si="112"/>
        <v>4.5384162633159884E-2</v>
      </c>
      <c r="U105" s="3">
        <f t="shared" ca="1" si="112"/>
        <v>4.5174715616295609E-2</v>
      </c>
      <c r="V105" s="3">
        <f t="shared" ca="1" si="112"/>
        <v>4.9236651412355927E-2</v>
      </c>
      <c r="W105" s="3">
        <f t="shared" ca="1" si="112"/>
        <v>4.6612092817120712E-2</v>
      </c>
      <c r="X105" s="3">
        <f t="shared" ca="1" si="112"/>
        <v>5.579935023813392E-2</v>
      </c>
      <c r="Y105" s="3">
        <f t="shared" ca="1" si="112"/>
        <v>5.5492017354123964E-2</v>
      </c>
      <c r="Z105" s="3">
        <f t="shared" ca="1" si="112"/>
        <v>6.1061901596005441E-2</v>
      </c>
      <c r="AA105" s="3">
        <f t="shared" ca="1" si="112"/>
        <v>6.5290823616776045E-2</v>
      </c>
      <c r="AB105" s="3">
        <f t="shared" ref="AB105" ca="1" si="122">MIN(0.99,AB48+$O$3)</f>
        <v>6.5797018963729331E-2</v>
      </c>
      <c r="AC105" s="3">
        <f t="shared" ca="1" si="111"/>
        <v>7.5870820272367551E-2</v>
      </c>
      <c r="AD105" s="3">
        <f t="shared" ca="1" si="111"/>
        <v>7.140685126212401E-2</v>
      </c>
      <c r="AE105" s="3">
        <f t="shared" ca="1" si="111"/>
        <v>8.5649428229579661E-2</v>
      </c>
      <c r="AF105" s="3">
        <f t="shared" ca="1" si="111"/>
        <v>8.1144691183232698E-2</v>
      </c>
      <c r="AG105" s="3">
        <f t="shared" ca="1" si="111"/>
        <v>9.2286691592781189E-2</v>
      </c>
      <c r="AH105" s="3">
        <f t="shared" ca="1" si="111"/>
        <v>0.10909794128354761</v>
      </c>
      <c r="AI105" s="3">
        <f t="shared" ca="1" si="111"/>
        <v>0.11858175699556842</v>
      </c>
      <c r="AJ105" s="3">
        <f t="shared" ca="1" si="111"/>
        <v>0.17533633138748025</v>
      </c>
    </row>
    <row r="106" spans="1:36" x14ac:dyDescent="0.35">
      <c r="A106" t="s">
        <v>77</v>
      </c>
      <c r="B106" t="s">
        <v>62</v>
      </c>
      <c r="C106" s="4">
        <v>3</v>
      </c>
      <c r="D106" s="3">
        <f t="shared" ca="1" si="77"/>
        <v>3.0535418899800333E-2</v>
      </c>
      <c r="E106" s="3">
        <f t="shared" ca="1" si="112"/>
        <v>3.0756847217422136E-2</v>
      </c>
      <c r="F106" s="3">
        <f t="shared" ca="1" si="112"/>
        <v>3.2902193381780694E-2</v>
      </c>
      <c r="G106" s="3">
        <f t="shared" ca="1" si="112"/>
        <v>3.3319356617259314E-2</v>
      </c>
      <c r="H106" s="3">
        <f t="shared" ca="1" si="112"/>
        <v>3.4324404908782372E-2</v>
      </c>
      <c r="I106" s="3">
        <f t="shared" ca="1" si="112"/>
        <v>3.5321189068105718E-2</v>
      </c>
      <c r="J106" s="3">
        <f t="shared" ca="1" si="112"/>
        <v>3.6366055130992725E-2</v>
      </c>
      <c r="K106" s="3">
        <f t="shared" ca="1" si="112"/>
        <v>3.7054291289198668E-2</v>
      </c>
      <c r="L106" s="3">
        <f t="shared" ca="1" si="112"/>
        <v>3.8841578856936558E-2</v>
      </c>
      <c r="M106" s="3">
        <f t="shared" ca="1" si="112"/>
        <v>3.7799616003714384E-2</v>
      </c>
      <c r="N106" s="3">
        <f t="shared" ca="1" si="112"/>
        <v>4.1774661628305371E-2</v>
      </c>
      <c r="O106" s="3">
        <f t="shared" ca="1" si="112"/>
        <v>3.8819145554687844E-2</v>
      </c>
      <c r="P106" s="3">
        <f t="shared" ca="1" si="112"/>
        <v>4.3772022416589451E-2</v>
      </c>
      <c r="Q106" s="3">
        <f t="shared" ca="1" si="112"/>
        <v>4.1816667110201634E-2</v>
      </c>
      <c r="R106" s="3">
        <f t="shared" ca="1" si="112"/>
        <v>4.5900383735384596E-2</v>
      </c>
      <c r="S106" s="3">
        <f t="shared" ca="1" si="112"/>
        <v>4.4633224898428359E-2</v>
      </c>
      <c r="T106" s="3">
        <f t="shared" ca="1" si="112"/>
        <v>4.6336326323140692E-2</v>
      </c>
      <c r="U106" s="3">
        <f t="shared" ca="1" si="112"/>
        <v>4.6170541774706385E-2</v>
      </c>
      <c r="V106" s="3">
        <f t="shared" ca="1" si="112"/>
        <v>5.0162682533392795E-2</v>
      </c>
      <c r="W106" s="3">
        <f t="shared" ca="1" si="112"/>
        <v>4.757620066351638E-2</v>
      </c>
      <c r="X106" s="3">
        <f t="shared" ca="1" si="112"/>
        <v>5.6748592196886008E-2</v>
      </c>
      <c r="Y106" s="3">
        <f t="shared" ca="1" si="112"/>
        <v>5.6489087370722786E-2</v>
      </c>
      <c r="Z106" s="3">
        <f t="shared" ca="1" si="112"/>
        <v>6.2045434060242648E-2</v>
      </c>
      <c r="AA106" s="3">
        <f t="shared" ca="1" si="112"/>
        <v>6.6207726995219485E-2</v>
      </c>
      <c r="AB106" s="3">
        <f t="shared" ref="AB106" ca="1" si="123">MIN(0.99,AB49+$O$3)</f>
        <v>6.6753314758215859E-2</v>
      </c>
      <c r="AC106" s="3">
        <f t="shared" ca="1" si="111"/>
        <v>7.6779794575989199E-2</v>
      </c>
      <c r="AD106" s="3">
        <f t="shared" ca="1" si="111"/>
        <v>7.2321129724457617E-2</v>
      </c>
      <c r="AE106" s="3">
        <f t="shared" ca="1" si="111"/>
        <v>8.6554916437570906E-2</v>
      </c>
      <c r="AF106" s="3">
        <f t="shared" ca="1" si="111"/>
        <v>8.2087085794999237E-2</v>
      </c>
      <c r="AG106" s="3">
        <f t="shared" ca="1" si="111"/>
        <v>9.3264153112874115E-2</v>
      </c>
      <c r="AH106" s="3">
        <f t="shared" ca="1" si="111"/>
        <v>0.11009683715153912</v>
      </c>
      <c r="AI106" s="3">
        <f t="shared" ca="1" si="111"/>
        <v>0.11950365930736803</v>
      </c>
      <c r="AJ106" s="3">
        <f t="shared" ca="1" si="111"/>
        <v>0.17631590924834728</v>
      </c>
    </row>
    <row r="107" spans="1:36" x14ac:dyDescent="0.35">
      <c r="A107" t="s">
        <v>77</v>
      </c>
      <c r="B107" t="s">
        <v>62</v>
      </c>
      <c r="C107" s="4" t="s">
        <v>67</v>
      </c>
      <c r="D107" s="3">
        <f t="shared" ca="1" si="77"/>
        <v>3.1510622980847537E-2</v>
      </c>
      <c r="E107" s="3">
        <f t="shared" ca="1" si="112"/>
        <v>3.1705799362329354E-2</v>
      </c>
      <c r="F107" s="3">
        <f t="shared" ca="1" si="112"/>
        <v>3.385412417621813E-2</v>
      </c>
      <c r="G107" s="3">
        <f t="shared" ca="1" si="112"/>
        <v>3.426782714432005E-2</v>
      </c>
      <c r="H107" s="3">
        <f t="shared" ca="1" si="112"/>
        <v>3.5241966778974662E-2</v>
      </c>
      <c r="I107" s="3">
        <f t="shared" ca="1" si="112"/>
        <v>3.6260629029326925E-2</v>
      </c>
      <c r="J107" s="3">
        <f t="shared" ca="1" si="112"/>
        <v>3.7359835827577889E-2</v>
      </c>
      <c r="K107" s="3">
        <f t="shared" ca="1" si="112"/>
        <v>3.8008935136804201E-2</v>
      </c>
      <c r="L107" s="3">
        <f t="shared" ca="1" si="112"/>
        <v>3.9822250648340454E-2</v>
      </c>
      <c r="M107" s="3">
        <f t="shared" ca="1" si="112"/>
        <v>3.8762819786083591E-2</v>
      </c>
      <c r="N107" s="3">
        <f t="shared" ca="1" si="112"/>
        <v>4.2732495759774822E-2</v>
      </c>
      <c r="O107" s="3">
        <f t="shared" ca="1" si="112"/>
        <v>3.9803701985589537E-2</v>
      </c>
      <c r="P107" s="3">
        <f t="shared" ca="1" si="112"/>
        <v>4.4704116811724662E-2</v>
      </c>
      <c r="Q107" s="3">
        <f t="shared" ca="1" si="112"/>
        <v>4.2741243084011303E-2</v>
      </c>
      <c r="R107" s="3">
        <f t="shared" ca="1" si="112"/>
        <v>4.6830146296141163E-2</v>
      </c>
      <c r="S107" s="3">
        <f t="shared" ca="1" si="112"/>
        <v>4.5604001596953589E-2</v>
      </c>
      <c r="T107" s="3">
        <f t="shared" ca="1" si="112"/>
        <v>4.7260814987765409E-2</v>
      </c>
      <c r="U107" s="3">
        <f t="shared" ca="1" si="112"/>
        <v>4.7089939795012539E-2</v>
      </c>
      <c r="V107" s="3">
        <f t="shared" ca="1" si="112"/>
        <v>5.1078668308939396E-2</v>
      </c>
      <c r="W107" s="3">
        <f t="shared" ca="1" si="112"/>
        <v>4.8513808931606561E-2</v>
      </c>
      <c r="X107" s="3">
        <f t="shared" ca="1" si="112"/>
        <v>5.7682838270696819E-2</v>
      </c>
      <c r="Y107" s="3">
        <f t="shared" ca="1" si="112"/>
        <v>5.7435207387835148E-2</v>
      </c>
      <c r="Z107" s="3">
        <f t="shared" ca="1" si="112"/>
        <v>6.2962198162292593E-2</v>
      </c>
      <c r="AA107" s="3">
        <f t="shared" ca="1" si="112"/>
        <v>6.7202441290445586E-2</v>
      </c>
      <c r="AB107" s="3">
        <f t="shared" ref="AB107" ca="1" si="124">MIN(0.99,AB50+$O$3)</f>
        <v>6.7671610864655424E-2</v>
      </c>
      <c r="AC107" s="3">
        <f t="shared" ca="1" si="111"/>
        <v>7.7734017177726877E-2</v>
      </c>
      <c r="AD107" s="3">
        <f t="shared" ca="1" si="111"/>
        <v>7.3228043341401344E-2</v>
      </c>
      <c r="AE107" s="3">
        <f t="shared" ca="1" si="111"/>
        <v>8.7549592362791473E-2</v>
      </c>
      <c r="AF107" s="3">
        <f t="shared" ca="1" si="111"/>
        <v>8.3049294447893607E-2</v>
      </c>
      <c r="AG107" s="3">
        <f t="shared" ca="1" si="111"/>
        <v>9.4165781092361206E-2</v>
      </c>
      <c r="AH107" s="3">
        <f t="shared" ca="1" si="111"/>
        <v>0.11108362778977246</v>
      </c>
      <c r="AI107" s="3">
        <f t="shared" ca="1" si="111"/>
        <v>0.12042937782447535</v>
      </c>
      <c r="AJ107" s="3">
        <f t="shared" ca="1" si="111"/>
        <v>0.17727502747557741</v>
      </c>
    </row>
    <row r="108" spans="1:36" x14ac:dyDescent="0.35">
      <c r="A108" t="s">
        <v>77</v>
      </c>
      <c r="B108" t="s">
        <v>62</v>
      </c>
      <c r="C108" s="4" t="s">
        <v>68</v>
      </c>
      <c r="D108" s="3">
        <f t="shared" ca="1" si="77"/>
        <v>3.2422016252099492E-2</v>
      </c>
      <c r="E108" s="3">
        <f t="shared" ref="E108:AA119" ca="1" si="125">MIN(0.99,E51+$O$3)</f>
        <v>3.2649787593776528E-2</v>
      </c>
      <c r="F108" s="3">
        <f t="shared" ca="1" si="125"/>
        <v>3.4849350303095446E-2</v>
      </c>
      <c r="G108" s="3">
        <f t="shared" ca="1" si="125"/>
        <v>3.5214582663345095E-2</v>
      </c>
      <c r="H108" s="3">
        <f t="shared" ca="1" si="125"/>
        <v>3.616952238493179E-2</v>
      </c>
      <c r="I108" s="3">
        <f t="shared" ca="1" si="125"/>
        <v>3.7249949219688369E-2</v>
      </c>
      <c r="J108" s="3">
        <f t="shared" ca="1" si="125"/>
        <v>3.8315778297119948E-2</v>
      </c>
      <c r="K108" s="3">
        <f t="shared" ca="1" si="125"/>
        <v>3.8955267408858338E-2</v>
      </c>
      <c r="L108" s="3">
        <f t="shared" ca="1" si="125"/>
        <v>4.0761893085030462E-2</v>
      </c>
      <c r="M108" s="3">
        <f t="shared" ca="1" si="125"/>
        <v>3.9739408119132194E-2</v>
      </c>
      <c r="N108" s="3">
        <f t="shared" ca="1" si="125"/>
        <v>4.3638827815214762E-2</v>
      </c>
      <c r="O108" s="3">
        <f t="shared" ca="1" si="125"/>
        <v>4.0803672328245853E-2</v>
      </c>
      <c r="P108" s="3">
        <f t="shared" ca="1" si="125"/>
        <v>4.5688162760386654E-2</v>
      </c>
      <c r="Q108" s="3">
        <f t="shared" ca="1" si="125"/>
        <v>4.3669036729938299E-2</v>
      </c>
      <c r="R108" s="3">
        <f t="shared" ca="1" si="125"/>
        <v>4.7739692308070993E-2</v>
      </c>
      <c r="S108" s="3">
        <f t="shared" ca="1" si="125"/>
        <v>4.6506900017459232E-2</v>
      </c>
      <c r="T108" s="3">
        <f t="shared" ca="1" si="125"/>
        <v>4.8182358962920925E-2</v>
      </c>
      <c r="U108" s="3">
        <f t="shared" ca="1" si="125"/>
        <v>4.8052843780424459E-2</v>
      </c>
      <c r="V108" s="3">
        <f t="shared" ca="1" si="125"/>
        <v>5.202918693547931E-2</v>
      </c>
      <c r="W108" s="3">
        <f t="shared" ca="1" si="125"/>
        <v>4.9484583950980654E-2</v>
      </c>
      <c r="X108" s="3">
        <f t="shared" ca="1" si="125"/>
        <v>5.8671693500971553E-2</v>
      </c>
      <c r="Y108" s="3">
        <f t="shared" ca="1" si="125"/>
        <v>5.8351374772753858E-2</v>
      </c>
      <c r="Z108" s="3">
        <f t="shared" ca="1" si="125"/>
        <v>6.3875780244345315E-2</v>
      </c>
      <c r="AA108" s="3">
        <f t="shared" ca="1" si="125"/>
        <v>6.8111885582276821E-2</v>
      </c>
      <c r="AB108" s="3">
        <f t="shared" ref="AB108" ca="1" si="126">MIN(0.99,AB51+$O$3)</f>
        <v>6.8665847360598775E-2</v>
      </c>
      <c r="AC108" s="3">
        <f t="shared" ca="1" si="111"/>
        <v>7.8670777012293885E-2</v>
      </c>
      <c r="AD108" s="3">
        <f t="shared" ca="1" si="111"/>
        <v>7.4138271997898325E-2</v>
      </c>
      <c r="AE108" s="3">
        <f t="shared" ca="1" si="111"/>
        <v>8.8453371654723972E-2</v>
      </c>
      <c r="AF108" s="3">
        <f t="shared" ca="1" si="111"/>
        <v>8.3951037429639122E-2</v>
      </c>
      <c r="AG108" s="3">
        <f t="shared" ca="1" si="111"/>
        <v>9.5135608880384248E-2</v>
      </c>
      <c r="AH108" s="3">
        <f t="shared" ca="1" si="111"/>
        <v>0.1120351421219711</v>
      </c>
      <c r="AI108" s="3">
        <f t="shared" ca="1" si="111"/>
        <v>0.12135640499901149</v>
      </c>
      <c r="AJ108" s="3">
        <f t="shared" ca="1" si="111"/>
        <v>0.17820785585581994</v>
      </c>
    </row>
    <row r="109" spans="1:36" x14ac:dyDescent="0.35">
      <c r="A109" t="s">
        <v>77</v>
      </c>
      <c r="B109" t="s">
        <v>62</v>
      </c>
      <c r="C109" s="4">
        <v>4</v>
      </c>
      <c r="D109" s="3">
        <f t="shared" ca="1" si="77"/>
        <v>3.335369752274818E-2</v>
      </c>
      <c r="E109" s="3">
        <f t="shared" ca="1" si="125"/>
        <v>3.3621827350310288E-2</v>
      </c>
      <c r="F109" s="3">
        <f t="shared" ca="1" si="125"/>
        <v>3.5845392329472134E-2</v>
      </c>
      <c r="G109" s="3">
        <f t="shared" ca="1" si="125"/>
        <v>3.6139383439687645E-2</v>
      </c>
      <c r="H109" s="3">
        <f t="shared" ca="1" si="125"/>
        <v>3.7075058875749578E-2</v>
      </c>
      <c r="I109" s="3">
        <f t="shared" ca="1" si="125"/>
        <v>3.816667055755605E-2</v>
      </c>
      <c r="J109" s="3">
        <f t="shared" ca="1" si="125"/>
        <v>3.9245464210301749E-2</v>
      </c>
      <c r="K109" s="3">
        <f t="shared" ca="1" si="125"/>
        <v>3.9879871362227676E-2</v>
      </c>
      <c r="L109" s="3">
        <f t="shared" ca="1" si="125"/>
        <v>4.1755308482763993E-2</v>
      </c>
      <c r="M109" s="3">
        <f t="shared" ca="1" si="125"/>
        <v>4.0711046939209641E-2</v>
      </c>
      <c r="N109" s="3">
        <f t="shared" ca="1" si="125"/>
        <v>4.4589041605893234E-2</v>
      </c>
      <c r="O109" s="3">
        <f t="shared" ca="1" si="125"/>
        <v>4.1710756430602257E-2</v>
      </c>
      <c r="P109" s="3">
        <f t="shared" ca="1" si="125"/>
        <v>4.6592371834465948E-2</v>
      </c>
      <c r="Q109" s="3">
        <f t="shared" ca="1" si="125"/>
        <v>4.4667368477124894E-2</v>
      </c>
      <c r="R109" s="3">
        <f t="shared" ca="1" si="125"/>
        <v>4.8692499694547156E-2</v>
      </c>
      <c r="S109" s="3">
        <f t="shared" ca="1" si="125"/>
        <v>4.746889593207617E-2</v>
      </c>
      <c r="T109" s="3">
        <f t="shared" ca="1" si="125"/>
        <v>4.9180190530957679E-2</v>
      </c>
      <c r="U109" s="3">
        <f t="shared" ca="1" si="125"/>
        <v>4.9023431437911366E-2</v>
      </c>
      <c r="V109" s="3">
        <f t="shared" ca="1" si="125"/>
        <v>5.2993280816635478E-2</v>
      </c>
      <c r="W109" s="3">
        <f t="shared" ca="1" si="125"/>
        <v>5.0392216027804512E-2</v>
      </c>
      <c r="X109" s="3">
        <f t="shared" ca="1" si="125"/>
        <v>5.9584822502365208E-2</v>
      </c>
      <c r="Y109" s="3">
        <f t="shared" ca="1" si="125"/>
        <v>5.9328585201283209E-2</v>
      </c>
      <c r="Z109" s="3">
        <f t="shared" ca="1" si="125"/>
        <v>6.4777027839560311E-2</v>
      </c>
      <c r="AA109" s="3">
        <f t="shared" ca="1" si="125"/>
        <v>6.9015618671197126E-2</v>
      </c>
      <c r="AB109" s="3">
        <f t="shared" ref="AB109" ca="1" si="127">MIN(0.99,AB52+$O$3)</f>
        <v>6.9648664569886151E-2</v>
      </c>
      <c r="AC109" s="3">
        <f t="shared" ca="1" si="111"/>
        <v>7.961728097870896E-2</v>
      </c>
      <c r="AD109" s="3">
        <f t="shared" ca="1" si="111"/>
        <v>7.5127294390794658E-2</v>
      </c>
      <c r="AE109" s="3">
        <f t="shared" ca="1" si="111"/>
        <v>8.9372679032820174E-2</v>
      </c>
      <c r="AF109" s="3">
        <f t="shared" ca="1" si="111"/>
        <v>8.4872124704446911E-2</v>
      </c>
      <c r="AG109" s="3">
        <f t="shared" ca="1" si="111"/>
        <v>9.6108030631885194E-2</v>
      </c>
      <c r="AH109" s="3">
        <f t="shared" ca="1" si="111"/>
        <v>0.11296661835791824</v>
      </c>
      <c r="AI109" s="3">
        <f t="shared" ca="1" si="111"/>
        <v>0.12231375578961187</v>
      </c>
      <c r="AJ109" s="3">
        <f t="shared" ca="1" si="111"/>
        <v>0.17916856842828727</v>
      </c>
    </row>
    <row r="110" spans="1:36" x14ac:dyDescent="0.35">
      <c r="A110" t="s">
        <v>77</v>
      </c>
      <c r="B110" t="s">
        <v>62</v>
      </c>
      <c r="C110" s="4" t="s">
        <v>69</v>
      </c>
      <c r="D110" s="3">
        <f t="shared" ca="1" si="77"/>
        <v>3.4321794182056428E-2</v>
      </c>
      <c r="E110" s="3">
        <f t="shared" ca="1" si="125"/>
        <v>3.4617147497803105E-2</v>
      </c>
      <c r="F110" s="3">
        <f t="shared" ca="1" si="125"/>
        <v>3.6786530317218069E-2</v>
      </c>
      <c r="G110" s="3">
        <f t="shared" ca="1" si="125"/>
        <v>3.7077026484538554E-2</v>
      </c>
      <c r="H110" s="3">
        <f t="shared" ca="1" si="125"/>
        <v>3.8003056957058558E-2</v>
      </c>
      <c r="I110" s="3">
        <f t="shared" ca="1" si="125"/>
        <v>3.9111435486877275E-2</v>
      </c>
      <c r="J110" s="3">
        <f t="shared" ca="1" si="125"/>
        <v>4.0222483490849524E-2</v>
      </c>
      <c r="K110" s="3">
        <f t="shared" ca="1" si="125"/>
        <v>4.0841121995803149E-2</v>
      </c>
      <c r="L110" s="3">
        <f t="shared" ca="1" si="125"/>
        <v>4.2723694744726037E-2</v>
      </c>
      <c r="M110" s="3">
        <f t="shared" ca="1" si="125"/>
        <v>4.1649290678108214E-2</v>
      </c>
      <c r="N110" s="3">
        <f t="shared" ca="1" si="125"/>
        <v>4.551581134674406E-2</v>
      </c>
      <c r="O110" s="3">
        <f t="shared" ca="1" si="125"/>
        <v>4.2662621471962994E-2</v>
      </c>
      <c r="P110" s="3">
        <f t="shared" ca="1" si="125"/>
        <v>4.7540757391633832E-2</v>
      </c>
      <c r="Q110" s="3">
        <f t="shared" ca="1" si="125"/>
        <v>4.5657151963836969E-2</v>
      </c>
      <c r="R110" s="3">
        <f t="shared" ca="1" si="125"/>
        <v>4.9691279745688079E-2</v>
      </c>
      <c r="S110" s="3">
        <f t="shared" ca="1" si="125"/>
        <v>4.8456641665537259E-2</v>
      </c>
      <c r="T110" s="3">
        <f t="shared" ca="1" si="125"/>
        <v>5.0091798188571124E-2</v>
      </c>
      <c r="U110" s="3">
        <f t="shared" ca="1" si="125"/>
        <v>4.9932641023434608E-2</v>
      </c>
      <c r="V110" s="3">
        <f t="shared" ca="1" si="125"/>
        <v>5.3991299239981486E-2</v>
      </c>
      <c r="W110" s="3">
        <f t="shared" ca="1" si="125"/>
        <v>5.1375350655192206E-2</v>
      </c>
      <c r="X110" s="3">
        <f t="shared" ca="1" si="125"/>
        <v>6.0523825763146945E-2</v>
      </c>
      <c r="Y110" s="3">
        <f t="shared" ca="1" si="125"/>
        <v>6.0292073239655748E-2</v>
      </c>
      <c r="Z110" s="3">
        <f t="shared" ca="1" si="125"/>
        <v>6.5716902951887007E-2</v>
      </c>
      <c r="AA110" s="3">
        <f t="shared" ca="1" si="125"/>
        <v>6.9918922007563278E-2</v>
      </c>
      <c r="AB110" s="3">
        <f t="shared" ref="AB110" ca="1" si="128">MIN(0.99,AB53+$O$3)</f>
        <v>7.0607484743148097E-2</v>
      </c>
      <c r="AC110" s="3">
        <f t="shared" ca="1" si="111"/>
        <v>8.0534860762902255E-2</v>
      </c>
      <c r="AD110" s="3">
        <f t="shared" ca="1" si="111"/>
        <v>7.6072834968488115E-2</v>
      </c>
      <c r="AE110" s="3">
        <f t="shared" ca="1" si="111"/>
        <v>9.0371786005469329E-2</v>
      </c>
      <c r="AF110" s="3">
        <f t="shared" ca="1" si="111"/>
        <v>8.587016643079487E-2</v>
      </c>
      <c r="AG110" s="3">
        <f t="shared" ca="1" si="111"/>
        <v>9.7103114173284516E-2</v>
      </c>
      <c r="AH110" s="3">
        <f t="shared" ca="1" si="111"/>
        <v>0.11395632339405448</v>
      </c>
      <c r="AI110" s="3">
        <f t="shared" ca="1" si="111"/>
        <v>0.1232305038990277</v>
      </c>
      <c r="AJ110" s="3">
        <f t="shared" ca="1" si="111"/>
        <v>0.18009447556301206</v>
      </c>
    </row>
    <row r="111" spans="1:36" x14ac:dyDescent="0.35">
      <c r="A111" t="s">
        <v>77</v>
      </c>
      <c r="B111" t="s">
        <v>62</v>
      </c>
      <c r="C111" s="4" t="s">
        <v>70</v>
      </c>
      <c r="D111" s="3">
        <f t="shared" ca="1" si="77"/>
        <v>3.5320062572296494E-2</v>
      </c>
      <c r="E111" s="3">
        <f t="shared" ca="1" si="125"/>
        <v>3.5538251139519195E-2</v>
      </c>
      <c r="F111" s="3">
        <f t="shared" ca="1" si="125"/>
        <v>3.7784089630028397E-2</v>
      </c>
      <c r="G111" s="3">
        <f t="shared" ca="1" si="125"/>
        <v>3.8025333612648989E-2</v>
      </c>
      <c r="H111" s="3">
        <f t="shared" ca="1" si="125"/>
        <v>3.9000467265193309E-2</v>
      </c>
      <c r="I111" s="3">
        <f t="shared" ca="1" si="125"/>
        <v>4.0097466589309606E-2</v>
      </c>
      <c r="J111" s="3">
        <f t="shared" ca="1" si="125"/>
        <v>4.1180294845313298E-2</v>
      </c>
      <c r="K111" s="3">
        <f t="shared" ca="1" si="125"/>
        <v>4.1815330208830631E-2</v>
      </c>
      <c r="L111" s="3">
        <f t="shared" ca="1" si="125"/>
        <v>4.3666312972172334E-2</v>
      </c>
      <c r="M111" s="3">
        <f t="shared" ca="1" si="125"/>
        <v>4.2603014671515935E-2</v>
      </c>
      <c r="N111" s="3">
        <f t="shared" ca="1" si="125"/>
        <v>4.6500148179481011E-2</v>
      </c>
      <c r="O111" s="3">
        <f t="shared" ca="1" si="125"/>
        <v>4.3649534327212691E-2</v>
      </c>
      <c r="P111" s="3">
        <f t="shared" ca="1" si="125"/>
        <v>4.8515078996071472E-2</v>
      </c>
      <c r="Q111" s="3">
        <f t="shared" ca="1" si="125"/>
        <v>4.6612446092076584E-2</v>
      </c>
      <c r="R111" s="3">
        <f t="shared" ca="1" si="125"/>
        <v>5.0608276079926767E-2</v>
      </c>
      <c r="S111" s="3">
        <f t="shared" ca="1" si="125"/>
        <v>4.9434890555675196E-2</v>
      </c>
      <c r="T111" s="3">
        <f t="shared" ca="1" si="125"/>
        <v>5.1081579213357722E-2</v>
      </c>
      <c r="U111" s="3">
        <f t="shared" ca="1" si="125"/>
        <v>5.0879508321764286E-2</v>
      </c>
      <c r="V111" s="3">
        <f t="shared" ca="1" si="125"/>
        <v>5.4956474773497306E-2</v>
      </c>
      <c r="W111" s="3">
        <f t="shared" ca="1" si="125"/>
        <v>5.2300556521033978E-2</v>
      </c>
      <c r="X111" s="3">
        <f t="shared" ca="1" si="125"/>
        <v>6.1449737581022089E-2</v>
      </c>
      <c r="Y111" s="3">
        <f t="shared" ca="1" si="125"/>
        <v>6.1291185344650556E-2</v>
      </c>
      <c r="Z111" s="3">
        <f t="shared" ca="1" si="125"/>
        <v>6.6703738102717902E-2</v>
      </c>
      <c r="AA111" s="3">
        <f t="shared" ca="1" si="125"/>
        <v>7.0867247365775904E-2</v>
      </c>
      <c r="AB111" s="3">
        <f t="shared" ref="AB111:AJ119" ca="1" si="129">MIN(0.99,AB54+$O$3)</f>
        <v>7.1522271760022293E-2</v>
      </c>
      <c r="AC111" s="3">
        <f t="shared" ca="1" si="129"/>
        <v>8.1483824815140993E-2</v>
      </c>
      <c r="AD111" s="3">
        <f t="shared" ca="1" si="129"/>
        <v>7.699359071426852E-2</v>
      </c>
      <c r="AE111" s="3">
        <f t="shared" ca="1" si="129"/>
        <v>9.1341413037694608E-2</v>
      </c>
      <c r="AF111" s="3">
        <f t="shared" ca="1" si="129"/>
        <v>8.6804626172656968E-2</v>
      </c>
      <c r="AG111" s="3">
        <f t="shared" ca="1" si="129"/>
        <v>9.8085122276809183E-2</v>
      </c>
      <c r="AH111" s="3">
        <f t="shared" ca="1" si="129"/>
        <v>0.11488126211553254</v>
      </c>
      <c r="AI111" s="3">
        <f t="shared" ca="1" si="129"/>
        <v>0.12418668280160666</v>
      </c>
      <c r="AJ111" s="3">
        <f t="shared" ca="1" si="129"/>
        <v>0.18104127982700893</v>
      </c>
    </row>
    <row r="112" spans="1:36" x14ac:dyDescent="0.35">
      <c r="A112" t="s">
        <v>77</v>
      </c>
      <c r="B112" t="s">
        <v>62</v>
      </c>
      <c r="C112" s="4">
        <v>5</v>
      </c>
      <c r="D112" s="3">
        <f t="shared" ca="1" si="77"/>
        <v>3.6290481775973521E-2</v>
      </c>
      <c r="E112" s="3">
        <f t="shared" ca="1" si="125"/>
        <v>3.6479441520624621E-2</v>
      </c>
      <c r="F112" s="3">
        <f t="shared" ca="1" si="125"/>
        <v>3.8745493164832806E-2</v>
      </c>
      <c r="G112" s="3">
        <f t="shared" ca="1" si="125"/>
        <v>3.8925403352093622E-2</v>
      </c>
      <c r="H112" s="3">
        <f t="shared" ca="1" si="125"/>
        <v>3.9943915025675375E-2</v>
      </c>
      <c r="I112" s="3">
        <f t="shared" ca="1" si="125"/>
        <v>4.1036207290582508E-2</v>
      </c>
      <c r="J112" s="3">
        <f t="shared" ca="1" si="125"/>
        <v>4.2168864345776706E-2</v>
      </c>
      <c r="K112" s="3">
        <f t="shared" ca="1" si="125"/>
        <v>4.2784152021837829E-2</v>
      </c>
      <c r="L112" s="3">
        <f t="shared" ca="1" si="125"/>
        <v>4.4601096057983042E-2</v>
      </c>
      <c r="M112" s="3">
        <f t="shared" ca="1" si="125"/>
        <v>4.35125470719636E-2</v>
      </c>
      <c r="N112" s="3">
        <f t="shared" ca="1" si="125"/>
        <v>4.7472245662050452E-2</v>
      </c>
      <c r="O112" s="3">
        <f t="shared" ca="1" si="125"/>
        <v>4.4647524861742671E-2</v>
      </c>
      <c r="P112" s="3">
        <f t="shared" ca="1" si="125"/>
        <v>4.9458260082450842E-2</v>
      </c>
      <c r="Q112" s="3">
        <f t="shared" ca="1" si="125"/>
        <v>4.7559873163735472E-2</v>
      </c>
      <c r="R112" s="3">
        <f t="shared" ca="1" si="125"/>
        <v>5.1602352222499773E-2</v>
      </c>
      <c r="S112" s="3">
        <f t="shared" ca="1" si="125"/>
        <v>5.0419820099609651E-2</v>
      </c>
      <c r="T112" s="3">
        <f t="shared" ca="1" si="125"/>
        <v>5.2051564396724467E-2</v>
      </c>
      <c r="U112" s="3">
        <f t="shared" ca="1" si="125"/>
        <v>5.183560608720042E-2</v>
      </c>
      <c r="V112" s="3">
        <f t="shared" ca="1" si="125"/>
        <v>5.5939011627139108E-2</v>
      </c>
      <c r="W112" s="3">
        <f t="shared" ca="1" si="125"/>
        <v>5.3259675682486539E-2</v>
      </c>
      <c r="X112" s="3">
        <f t="shared" ca="1" si="125"/>
        <v>6.2423814987167911E-2</v>
      </c>
      <c r="Y112" s="3">
        <f t="shared" ca="1" si="125"/>
        <v>6.2286224095366972E-2</v>
      </c>
      <c r="Z112" s="3">
        <f t="shared" ca="1" si="125"/>
        <v>6.7633414124821462E-2</v>
      </c>
      <c r="AA112" s="3">
        <f t="shared" ca="1" si="125"/>
        <v>7.1812541998760276E-2</v>
      </c>
      <c r="AB112" s="3">
        <f t="shared" ref="AB112" ca="1" si="130">MIN(0.99,AB55+$O$3)</f>
        <v>7.2518606168177374E-2</v>
      </c>
      <c r="AC112" s="3">
        <f t="shared" ca="1" si="129"/>
        <v>8.248201690474162E-2</v>
      </c>
      <c r="AD112" s="3">
        <f t="shared" ca="1" si="129"/>
        <v>7.7946838091091417E-2</v>
      </c>
      <c r="AE112" s="3">
        <f t="shared" ca="1" si="129"/>
        <v>9.230259275600583E-2</v>
      </c>
      <c r="AF112" s="3">
        <f t="shared" ca="1" si="129"/>
        <v>8.7785414386521099E-2</v>
      </c>
      <c r="AG112" s="3">
        <f t="shared" ca="1" si="129"/>
        <v>9.9026123025395901E-2</v>
      </c>
      <c r="AH112" s="3">
        <f t="shared" ca="1" si="129"/>
        <v>0.11587939033161307</v>
      </c>
      <c r="AI112" s="3">
        <f t="shared" ca="1" si="129"/>
        <v>0.12513860465451818</v>
      </c>
      <c r="AJ112" s="3">
        <f t="shared" ca="1" si="129"/>
        <v>0.18198523237737785</v>
      </c>
    </row>
    <row r="113" spans="1:36" x14ac:dyDescent="0.35">
      <c r="A113" t="s">
        <v>77</v>
      </c>
      <c r="B113" t="s">
        <v>62</v>
      </c>
      <c r="C113" s="4" t="s">
        <v>71</v>
      </c>
      <c r="D113" s="3">
        <f t="shared" ca="1" si="77"/>
        <v>3.7252315814816167E-2</v>
      </c>
      <c r="E113" s="3">
        <f t="shared" ca="1" si="125"/>
        <v>3.7437199667640093E-2</v>
      </c>
      <c r="F113" s="3">
        <f t="shared" ca="1" si="125"/>
        <v>3.9660333644560702E-2</v>
      </c>
      <c r="G113" s="3">
        <f t="shared" ca="1" si="125"/>
        <v>3.986908297622227E-2</v>
      </c>
      <c r="H113" s="3">
        <f t="shared" ca="1" si="125"/>
        <v>4.0886063899263053E-2</v>
      </c>
      <c r="I113" s="3">
        <f t="shared" ca="1" si="125"/>
        <v>4.196616958657521E-2</v>
      </c>
      <c r="J113" s="3">
        <f t="shared" ca="1" si="125"/>
        <v>4.3106491918994391E-2</v>
      </c>
      <c r="K113" s="3">
        <f t="shared" ca="1" si="125"/>
        <v>4.3761875681039328E-2</v>
      </c>
      <c r="L113" s="3">
        <f t="shared" ca="1" si="125"/>
        <v>4.5592385185048129E-2</v>
      </c>
      <c r="M113" s="3">
        <f t="shared" ca="1" si="125"/>
        <v>4.4434156758302153E-2</v>
      </c>
      <c r="N113" s="3">
        <f t="shared" ca="1" si="125"/>
        <v>4.8465510718404568E-2</v>
      </c>
      <c r="O113" s="3">
        <f t="shared" ca="1" si="125"/>
        <v>4.5616318367625572E-2</v>
      </c>
      <c r="P113" s="3">
        <f t="shared" ca="1" si="125"/>
        <v>5.0366683199747728E-2</v>
      </c>
      <c r="Q113" s="3">
        <f t="shared" ca="1" si="125"/>
        <v>4.8492329944718526E-2</v>
      </c>
      <c r="R113" s="3">
        <f t="shared" ca="1" si="125"/>
        <v>5.2521281351998225E-2</v>
      </c>
      <c r="S113" s="3">
        <f t="shared" ca="1" si="125"/>
        <v>5.1372957799791154E-2</v>
      </c>
      <c r="T113" s="3">
        <f t="shared" ca="1" si="125"/>
        <v>5.3014582899917985E-2</v>
      </c>
      <c r="U113" s="3">
        <f t="shared" ca="1" si="125"/>
        <v>5.2748606684286631E-2</v>
      </c>
      <c r="V113" s="3">
        <f t="shared" ca="1" si="125"/>
        <v>5.6914908918971815E-2</v>
      </c>
      <c r="W113" s="3">
        <f t="shared" ca="1" si="125"/>
        <v>5.4194419073828048E-2</v>
      </c>
      <c r="X113" s="3">
        <f t="shared" ca="1" si="125"/>
        <v>6.3405021625515673E-2</v>
      </c>
      <c r="Y113" s="3">
        <f t="shared" ca="1" si="125"/>
        <v>6.3245743187725384E-2</v>
      </c>
      <c r="Z113" s="3">
        <f t="shared" ca="1" si="125"/>
        <v>6.8587422231627518E-2</v>
      </c>
      <c r="AA113" s="3">
        <f t="shared" ca="1" si="125"/>
        <v>7.2812046341835635E-2</v>
      </c>
      <c r="AB113" s="3">
        <f t="shared" ref="AB113" ca="1" si="131">MIN(0.99,AB56+$O$3)</f>
        <v>7.3481133173866897E-2</v>
      </c>
      <c r="AC113" s="3">
        <f t="shared" ca="1" si="129"/>
        <v>8.3443668723246545E-2</v>
      </c>
      <c r="AD113" s="3">
        <f t="shared" ca="1" si="129"/>
        <v>7.8924752629194031E-2</v>
      </c>
      <c r="AE113" s="3">
        <f t="shared" ca="1" si="129"/>
        <v>9.3262066743059813E-2</v>
      </c>
      <c r="AF113" s="3">
        <f t="shared" ca="1" si="129"/>
        <v>8.8743806383389801E-2</v>
      </c>
      <c r="AG113" s="3">
        <f t="shared" ca="1" si="129"/>
        <v>0.10000571928234619</v>
      </c>
      <c r="AH113" s="3">
        <f t="shared" ca="1" si="129"/>
        <v>0.11685829682867119</v>
      </c>
      <c r="AI113" s="3">
        <f t="shared" ca="1" si="129"/>
        <v>0.12604711762559195</v>
      </c>
      <c r="AJ113" s="3">
        <f t="shared" ca="1" si="129"/>
        <v>0.18297103985528301</v>
      </c>
    </row>
    <row r="114" spans="1:36" x14ac:dyDescent="0.35">
      <c r="A114" t="s">
        <v>77</v>
      </c>
      <c r="B114" t="s">
        <v>62</v>
      </c>
      <c r="C114" s="4" t="s">
        <v>72</v>
      </c>
      <c r="D114" s="3">
        <f t="shared" ca="1" si="77"/>
        <v>3.8152445030916929E-2</v>
      </c>
      <c r="E114" s="3">
        <f t="shared" ca="1" si="125"/>
        <v>3.8350829701458811E-2</v>
      </c>
      <c r="F114" s="3">
        <f t="shared" ca="1" si="125"/>
        <v>4.0580161000270967E-2</v>
      </c>
      <c r="G114" s="3">
        <f t="shared" ca="1" si="125"/>
        <v>4.0825488412896863E-2</v>
      </c>
      <c r="H114" s="3">
        <f t="shared" ca="1" si="125"/>
        <v>4.179840798567145E-2</v>
      </c>
      <c r="I114" s="3">
        <f t="shared" ca="1" si="125"/>
        <v>4.2942231093108491E-2</v>
      </c>
      <c r="J114" s="3">
        <f t="shared" ca="1" si="125"/>
        <v>4.4009096113489687E-2</v>
      </c>
      <c r="K114" s="3">
        <f t="shared" ca="1" si="125"/>
        <v>4.4680613761538784E-2</v>
      </c>
      <c r="L114" s="3">
        <f t="shared" ca="1" si="125"/>
        <v>4.6579345557199989E-2</v>
      </c>
      <c r="M114" s="3">
        <f t="shared" ca="1" si="125"/>
        <v>4.5408197683742157E-2</v>
      </c>
      <c r="N114" s="3">
        <f t="shared" ca="1" si="125"/>
        <v>4.9415099592844458E-2</v>
      </c>
      <c r="O114" s="3">
        <f t="shared" ca="1" si="125"/>
        <v>4.6614953832701367E-2</v>
      </c>
      <c r="P114" s="3">
        <f t="shared" ca="1" si="125"/>
        <v>5.1334759832945255E-2</v>
      </c>
      <c r="Q114" s="3">
        <f t="shared" ca="1" si="125"/>
        <v>4.9470127589873708E-2</v>
      </c>
      <c r="R114" s="3">
        <f t="shared" ca="1" si="125"/>
        <v>5.3506015768321702E-2</v>
      </c>
      <c r="S114" s="3">
        <f t="shared" ca="1" si="125"/>
        <v>5.2310219539041983E-2</v>
      </c>
      <c r="T114" s="3">
        <f t="shared" ca="1" si="125"/>
        <v>5.3925925344397135E-2</v>
      </c>
      <c r="U114" s="3">
        <f t="shared" ca="1" si="125"/>
        <v>5.3737723038825493E-2</v>
      </c>
      <c r="V114" s="3">
        <f t="shared" ca="1" si="125"/>
        <v>5.7833397104936422E-2</v>
      </c>
      <c r="W114" s="3">
        <f t="shared" ca="1" si="125"/>
        <v>5.5111173693610599E-2</v>
      </c>
      <c r="X114" s="3">
        <f t="shared" ca="1" si="125"/>
        <v>6.4400387702888001E-2</v>
      </c>
      <c r="Y114" s="3">
        <f t="shared" ca="1" si="125"/>
        <v>6.4212145655377251E-2</v>
      </c>
      <c r="Z114" s="3">
        <f t="shared" ca="1" si="125"/>
        <v>6.9512506580291941E-2</v>
      </c>
      <c r="AA114" s="3">
        <f t="shared" ca="1" si="125"/>
        <v>7.3736347948423459E-2</v>
      </c>
      <c r="AB114" s="3">
        <f t="shared" ref="AB114" ca="1" si="132">MIN(0.99,AB57+$O$3)</f>
        <v>7.4467480710824818E-2</v>
      </c>
      <c r="AC114" s="3">
        <f t="shared" ca="1" si="129"/>
        <v>8.437548676045753E-2</v>
      </c>
      <c r="AD114" s="3">
        <f t="shared" ca="1" si="129"/>
        <v>7.988374796457981E-2</v>
      </c>
      <c r="AE114" s="3">
        <f t="shared" ca="1" si="129"/>
        <v>9.4166855258105531E-2</v>
      </c>
      <c r="AF114" s="3">
        <f t="shared" ca="1" si="129"/>
        <v>8.9686936452228999E-2</v>
      </c>
      <c r="AG114" s="3">
        <f t="shared" ca="1" si="129"/>
        <v>0.10093169798160284</v>
      </c>
      <c r="AH114" s="3">
        <f t="shared" ca="1" si="129"/>
        <v>0.11779916474548538</v>
      </c>
      <c r="AI114" s="3">
        <f t="shared" ca="1" si="129"/>
        <v>0.12696599081363205</v>
      </c>
      <c r="AJ114" s="3">
        <f t="shared" ca="1" si="129"/>
        <v>0.18388969352085779</v>
      </c>
    </row>
    <row r="115" spans="1:36" x14ac:dyDescent="0.35">
      <c r="A115" t="s">
        <v>77</v>
      </c>
      <c r="B115" t="s">
        <v>62</v>
      </c>
      <c r="C115" s="4">
        <v>6</v>
      </c>
      <c r="D115" s="3">
        <f t="shared" ca="1" si="77"/>
        <v>3.9103925523829616E-2</v>
      </c>
      <c r="E115" s="3">
        <f t="shared" ca="1" si="125"/>
        <v>3.9273480413622358E-2</v>
      </c>
      <c r="F115" s="3">
        <f t="shared" ca="1" si="125"/>
        <v>4.1484260479984159E-2</v>
      </c>
      <c r="G115" s="3">
        <f t="shared" ca="1" si="125"/>
        <v>4.178499017902744E-2</v>
      </c>
      <c r="H115" s="3">
        <f t="shared" ca="1" si="125"/>
        <v>4.2746432107819032E-2</v>
      </c>
      <c r="I115" s="3">
        <f t="shared" ca="1" si="125"/>
        <v>4.392466233321643E-2</v>
      </c>
      <c r="J115" s="3">
        <f t="shared" ca="1" si="125"/>
        <v>4.4979100515904896E-2</v>
      </c>
      <c r="K115" s="3">
        <f t="shared" ca="1" si="125"/>
        <v>4.5643417586740564E-2</v>
      </c>
      <c r="L115" s="3">
        <f t="shared" ca="1" si="125"/>
        <v>4.7548114463104585E-2</v>
      </c>
      <c r="M115" s="3">
        <f t="shared" ca="1" si="125"/>
        <v>4.6387711815409481E-2</v>
      </c>
      <c r="N115" s="3">
        <f t="shared" ca="1" si="125"/>
        <v>5.0329867427790262E-2</v>
      </c>
      <c r="O115" s="3">
        <f t="shared" ca="1" si="125"/>
        <v>4.7548931738468282E-2</v>
      </c>
      <c r="P115" s="3">
        <f t="shared" ca="1" si="125"/>
        <v>5.2281455029663915E-2</v>
      </c>
      <c r="Q115" s="3">
        <f t="shared" ca="1" si="125"/>
        <v>5.0404786900639112E-2</v>
      </c>
      <c r="R115" s="3">
        <f t="shared" ca="1" si="125"/>
        <v>5.4413632366164671E-2</v>
      </c>
      <c r="S115" s="3">
        <f t="shared" ca="1" si="125"/>
        <v>5.3231757462390013E-2</v>
      </c>
      <c r="T115" s="3">
        <f t="shared" ca="1" si="125"/>
        <v>5.4865839441618006E-2</v>
      </c>
      <c r="U115" s="3">
        <f t="shared" ca="1" si="125"/>
        <v>5.4651666601106014E-2</v>
      </c>
      <c r="V115" s="3">
        <f t="shared" ca="1" si="125"/>
        <v>5.880745226424474E-2</v>
      </c>
      <c r="W115" s="3">
        <f t="shared" ca="1" si="125"/>
        <v>5.6069344767362098E-2</v>
      </c>
      <c r="X115" s="3">
        <f t="shared" ca="1" si="125"/>
        <v>6.5335712794168832E-2</v>
      </c>
      <c r="Y115" s="3">
        <f t="shared" ca="1" si="125"/>
        <v>6.5119962252992353E-2</v>
      </c>
      <c r="Z115" s="3">
        <f t="shared" ca="1" si="125"/>
        <v>7.0472239793457112E-2</v>
      </c>
      <c r="AA115" s="3">
        <f t="shared" ca="1" si="125"/>
        <v>7.4687289175746421E-2</v>
      </c>
      <c r="AB115" s="3">
        <f t="shared" ref="AB115" ca="1" si="133">MIN(0.99,AB58+$O$3)</f>
        <v>7.5369623207543202E-2</v>
      </c>
      <c r="AC115" s="3">
        <f t="shared" ca="1" si="129"/>
        <v>8.5349953632745196E-2</v>
      </c>
      <c r="AD115" s="3">
        <f t="shared" ca="1" si="129"/>
        <v>8.0818404522337628E-2</v>
      </c>
      <c r="AE115" s="3">
        <f t="shared" ca="1" si="129"/>
        <v>9.5153739272858223E-2</v>
      </c>
      <c r="AF115" s="3">
        <f t="shared" ca="1" si="129"/>
        <v>9.0680560202234334E-2</v>
      </c>
      <c r="AG115" s="3">
        <f t="shared" ca="1" si="129"/>
        <v>0.1018755697377704</v>
      </c>
      <c r="AH115" s="3">
        <f t="shared" ca="1" si="129"/>
        <v>0.11875955657050127</v>
      </c>
      <c r="AI115" s="3">
        <f t="shared" ca="1" si="129"/>
        <v>0.12794268838125666</v>
      </c>
      <c r="AJ115" s="3">
        <f t="shared" ca="1" si="129"/>
        <v>0.18483526118322763</v>
      </c>
    </row>
    <row r="116" spans="1:36" x14ac:dyDescent="0.35">
      <c r="A116" t="s">
        <v>77</v>
      </c>
      <c r="B116" t="s">
        <v>62</v>
      </c>
      <c r="C116" s="4" t="s">
        <v>73</v>
      </c>
      <c r="D116" s="3">
        <f t="shared" ca="1" si="77"/>
        <v>4.0076343410252166E-2</v>
      </c>
      <c r="E116" s="3">
        <f t="shared" ca="1" si="125"/>
        <v>4.0220448312122119E-2</v>
      </c>
      <c r="F116" s="3">
        <f t="shared" ca="1" si="125"/>
        <v>4.2474475509503451E-2</v>
      </c>
      <c r="G116" s="3">
        <f t="shared" ca="1" si="125"/>
        <v>4.2761084793114287E-2</v>
      </c>
      <c r="H116" s="3">
        <f t="shared" ca="1" si="125"/>
        <v>4.3744522938184482E-2</v>
      </c>
      <c r="I116" s="3">
        <f t="shared" ca="1" si="125"/>
        <v>4.4897788197689151E-2</v>
      </c>
      <c r="J116" s="3">
        <f t="shared" ca="1" si="125"/>
        <v>4.5883185304970875E-2</v>
      </c>
      <c r="K116" s="3">
        <f t="shared" ca="1" si="125"/>
        <v>4.6607880304561741E-2</v>
      </c>
      <c r="L116" s="3">
        <f t="shared" ca="1" si="125"/>
        <v>4.8455920816493608E-2</v>
      </c>
      <c r="M116" s="3">
        <f t="shared" ca="1" si="125"/>
        <v>4.7288634924567294E-2</v>
      </c>
      <c r="N116" s="3">
        <f t="shared" ca="1" si="125"/>
        <v>5.1311145294651639E-2</v>
      </c>
      <c r="O116" s="3">
        <f t="shared" ca="1" si="125"/>
        <v>4.8452283815432651E-2</v>
      </c>
      <c r="P116" s="3">
        <f t="shared" ca="1" si="125"/>
        <v>5.3272247291273944E-2</v>
      </c>
      <c r="Q116" s="3">
        <f t="shared" ca="1" si="125"/>
        <v>5.1322726460812651E-2</v>
      </c>
      <c r="R116" s="3">
        <f t="shared" ca="1" si="125"/>
        <v>5.5397149081169265E-2</v>
      </c>
      <c r="S116" s="3">
        <f t="shared" ca="1" si="125"/>
        <v>5.4179343186951306E-2</v>
      </c>
      <c r="T116" s="3">
        <f t="shared" ca="1" si="125"/>
        <v>5.5818966535687083E-2</v>
      </c>
      <c r="U116" s="3">
        <f t="shared" ca="1" si="125"/>
        <v>5.5555167541427301E-2</v>
      </c>
      <c r="V116" s="3">
        <f t="shared" ca="1" si="125"/>
        <v>5.9748233990400496E-2</v>
      </c>
      <c r="W116" s="3">
        <f t="shared" ca="1" si="125"/>
        <v>5.7030469659940075E-2</v>
      </c>
      <c r="X116" s="3">
        <f t="shared" ca="1" si="125"/>
        <v>6.6237231515940062E-2</v>
      </c>
      <c r="Y116" s="3">
        <f t="shared" ca="1" si="125"/>
        <v>6.6040881082994468E-2</v>
      </c>
      <c r="Z116" s="3">
        <f t="shared" ca="1" si="125"/>
        <v>7.1463222183403063E-2</v>
      </c>
      <c r="AA116" s="3">
        <f t="shared" ca="1" si="125"/>
        <v>7.5627256529838316E-2</v>
      </c>
      <c r="AB116" s="3">
        <f t="shared" ref="AB116" ca="1" si="134">MIN(0.99,AB59+$O$3)</f>
        <v>7.6330225640333482E-2</v>
      </c>
      <c r="AC116" s="3">
        <f t="shared" ca="1" si="129"/>
        <v>8.6267167041067017E-2</v>
      </c>
      <c r="AD116" s="3">
        <f t="shared" ca="1" si="129"/>
        <v>8.1726376327012379E-2</v>
      </c>
      <c r="AE116" s="3">
        <f t="shared" ca="1" si="129"/>
        <v>9.6093762480073758E-2</v>
      </c>
      <c r="AF116" s="3">
        <f t="shared" ca="1" si="129"/>
        <v>9.1629337723902832E-2</v>
      </c>
      <c r="AG116" s="3">
        <f t="shared" ca="1" si="129"/>
        <v>0.10278160364646946</v>
      </c>
      <c r="AH116" s="3">
        <f t="shared" ca="1" si="129"/>
        <v>0.11968443861067618</v>
      </c>
      <c r="AI116" s="3">
        <f t="shared" ca="1" si="129"/>
        <v>0.12891532296838085</v>
      </c>
      <c r="AJ116" s="3">
        <f t="shared" ca="1" si="129"/>
        <v>0.18576592350239432</v>
      </c>
    </row>
    <row r="117" spans="1:36" x14ac:dyDescent="0.35">
      <c r="A117" t="s">
        <v>77</v>
      </c>
      <c r="B117" t="s">
        <v>62</v>
      </c>
      <c r="C117" s="4" t="s">
        <v>74</v>
      </c>
      <c r="D117" s="3">
        <f t="shared" ca="1" si="77"/>
        <v>4.0977639289510842E-2</v>
      </c>
      <c r="E117" s="3">
        <f t="shared" ca="1" si="125"/>
        <v>4.1185436779868523E-2</v>
      </c>
      <c r="F117" s="3">
        <f t="shared" ca="1" si="125"/>
        <v>4.3439383080087587E-2</v>
      </c>
      <c r="G117" s="3">
        <f t="shared" ca="1" si="125"/>
        <v>4.370793826332961E-2</v>
      </c>
      <c r="H117" s="3">
        <f t="shared" ca="1" si="125"/>
        <v>4.4728314198047792E-2</v>
      </c>
      <c r="I117" s="3">
        <f t="shared" ca="1" si="125"/>
        <v>4.579958684437041E-2</v>
      </c>
      <c r="J117" s="3">
        <f t="shared" ca="1" si="125"/>
        <v>4.6878908646493307E-2</v>
      </c>
      <c r="K117" s="3">
        <f t="shared" ca="1" si="125"/>
        <v>4.7592240663813262E-2</v>
      </c>
      <c r="L117" s="3">
        <f t="shared" ca="1" si="125"/>
        <v>4.944332535422926E-2</v>
      </c>
      <c r="M117" s="3">
        <f t="shared" ca="1" si="125"/>
        <v>4.82658134821983E-2</v>
      </c>
      <c r="N117" s="3">
        <f t="shared" ca="1" si="125"/>
        <v>5.2307272751339645E-2</v>
      </c>
      <c r="O117" s="3">
        <f t="shared" ca="1" si="125"/>
        <v>4.9391280638935268E-2</v>
      </c>
      <c r="P117" s="3">
        <f t="shared" ca="1" si="125"/>
        <v>5.4183006535830053E-2</v>
      </c>
      <c r="Q117" s="3">
        <f t="shared" ca="1" si="125"/>
        <v>5.2242322027796988E-2</v>
      </c>
      <c r="R117" s="3">
        <f t="shared" ca="1" si="125"/>
        <v>5.6313369639595615E-2</v>
      </c>
      <c r="S117" s="3">
        <f t="shared" ca="1" si="125"/>
        <v>5.5124709990082961E-2</v>
      </c>
      <c r="T117" s="3">
        <f t="shared" ca="1" si="125"/>
        <v>5.6790822628961943E-2</v>
      </c>
      <c r="U117" s="3">
        <f t="shared" ca="1" si="125"/>
        <v>5.6501393744067638E-2</v>
      </c>
      <c r="V117" s="3">
        <f t="shared" ca="1" si="125"/>
        <v>6.0724209770869286E-2</v>
      </c>
      <c r="W117" s="3">
        <f t="shared" ca="1" si="125"/>
        <v>5.8028908521711824E-2</v>
      </c>
      <c r="X117" s="3">
        <f t="shared" ca="1" si="125"/>
        <v>6.7211591835553641E-2</v>
      </c>
      <c r="Y117" s="3">
        <f t="shared" ca="1" si="125"/>
        <v>6.6957097827992501E-2</v>
      </c>
      <c r="Z117" s="3">
        <f t="shared" ca="1" si="125"/>
        <v>7.2427681368468777E-2</v>
      </c>
      <c r="AA117" s="3">
        <f t="shared" ca="1" si="125"/>
        <v>7.6581937200085631E-2</v>
      </c>
      <c r="AB117" s="3">
        <f t="shared" ref="AB117" ca="1" si="135">MIN(0.99,AB60+$O$3)</f>
        <v>7.7289124051551306E-2</v>
      </c>
      <c r="AC117" s="3">
        <f t="shared" ca="1" si="129"/>
        <v>8.7172249048327793E-2</v>
      </c>
      <c r="AD117" s="3">
        <f t="shared" ca="1" si="129"/>
        <v>8.2716600628391063E-2</v>
      </c>
      <c r="AE117" s="3">
        <f t="shared" ca="1" si="129"/>
        <v>9.7017728469283998E-2</v>
      </c>
      <c r="AF117" s="3">
        <f t="shared" ca="1" si="129"/>
        <v>9.260679466785704E-2</v>
      </c>
      <c r="AG117" s="3">
        <f t="shared" ca="1" si="129"/>
        <v>0.10371653063188432</v>
      </c>
      <c r="AH117" s="3">
        <f t="shared" ca="1" si="129"/>
        <v>0.12061833689731144</v>
      </c>
      <c r="AI117" s="3">
        <f t="shared" ca="1" si="129"/>
        <v>0.12988614259121348</v>
      </c>
      <c r="AJ117" s="3">
        <f t="shared" ca="1" si="129"/>
        <v>0.18673333340118234</v>
      </c>
    </row>
    <row r="118" spans="1:36" x14ac:dyDescent="0.35">
      <c r="A118" t="s">
        <v>77</v>
      </c>
      <c r="B118" t="s">
        <v>62</v>
      </c>
      <c r="C118" s="4">
        <v>7</v>
      </c>
      <c r="D118" s="3">
        <f t="shared" ca="1" si="77"/>
        <v>4.1917500457153478E-2</v>
      </c>
      <c r="E118" s="3">
        <f t="shared" ca="1" si="125"/>
        <v>4.2145254027243798E-2</v>
      </c>
      <c r="F118" s="3">
        <f t="shared" ca="1" si="125"/>
        <v>4.4402079986710322E-2</v>
      </c>
      <c r="G118" s="3">
        <f t="shared" ca="1" si="125"/>
        <v>4.4655961922810648E-2</v>
      </c>
      <c r="H118" s="3">
        <f t="shared" ca="1" si="125"/>
        <v>4.5693695797489942E-2</v>
      </c>
      <c r="I118" s="3">
        <f t="shared" ca="1" si="125"/>
        <v>4.6712770370238327E-2</v>
      </c>
      <c r="J118" s="3">
        <f t="shared" ca="1" si="125"/>
        <v>4.7802021895231861E-2</v>
      </c>
      <c r="K118" s="3">
        <f t="shared" ca="1" si="125"/>
        <v>4.8565803889783911E-2</v>
      </c>
      <c r="L118" s="3">
        <f t="shared" ca="1" si="125"/>
        <v>5.0391266178167082E-2</v>
      </c>
      <c r="M118" s="3">
        <f t="shared" ca="1" si="125"/>
        <v>4.9253252161495856E-2</v>
      </c>
      <c r="N118" s="3">
        <f t="shared" ca="1" si="125"/>
        <v>5.3303183100044206E-2</v>
      </c>
      <c r="O118" s="3">
        <f t="shared" ca="1" si="125"/>
        <v>5.0313826593341798E-2</v>
      </c>
      <c r="P118" s="3">
        <f t="shared" ca="1" si="125"/>
        <v>5.5115654610217855E-2</v>
      </c>
      <c r="Q118" s="3">
        <f t="shared" ca="1" si="125"/>
        <v>5.31644928499014E-2</v>
      </c>
      <c r="R118" s="3">
        <f t="shared" ca="1" si="125"/>
        <v>5.7231283107714574E-2</v>
      </c>
      <c r="S118" s="3">
        <f t="shared" ca="1" si="125"/>
        <v>5.6048976461946433E-2</v>
      </c>
      <c r="T118" s="3">
        <f t="shared" ca="1" si="125"/>
        <v>5.774169962851667E-2</v>
      </c>
      <c r="U118" s="3">
        <f t="shared" ca="1" si="125"/>
        <v>5.7467115659572965E-2</v>
      </c>
      <c r="V118" s="3">
        <f t="shared" ca="1" si="125"/>
        <v>6.1634500210641548E-2</v>
      </c>
      <c r="W118" s="3">
        <f t="shared" ca="1" si="125"/>
        <v>5.8967627336666648E-2</v>
      </c>
      <c r="X118" s="3">
        <f t="shared" ca="1" si="125"/>
        <v>6.8184367354596875E-2</v>
      </c>
      <c r="Y118" s="3">
        <f t="shared" ca="1" si="125"/>
        <v>6.7947228346252483E-2</v>
      </c>
      <c r="Z118" s="3">
        <f t="shared" ca="1" si="125"/>
        <v>7.3389245541982923E-2</v>
      </c>
      <c r="AA118" s="3">
        <f t="shared" ca="1" si="125"/>
        <v>7.753773767360031E-2</v>
      </c>
      <c r="AB118" s="3">
        <f t="shared" ref="AB118" ca="1" si="136">MIN(0.99,AB61+$O$3)</f>
        <v>7.8257376411871193E-2</v>
      </c>
      <c r="AC118" s="3">
        <f t="shared" ca="1" si="129"/>
        <v>8.8115430043037513E-2</v>
      </c>
      <c r="AD118" s="3">
        <f t="shared" ca="1" si="129"/>
        <v>8.3680075854409175E-2</v>
      </c>
      <c r="AE118" s="3">
        <f t="shared" ca="1" si="129"/>
        <v>9.8010852462887127E-2</v>
      </c>
      <c r="AF118" s="3">
        <f t="shared" ca="1" si="129"/>
        <v>9.3556304016067099E-2</v>
      </c>
      <c r="AG118" s="3">
        <f t="shared" ca="1" si="129"/>
        <v>0.10469025144899674</v>
      </c>
      <c r="AH118" s="3">
        <f t="shared" ca="1" si="129"/>
        <v>0.12161363140557976</v>
      </c>
      <c r="AI118" s="3">
        <f t="shared" ca="1" si="129"/>
        <v>0.13085618723574055</v>
      </c>
      <c r="AJ118" s="3">
        <f t="shared" ca="1" si="129"/>
        <v>0.18765884083679893</v>
      </c>
    </row>
    <row r="119" spans="1:36" x14ac:dyDescent="0.35">
      <c r="A119" t="s">
        <v>77</v>
      </c>
      <c r="B119" t="s">
        <v>62</v>
      </c>
      <c r="C119" s="4" t="s">
        <v>75</v>
      </c>
      <c r="D119" s="3">
        <f t="shared" ca="1" si="77"/>
        <v>4.2875279045820766E-2</v>
      </c>
      <c r="E119" s="3">
        <f t="shared" ca="1" si="125"/>
        <v>4.3050952856554109E-2</v>
      </c>
      <c r="F119" s="3">
        <f t="shared" ca="1" si="125"/>
        <v>4.5331291703665705E-2</v>
      </c>
      <c r="G119" s="3">
        <f t="shared" ref="G119:AB119" ca="1" si="137">MIN(0.99,G62+$O$3)</f>
        <v>4.5617035472300248E-2</v>
      </c>
      <c r="H119" s="3">
        <f t="shared" ca="1" si="137"/>
        <v>4.6659732397400303E-2</v>
      </c>
      <c r="I119" s="3">
        <f t="shared" ca="1" si="137"/>
        <v>4.7625266300928754E-2</v>
      </c>
      <c r="J119" s="3">
        <f t="shared" ca="1" si="137"/>
        <v>4.8732193739254942E-2</v>
      </c>
      <c r="K119" s="3">
        <f t="shared" ca="1" si="137"/>
        <v>4.9534920103237554E-2</v>
      </c>
      <c r="L119" s="3">
        <f t="shared" ca="1" si="137"/>
        <v>5.1367663099142397E-2</v>
      </c>
      <c r="M119" s="3">
        <f t="shared" ca="1" si="137"/>
        <v>5.0248868170021957E-2</v>
      </c>
      <c r="N119" s="3">
        <f t="shared" ca="1" si="137"/>
        <v>5.4301215955139377E-2</v>
      </c>
      <c r="O119" s="3">
        <f t="shared" ca="1" si="137"/>
        <v>5.1300242761142451E-2</v>
      </c>
      <c r="P119" s="3">
        <f t="shared" ca="1" si="137"/>
        <v>5.605684622595037E-2</v>
      </c>
      <c r="Q119" s="3">
        <f t="shared" ca="1" si="137"/>
        <v>5.4144920288838279E-2</v>
      </c>
      <c r="R119" s="3">
        <f t="shared" ca="1" si="137"/>
        <v>5.8143639840127173E-2</v>
      </c>
      <c r="S119" s="3">
        <f t="shared" ca="1" si="137"/>
        <v>5.7034138765704033E-2</v>
      </c>
      <c r="T119" s="3">
        <f t="shared" ca="1" si="137"/>
        <v>5.8679201537240294E-2</v>
      </c>
      <c r="U119" s="3">
        <f t="shared" ca="1" si="137"/>
        <v>5.8464213174064819E-2</v>
      </c>
      <c r="V119" s="3">
        <f t="shared" ca="1" si="137"/>
        <v>6.2586005937534744E-2</v>
      </c>
      <c r="W119" s="3">
        <f t="shared" ca="1" si="137"/>
        <v>5.994879458754953E-2</v>
      </c>
      <c r="X119" s="3">
        <f t="shared" ca="1" si="137"/>
        <v>6.9114788410963801E-2</v>
      </c>
      <c r="Y119" s="3">
        <f t="shared" ca="1" si="137"/>
        <v>6.885861948475594E-2</v>
      </c>
      <c r="Z119" s="3">
        <f t="shared" ca="1" si="137"/>
        <v>7.4363688088643159E-2</v>
      </c>
      <c r="AA119" s="3">
        <f t="shared" ca="1" si="137"/>
        <v>7.8453285624751817E-2</v>
      </c>
      <c r="AB119" s="3">
        <f t="shared" ca="1" si="137"/>
        <v>7.922420411441207E-2</v>
      </c>
      <c r="AC119" s="3">
        <f t="shared" ca="1" si="129"/>
        <v>8.9063507362981464E-2</v>
      </c>
      <c r="AD119" s="3">
        <f t="shared" ca="1" si="129"/>
        <v>8.4653063211581059E-2</v>
      </c>
      <c r="AE119" s="3">
        <f t="shared" ca="1" si="129"/>
        <v>9.8962034273169797E-2</v>
      </c>
      <c r="AF119" s="3">
        <f t="shared" ca="1" si="129"/>
        <v>9.4501160086666286E-2</v>
      </c>
      <c r="AG119" s="3">
        <f t="shared" ca="1" si="129"/>
        <v>0.10566917311204668</v>
      </c>
      <c r="AH119" s="3">
        <f t="shared" ca="1" si="129"/>
        <v>0.12259688142287709</v>
      </c>
      <c r="AI119" s="3">
        <f t="shared" ca="1" si="129"/>
        <v>0.13178900967914031</v>
      </c>
      <c r="AJ119" s="3">
        <f t="shared" ca="1" si="129"/>
        <v>0.18855889479748142</v>
      </c>
    </row>
  </sheetData>
  <phoneticPr fontId="3" type="noConversion"/>
  <dataValidations disablePrompts="1"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>
      <selection activeCell="F12" sqref="F1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sheetPr>
    <tabColor theme="4"/>
  </sheetPr>
  <dimension ref="A5:AJ13"/>
  <sheetViews>
    <sheetView zoomScale="70" zoomScaleNormal="70" workbookViewId="0">
      <selection activeCell="C14" sqref="C14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s="2" customFormat="1" x14ac:dyDescent="0.35">
      <c r="A5" s="2" t="s">
        <v>193</v>
      </c>
      <c r="B5" s="2" t="s">
        <v>26</v>
      </c>
      <c r="C5" s="2" t="s">
        <v>79</v>
      </c>
      <c r="D5" s="2" t="s">
        <v>160</v>
      </c>
      <c r="E5" s="2" t="s">
        <v>161</v>
      </c>
      <c r="F5" s="2" t="s">
        <v>162</v>
      </c>
      <c r="G5" s="2" t="s">
        <v>163</v>
      </c>
      <c r="H5" s="2" t="s">
        <v>164</v>
      </c>
      <c r="I5" s="2" t="s">
        <v>165</v>
      </c>
      <c r="J5" s="2" t="s">
        <v>166</v>
      </c>
      <c r="K5" s="2" t="s">
        <v>167</v>
      </c>
      <c r="L5" s="2" t="s">
        <v>168</v>
      </c>
      <c r="M5" s="2" t="s">
        <v>169</v>
      </c>
      <c r="N5" s="2" t="s">
        <v>170</v>
      </c>
      <c r="O5" s="2" t="s">
        <v>171</v>
      </c>
      <c r="P5" s="2" t="s">
        <v>172</v>
      </c>
      <c r="Q5" s="2" t="s">
        <v>173</v>
      </c>
      <c r="R5" s="2" t="s">
        <v>174</v>
      </c>
      <c r="S5" s="2" t="s">
        <v>175</v>
      </c>
      <c r="T5" s="2" t="s">
        <v>176</v>
      </c>
      <c r="U5" s="2" t="s">
        <v>177</v>
      </c>
      <c r="V5" s="2" t="s">
        <v>178</v>
      </c>
      <c r="W5" s="2" t="s">
        <v>179</v>
      </c>
      <c r="X5" s="2" t="s">
        <v>180</v>
      </c>
      <c r="Y5" s="2" t="s">
        <v>181</v>
      </c>
      <c r="Z5" s="2" t="s">
        <v>182</v>
      </c>
      <c r="AA5" s="2" t="s">
        <v>183</v>
      </c>
      <c r="AB5" s="2" t="s">
        <v>184</v>
      </c>
      <c r="AC5" s="2" t="s">
        <v>185</v>
      </c>
      <c r="AD5" s="2" t="s">
        <v>186</v>
      </c>
      <c r="AE5" s="2" t="s">
        <v>187</v>
      </c>
      <c r="AF5" s="2" t="s">
        <v>188</v>
      </c>
      <c r="AG5" s="2" t="s">
        <v>189</v>
      </c>
      <c r="AH5" s="2" t="s">
        <v>190</v>
      </c>
      <c r="AI5" s="2" t="s">
        <v>191</v>
      </c>
      <c r="AJ5" s="2" t="s">
        <v>192</v>
      </c>
    </row>
    <row r="6" spans="1:36" x14ac:dyDescent="0.35">
      <c r="A6" t="s">
        <v>80</v>
      </c>
      <c r="B6" t="s">
        <v>76</v>
      </c>
      <c r="C6" s="5">
        <v>0.43</v>
      </c>
    </row>
    <row r="7" spans="1:36" x14ac:dyDescent="0.35">
      <c r="A7" t="s">
        <v>80</v>
      </c>
      <c r="B7" t="s">
        <v>61</v>
      </c>
      <c r="C7" s="5">
        <v>0.45</v>
      </c>
    </row>
    <row r="8" spans="1:36" x14ac:dyDescent="0.35">
      <c r="A8" t="s">
        <v>80</v>
      </c>
      <c r="B8" t="s">
        <v>62</v>
      </c>
      <c r="C8" s="5">
        <v>0.46</v>
      </c>
    </row>
    <row r="9" spans="1:36" x14ac:dyDescent="0.35">
      <c r="A9" t="s">
        <v>81</v>
      </c>
      <c r="B9" t="s">
        <v>76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81</v>
      </c>
      <c r="B10" t="s">
        <v>61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81</v>
      </c>
      <c r="B11" t="s">
        <v>62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  <row r="12" spans="1:36" x14ac:dyDescent="0.35">
      <c r="A12" t="s">
        <v>202</v>
      </c>
      <c r="B12" t="s">
        <v>61</v>
      </c>
      <c r="C12" s="5">
        <v>0.4</v>
      </c>
    </row>
    <row r="13" spans="1:36" x14ac:dyDescent="0.35">
      <c r="A13" t="s">
        <v>203</v>
      </c>
      <c r="B13" t="s">
        <v>61</v>
      </c>
      <c r="C13" s="5">
        <v>0.4</v>
      </c>
    </row>
  </sheetData>
  <phoneticPr fontId="3" type="noConversion"/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5:AK34"/>
  <sheetViews>
    <sheetView topLeftCell="A9" workbookViewId="0">
      <selection activeCell="F38" sqref="F38"/>
    </sheetView>
  </sheetViews>
  <sheetFormatPr baseColWidth="10" defaultRowHeight="14.5" x14ac:dyDescent="0.35"/>
  <cols>
    <col min="2" max="2" width="13.7265625" bestFit="1" customWidth="1"/>
    <col min="4" max="4" width="22.81640625" bestFit="1" customWidth="1"/>
  </cols>
  <sheetData>
    <row r="5" spans="1:37" s="2" customFormat="1" x14ac:dyDescent="0.35">
      <c r="A5" s="2" t="s">
        <v>194</v>
      </c>
      <c r="B5" s="2" t="s">
        <v>195</v>
      </c>
      <c r="C5" s="2" t="s">
        <v>26</v>
      </c>
      <c r="D5" s="2" t="s">
        <v>79</v>
      </c>
      <c r="E5" s="2" t="s">
        <v>160</v>
      </c>
      <c r="F5" s="2" t="s">
        <v>161</v>
      </c>
      <c r="G5" s="2" t="s">
        <v>162</v>
      </c>
      <c r="H5" s="2" t="s">
        <v>163</v>
      </c>
      <c r="I5" s="2" t="s">
        <v>164</v>
      </c>
      <c r="J5" s="2" t="s">
        <v>165</v>
      </c>
      <c r="K5" s="2" t="s">
        <v>166</v>
      </c>
      <c r="L5" s="2" t="s">
        <v>167</v>
      </c>
      <c r="M5" s="2" t="s">
        <v>168</v>
      </c>
      <c r="N5" s="2" t="s">
        <v>169</v>
      </c>
      <c r="O5" s="2" t="s">
        <v>170</v>
      </c>
      <c r="P5" s="2" t="s">
        <v>171</v>
      </c>
      <c r="Q5" s="2" t="s">
        <v>172</v>
      </c>
      <c r="R5" s="2" t="s">
        <v>173</v>
      </c>
      <c r="S5" s="2" t="s">
        <v>174</v>
      </c>
      <c r="T5" s="2" t="s">
        <v>175</v>
      </c>
      <c r="U5" s="2" t="s">
        <v>176</v>
      </c>
      <c r="V5" s="2" t="s">
        <v>177</v>
      </c>
      <c r="W5" s="2" t="s">
        <v>178</v>
      </c>
      <c r="X5" s="2" t="s">
        <v>179</v>
      </c>
      <c r="Y5" s="2" t="s">
        <v>180</v>
      </c>
      <c r="Z5" s="2" t="s">
        <v>181</v>
      </c>
      <c r="AA5" s="2" t="s">
        <v>182</v>
      </c>
      <c r="AB5" s="2" t="s">
        <v>183</v>
      </c>
      <c r="AC5" s="2" t="s">
        <v>184</v>
      </c>
      <c r="AD5" s="2" t="s">
        <v>185</v>
      </c>
      <c r="AE5" s="2" t="s">
        <v>186</v>
      </c>
      <c r="AF5" s="2" t="s">
        <v>187</v>
      </c>
      <c r="AG5" s="2" t="s">
        <v>188</v>
      </c>
      <c r="AH5" s="2" t="s">
        <v>189</v>
      </c>
      <c r="AI5" s="2" t="s">
        <v>190</v>
      </c>
      <c r="AJ5" s="2" t="s">
        <v>191</v>
      </c>
      <c r="AK5" s="2" t="s">
        <v>192</v>
      </c>
    </row>
    <row r="6" spans="1:37" x14ac:dyDescent="0.35">
      <c r="A6" t="s">
        <v>196</v>
      </c>
      <c r="B6">
        <v>3</v>
      </c>
      <c r="D6" s="5"/>
      <c r="E6" s="5">
        <v>0.33</v>
      </c>
      <c r="F6" s="5">
        <f>E6+0.012</f>
        <v>0.34200000000000003</v>
      </c>
      <c r="G6" s="5">
        <f t="shared" ref="G6:M8" si="0">F6+0.01</f>
        <v>0.35200000000000004</v>
      </c>
      <c r="H6" s="5">
        <f t="shared" si="0"/>
        <v>0.36200000000000004</v>
      </c>
      <c r="I6" s="5">
        <f t="shared" si="0"/>
        <v>0.37200000000000005</v>
      </c>
      <c r="J6" s="5">
        <f t="shared" si="0"/>
        <v>0.38200000000000006</v>
      </c>
      <c r="K6" s="5">
        <f t="shared" si="0"/>
        <v>0.39200000000000007</v>
      </c>
      <c r="L6" s="5">
        <f t="shared" si="0"/>
        <v>0.40200000000000008</v>
      </c>
      <c r="M6" s="5">
        <f t="shared" si="0"/>
        <v>0.41200000000000009</v>
      </c>
      <c r="N6" s="6">
        <v>0.36000000000000004</v>
      </c>
      <c r="O6" s="6">
        <v>0.36000000000000004</v>
      </c>
      <c r="P6" s="6">
        <v>0.36000000000000004</v>
      </c>
      <c r="Q6" s="6">
        <v>0.36000000000000004</v>
      </c>
      <c r="R6" s="6">
        <v>0.36000000000000004</v>
      </c>
      <c r="S6" s="6">
        <v>0.36000000000000004</v>
      </c>
      <c r="T6" s="6">
        <v>0.36000000000000004</v>
      </c>
      <c r="U6" s="6">
        <v>0.36000000000000004</v>
      </c>
      <c r="V6" s="6">
        <v>0.36000000000000004</v>
      </c>
      <c r="W6" s="6">
        <v>0.36000000000000004</v>
      </c>
      <c r="X6" s="6">
        <v>0.36000000000000004</v>
      </c>
      <c r="Y6" s="6">
        <v>0.36000000000000004</v>
      </c>
      <c r="Z6" s="6">
        <v>0.36000000000000004</v>
      </c>
      <c r="AA6" s="6">
        <v>0.36000000000000004</v>
      </c>
      <c r="AB6" s="6">
        <v>0.36000000000000004</v>
      </c>
      <c r="AC6" s="6">
        <v>0.36000000000000004</v>
      </c>
      <c r="AD6" s="6">
        <v>0.36000000000000004</v>
      </c>
      <c r="AE6" s="6">
        <v>0.36000000000000004</v>
      </c>
      <c r="AF6" s="6">
        <v>0.36000000000000004</v>
      </c>
      <c r="AG6" s="6">
        <v>0.36000000000000004</v>
      </c>
      <c r="AH6" s="6">
        <v>0.36000000000000004</v>
      </c>
      <c r="AI6" s="6">
        <v>0.36000000000000004</v>
      </c>
      <c r="AJ6" s="6">
        <v>0.36000000000000004</v>
      </c>
      <c r="AK6" s="6">
        <v>0.36000000000000004</v>
      </c>
    </row>
    <row r="7" spans="1:37" x14ac:dyDescent="0.35">
      <c r="A7" t="s">
        <v>196</v>
      </c>
      <c r="B7">
        <v>6</v>
      </c>
      <c r="D7" s="5"/>
      <c r="E7" s="5">
        <f>E6+0.02</f>
        <v>0.35000000000000003</v>
      </c>
      <c r="F7" s="5">
        <f t="shared" ref="F7:F8" si="1">E7+0.012</f>
        <v>0.36200000000000004</v>
      </c>
      <c r="G7" s="5">
        <f t="shared" si="0"/>
        <v>0.37200000000000005</v>
      </c>
      <c r="H7" s="5">
        <f t="shared" si="0"/>
        <v>0.38200000000000006</v>
      </c>
      <c r="I7" s="5">
        <f t="shared" si="0"/>
        <v>0.39200000000000007</v>
      </c>
      <c r="J7" s="5">
        <f t="shared" si="0"/>
        <v>0.40200000000000008</v>
      </c>
      <c r="K7" s="5">
        <f t="shared" si="0"/>
        <v>0.41200000000000009</v>
      </c>
      <c r="L7" s="5">
        <f t="shared" si="0"/>
        <v>0.4220000000000001</v>
      </c>
      <c r="M7" s="5">
        <f t="shared" si="0"/>
        <v>0.43200000000000011</v>
      </c>
      <c r="N7" s="6">
        <v>0.38000000000000006</v>
      </c>
      <c r="O7" s="6">
        <v>0.38000000000000006</v>
      </c>
      <c r="P7" s="6">
        <v>0.38000000000000006</v>
      </c>
      <c r="Q7" s="6">
        <v>0.38000000000000006</v>
      </c>
      <c r="R7" s="6">
        <v>0.38000000000000006</v>
      </c>
      <c r="S7" s="6">
        <v>0.38000000000000006</v>
      </c>
      <c r="T7" s="6">
        <v>0.38000000000000006</v>
      </c>
      <c r="U7" s="6">
        <v>0.38000000000000006</v>
      </c>
      <c r="V7" s="6">
        <v>0.38000000000000006</v>
      </c>
      <c r="W7" s="6">
        <v>0.38000000000000006</v>
      </c>
      <c r="X7" s="6">
        <v>0.38000000000000006</v>
      </c>
      <c r="Y7" s="6">
        <v>0.38000000000000006</v>
      </c>
      <c r="Z7" s="6">
        <v>0.38000000000000006</v>
      </c>
      <c r="AA7" s="6">
        <v>0.38000000000000006</v>
      </c>
      <c r="AB7" s="6">
        <v>0.38000000000000006</v>
      </c>
      <c r="AC7" s="6">
        <v>0.38000000000000006</v>
      </c>
      <c r="AD7" s="6">
        <v>0.38000000000000006</v>
      </c>
      <c r="AE7" s="6">
        <v>0.38000000000000006</v>
      </c>
      <c r="AF7" s="6">
        <v>0.38000000000000006</v>
      </c>
      <c r="AG7" s="6">
        <v>0.38000000000000006</v>
      </c>
      <c r="AH7" s="6">
        <v>0.38000000000000006</v>
      </c>
      <c r="AI7" s="6">
        <v>0.38000000000000006</v>
      </c>
      <c r="AJ7" s="6">
        <v>0.38000000000000006</v>
      </c>
      <c r="AK7" s="6">
        <v>0.38000000000000006</v>
      </c>
    </row>
    <row r="8" spans="1:37" x14ac:dyDescent="0.35">
      <c r="A8" t="s">
        <v>196</v>
      </c>
      <c r="B8">
        <v>9</v>
      </c>
      <c r="D8" s="5"/>
      <c r="E8" s="5">
        <f>E7+0.02</f>
        <v>0.37000000000000005</v>
      </c>
      <c r="F8" s="5">
        <f t="shared" si="1"/>
        <v>0.38200000000000006</v>
      </c>
      <c r="G8" s="5">
        <f t="shared" si="0"/>
        <v>0.39200000000000007</v>
      </c>
      <c r="H8" s="5">
        <f t="shared" si="0"/>
        <v>0.40200000000000008</v>
      </c>
      <c r="I8" s="5">
        <f t="shared" si="0"/>
        <v>0.41200000000000009</v>
      </c>
      <c r="J8" s="5">
        <f t="shared" si="0"/>
        <v>0.4220000000000001</v>
      </c>
      <c r="K8" s="5">
        <f t="shared" si="0"/>
        <v>0.43200000000000011</v>
      </c>
      <c r="L8" s="5">
        <f t="shared" si="0"/>
        <v>0.44200000000000012</v>
      </c>
      <c r="M8" s="5">
        <f t="shared" si="0"/>
        <v>0.45200000000000012</v>
      </c>
      <c r="N8" s="6">
        <v>0.40000000000000008</v>
      </c>
      <c r="O8" s="6">
        <v>0.40000000000000008</v>
      </c>
      <c r="P8" s="6">
        <v>0.40000000000000008</v>
      </c>
      <c r="Q8" s="6">
        <v>0.40000000000000008</v>
      </c>
      <c r="R8" s="6">
        <v>0.40000000000000008</v>
      </c>
      <c r="S8" s="6">
        <v>0.40000000000000008</v>
      </c>
      <c r="T8" s="6">
        <v>0.40000000000000008</v>
      </c>
      <c r="U8" s="6">
        <v>0.40000000000000008</v>
      </c>
      <c r="V8" s="6">
        <v>0.40000000000000008</v>
      </c>
      <c r="W8" s="6">
        <v>0.40000000000000008</v>
      </c>
      <c r="X8" s="6">
        <v>0.40000000000000008</v>
      </c>
      <c r="Y8" s="6">
        <v>0.40000000000000008</v>
      </c>
      <c r="Z8" s="6">
        <v>0.40000000000000008</v>
      </c>
      <c r="AA8" s="6">
        <v>0.40000000000000008</v>
      </c>
      <c r="AB8" s="6">
        <v>0.40000000000000008</v>
      </c>
      <c r="AC8" s="6">
        <v>0.40000000000000008</v>
      </c>
      <c r="AD8" s="6">
        <v>0.40000000000000008</v>
      </c>
      <c r="AE8" s="6">
        <v>0.40000000000000008</v>
      </c>
      <c r="AF8" s="6">
        <v>0.40000000000000008</v>
      </c>
      <c r="AG8" s="6">
        <v>0.40000000000000008</v>
      </c>
      <c r="AH8" s="6">
        <v>0.40000000000000008</v>
      </c>
      <c r="AI8" s="6">
        <v>0.40000000000000008</v>
      </c>
      <c r="AJ8" s="6">
        <v>0.40000000000000008</v>
      </c>
      <c r="AK8" s="6">
        <v>0.40000000000000008</v>
      </c>
    </row>
    <row r="9" spans="1:37" x14ac:dyDescent="0.35">
      <c r="A9" t="s">
        <v>196</v>
      </c>
      <c r="B9">
        <v>12</v>
      </c>
      <c r="E9" s="5">
        <f>E8+0.02</f>
        <v>0.39000000000000007</v>
      </c>
      <c r="F9" s="5">
        <f t="shared" ref="F9:F10" si="2">E9+0.012</f>
        <v>0.40200000000000008</v>
      </c>
      <c r="G9" s="5">
        <f t="shared" ref="G9:G10" si="3">F9+0.01</f>
        <v>0.41200000000000009</v>
      </c>
      <c r="H9" s="5">
        <f t="shared" ref="H9:H10" si="4">G9+0.01</f>
        <v>0.4220000000000001</v>
      </c>
      <c r="I9" s="5">
        <f t="shared" ref="I9:I10" si="5">H9+0.01</f>
        <v>0.43200000000000011</v>
      </c>
      <c r="J9" s="5">
        <f t="shared" ref="J9:J10" si="6">I9+0.01</f>
        <v>0.44200000000000012</v>
      </c>
      <c r="K9" s="5">
        <f t="shared" ref="K9:K10" si="7">J9+0.01</f>
        <v>0.45200000000000012</v>
      </c>
      <c r="L9" s="5">
        <f t="shared" ref="L9:L10" si="8">K9+0.01</f>
        <v>0.46200000000000013</v>
      </c>
      <c r="M9" s="5">
        <f t="shared" ref="M9:M10" si="9">L9+0.01</f>
        <v>0.47200000000000014</v>
      </c>
      <c r="N9" s="6">
        <v>0.40000000000000008</v>
      </c>
      <c r="O9" s="6">
        <v>0.40000000000000008</v>
      </c>
      <c r="P9" s="6">
        <v>0.40000000000000008</v>
      </c>
      <c r="Q9" s="6">
        <v>0.40000000000000008</v>
      </c>
      <c r="R9" s="6">
        <v>0.40000000000000008</v>
      </c>
      <c r="S9" s="6">
        <v>0.40000000000000008</v>
      </c>
      <c r="T9" s="6">
        <v>0.40000000000000008</v>
      </c>
      <c r="U9" s="6">
        <v>0.40000000000000008</v>
      </c>
      <c r="V9" s="6">
        <v>0.40000000000000008</v>
      </c>
      <c r="W9" s="6">
        <v>0.40000000000000008</v>
      </c>
      <c r="X9" s="6">
        <v>0.40000000000000008</v>
      </c>
      <c r="Y9" s="6">
        <v>0.40000000000000008</v>
      </c>
      <c r="Z9" s="6">
        <v>0.40000000000000008</v>
      </c>
      <c r="AA9" s="6">
        <v>0.40000000000000008</v>
      </c>
      <c r="AB9" s="6">
        <v>0.40000000000000008</v>
      </c>
      <c r="AC9" s="6">
        <v>0.40000000000000008</v>
      </c>
      <c r="AD9" s="6">
        <v>0.40000000000000008</v>
      </c>
      <c r="AE9" s="6">
        <v>0.40000000000000008</v>
      </c>
      <c r="AF9" s="6">
        <v>0.40000000000000008</v>
      </c>
      <c r="AG9" s="6">
        <v>0.40000000000000008</v>
      </c>
      <c r="AH9" s="6">
        <v>0.40000000000000008</v>
      </c>
      <c r="AI9" s="6">
        <v>0.40000000000000008</v>
      </c>
      <c r="AJ9" s="6">
        <v>0.40000000000000008</v>
      </c>
      <c r="AK9" s="6">
        <v>0.40000000000000008</v>
      </c>
    </row>
    <row r="10" spans="1:37" x14ac:dyDescent="0.35">
      <c r="A10" t="s">
        <v>196</v>
      </c>
      <c r="B10">
        <v>15</v>
      </c>
      <c r="E10" s="5">
        <f t="shared" ref="E10:E16" si="10">E9+0.02</f>
        <v>0.41000000000000009</v>
      </c>
      <c r="F10" s="5">
        <f t="shared" si="2"/>
        <v>0.4220000000000001</v>
      </c>
      <c r="G10" s="5">
        <f t="shared" si="3"/>
        <v>0.43200000000000011</v>
      </c>
      <c r="H10" s="5">
        <f t="shared" si="4"/>
        <v>0.44200000000000012</v>
      </c>
      <c r="I10" s="5">
        <f t="shared" si="5"/>
        <v>0.45200000000000012</v>
      </c>
      <c r="J10" s="5">
        <f t="shared" si="6"/>
        <v>0.46200000000000013</v>
      </c>
      <c r="K10" s="5">
        <f t="shared" si="7"/>
        <v>0.47200000000000014</v>
      </c>
      <c r="L10" s="5">
        <f t="shared" si="8"/>
        <v>0.48200000000000015</v>
      </c>
      <c r="M10" s="5">
        <f t="shared" si="9"/>
        <v>0.49200000000000016</v>
      </c>
      <c r="N10" s="6">
        <v>0.4</v>
      </c>
      <c r="O10" s="6">
        <v>0.4</v>
      </c>
      <c r="P10" s="6">
        <v>0.4</v>
      </c>
      <c r="Q10" s="6">
        <v>0.4</v>
      </c>
      <c r="R10" s="6">
        <v>0.4</v>
      </c>
      <c r="S10" s="6">
        <v>0.4</v>
      </c>
      <c r="T10" s="6">
        <v>0.4</v>
      </c>
      <c r="U10" s="6">
        <v>0.4</v>
      </c>
      <c r="V10" s="6">
        <v>0.4</v>
      </c>
      <c r="W10" s="6">
        <v>0.4</v>
      </c>
      <c r="X10" s="6">
        <v>0.4</v>
      </c>
      <c r="Y10" s="6">
        <v>0.4</v>
      </c>
      <c r="Z10" s="6">
        <v>0.4</v>
      </c>
      <c r="AA10" s="6">
        <v>0.4</v>
      </c>
      <c r="AB10" s="6">
        <v>0.4</v>
      </c>
      <c r="AC10" s="6">
        <v>0.4</v>
      </c>
      <c r="AD10" s="6">
        <v>0.4</v>
      </c>
      <c r="AE10" s="6">
        <v>0.4</v>
      </c>
      <c r="AF10" s="6">
        <v>0.4</v>
      </c>
      <c r="AG10" s="6">
        <v>0.4</v>
      </c>
      <c r="AH10" s="6">
        <v>0.4</v>
      </c>
      <c r="AI10" s="6">
        <v>0.4</v>
      </c>
      <c r="AJ10" s="6">
        <v>0.4</v>
      </c>
      <c r="AK10" s="6">
        <v>0.4</v>
      </c>
    </row>
    <row r="11" spans="1:37" x14ac:dyDescent="0.35">
      <c r="A11" t="s">
        <v>196</v>
      </c>
      <c r="B11">
        <v>18</v>
      </c>
      <c r="E11" s="5">
        <f t="shared" si="10"/>
        <v>0.4300000000000001</v>
      </c>
      <c r="F11" s="5">
        <f t="shared" ref="F11:F19" si="11">E11+0.012</f>
        <v>0.44200000000000012</v>
      </c>
      <c r="G11" s="5">
        <f t="shared" ref="G11:G19" si="12">F11+0.01</f>
        <v>0.45200000000000012</v>
      </c>
      <c r="H11" s="5">
        <f t="shared" ref="H11:H19" si="13">G11+0.01</f>
        <v>0.46200000000000013</v>
      </c>
      <c r="I11" s="5">
        <f t="shared" ref="I11:I19" si="14">H11+0.01</f>
        <v>0.47200000000000014</v>
      </c>
      <c r="J11" s="5">
        <f t="shared" ref="J11:J19" si="15">I11+0.01</f>
        <v>0.48200000000000015</v>
      </c>
      <c r="K11" s="5">
        <f t="shared" ref="K11:K19" si="16">J11+0.01</f>
        <v>0.49200000000000016</v>
      </c>
      <c r="L11" s="5">
        <f t="shared" ref="L11:L19" si="17">K11+0.01</f>
        <v>0.50200000000000011</v>
      </c>
      <c r="M11" s="5">
        <f t="shared" ref="M11:M19" si="18">L11+0.01</f>
        <v>0.51200000000000012</v>
      </c>
      <c r="N11" s="6">
        <v>0.4</v>
      </c>
      <c r="O11" s="6">
        <v>0.4</v>
      </c>
      <c r="P11" s="6">
        <v>0.4</v>
      </c>
      <c r="Q11" s="6">
        <v>0.4</v>
      </c>
      <c r="R11" s="6">
        <v>0.4</v>
      </c>
      <c r="S11" s="6">
        <v>0.4</v>
      </c>
      <c r="T11" s="6">
        <v>0.4</v>
      </c>
      <c r="U11" s="6">
        <v>0.4</v>
      </c>
      <c r="V11" s="6">
        <v>0.4</v>
      </c>
      <c r="W11" s="6">
        <v>0.4</v>
      </c>
      <c r="X11" s="6">
        <v>0.4</v>
      </c>
      <c r="Y11" s="6">
        <v>0.4</v>
      </c>
      <c r="Z11" s="6">
        <v>0.4</v>
      </c>
      <c r="AA11" s="6">
        <v>0.4</v>
      </c>
      <c r="AB11" s="6">
        <v>0.4</v>
      </c>
      <c r="AC11" s="6">
        <v>0.4</v>
      </c>
      <c r="AD11" s="6">
        <v>0.4</v>
      </c>
      <c r="AE11" s="6">
        <v>0.4</v>
      </c>
      <c r="AF11" s="6">
        <v>0.4</v>
      </c>
      <c r="AG11" s="6">
        <v>0.4</v>
      </c>
      <c r="AH11" s="6">
        <v>0.4</v>
      </c>
      <c r="AI11" s="6">
        <v>0.4</v>
      </c>
      <c r="AJ11" s="6">
        <v>0.4</v>
      </c>
      <c r="AK11" s="6">
        <v>0.4</v>
      </c>
    </row>
    <row r="12" spans="1:37" x14ac:dyDescent="0.35">
      <c r="A12" t="s">
        <v>196</v>
      </c>
      <c r="B12">
        <v>21</v>
      </c>
      <c r="E12" s="5">
        <f t="shared" si="10"/>
        <v>0.45000000000000012</v>
      </c>
      <c r="F12" s="5">
        <f t="shared" si="11"/>
        <v>0.46200000000000013</v>
      </c>
      <c r="G12" s="5">
        <f t="shared" si="12"/>
        <v>0.47200000000000014</v>
      </c>
      <c r="H12" s="5">
        <f t="shared" si="13"/>
        <v>0.48200000000000015</v>
      </c>
      <c r="I12" s="5">
        <f t="shared" si="14"/>
        <v>0.49200000000000016</v>
      </c>
      <c r="J12" s="5">
        <f t="shared" si="15"/>
        <v>0.50200000000000011</v>
      </c>
      <c r="K12" s="5">
        <f t="shared" si="16"/>
        <v>0.51200000000000012</v>
      </c>
      <c r="L12" s="5">
        <f t="shared" si="17"/>
        <v>0.52200000000000013</v>
      </c>
      <c r="M12" s="5">
        <f t="shared" si="18"/>
        <v>0.53200000000000014</v>
      </c>
      <c r="N12" s="6">
        <v>0.4</v>
      </c>
      <c r="O12" s="6">
        <v>0.4</v>
      </c>
      <c r="P12" s="6">
        <v>0.4</v>
      </c>
      <c r="Q12" s="6">
        <v>0.4</v>
      </c>
      <c r="R12" s="6">
        <v>0.4</v>
      </c>
      <c r="S12" s="6">
        <v>0.4</v>
      </c>
      <c r="T12" s="6">
        <v>0.4</v>
      </c>
      <c r="U12" s="6">
        <v>0.4</v>
      </c>
      <c r="V12" s="6">
        <v>0.4</v>
      </c>
      <c r="W12" s="6">
        <v>0.4</v>
      </c>
      <c r="X12" s="6">
        <v>0.4</v>
      </c>
      <c r="Y12" s="6">
        <v>0.4</v>
      </c>
      <c r="Z12" s="6">
        <v>0.4</v>
      </c>
      <c r="AA12" s="6">
        <v>0.4</v>
      </c>
      <c r="AB12" s="6">
        <v>0.4</v>
      </c>
      <c r="AC12" s="6">
        <v>0.4</v>
      </c>
      <c r="AD12" s="6">
        <v>0.4</v>
      </c>
      <c r="AE12" s="6">
        <v>0.4</v>
      </c>
      <c r="AF12" s="6">
        <v>0.4</v>
      </c>
      <c r="AG12" s="6">
        <v>0.4</v>
      </c>
      <c r="AH12" s="6">
        <v>0.4</v>
      </c>
      <c r="AI12" s="6">
        <v>0.4</v>
      </c>
      <c r="AJ12" s="6">
        <v>0.4</v>
      </c>
      <c r="AK12" s="6">
        <v>0.4</v>
      </c>
    </row>
    <row r="13" spans="1:37" x14ac:dyDescent="0.35">
      <c r="A13" t="s">
        <v>196</v>
      </c>
      <c r="B13">
        <v>24</v>
      </c>
      <c r="E13" s="5">
        <f t="shared" si="10"/>
        <v>0.47000000000000014</v>
      </c>
      <c r="F13" s="5">
        <f t="shared" si="11"/>
        <v>0.48200000000000015</v>
      </c>
      <c r="G13" s="5">
        <f t="shared" si="12"/>
        <v>0.49200000000000016</v>
      </c>
      <c r="H13" s="5">
        <f t="shared" si="13"/>
        <v>0.50200000000000011</v>
      </c>
      <c r="I13" s="5">
        <f t="shared" si="14"/>
        <v>0.51200000000000012</v>
      </c>
      <c r="J13" s="5">
        <f t="shared" si="15"/>
        <v>0.52200000000000013</v>
      </c>
      <c r="K13" s="5">
        <f t="shared" si="16"/>
        <v>0.53200000000000014</v>
      </c>
      <c r="L13" s="5">
        <f t="shared" si="17"/>
        <v>0.54200000000000015</v>
      </c>
      <c r="M13" s="5">
        <f t="shared" si="18"/>
        <v>0.55200000000000016</v>
      </c>
      <c r="N13" s="6">
        <v>0.4</v>
      </c>
      <c r="O13" s="6">
        <v>0.4</v>
      </c>
      <c r="P13" s="6">
        <v>0.4</v>
      </c>
      <c r="Q13" s="6">
        <v>0.4</v>
      </c>
      <c r="R13" s="6">
        <v>0.4</v>
      </c>
      <c r="S13" s="6">
        <v>0.4</v>
      </c>
      <c r="T13" s="6">
        <v>0.4</v>
      </c>
      <c r="U13" s="6">
        <v>0.4</v>
      </c>
      <c r="V13" s="6">
        <v>0.4</v>
      </c>
      <c r="W13" s="6">
        <v>0.4</v>
      </c>
      <c r="X13" s="6">
        <v>0.4</v>
      </c>
      <c r="Y13" s="6">
        <v>0.4</v>
      </c>
      <c r="Z13" s="6">
        <v>0.4</v>
      </c>
      <c r="AA13" s="6">
        <v>0.4</v>
      </c>
      <c r="AB13" s="6">
        <v>0.4</v>
      </c>
      <c r="AC13" s="6">
        <v>0.4</v>
      </c>
      <c r="AD13" s="6">
        <v>0.4</v>
      </c>
      <c r="AE13" s="6">
        <v>0.4</v>
      </c>
      <c r="AF13" s="6">
        <v>0.4</v>
      </c>
      <c r="AG13" s="6">
        <v>0.4</v>
      </c>
      <c r="AH13" s="6">
        <v>0.4</v>
      </c>
      <c r="AI13" s="6">
        <v>0.4</v>
      </c>
      <c r="AJ13" s="6">
        <v>0.4</v>
      </c>
      <c r="AK13" s="6">
        <v>0.4</v>
      </c>
    </row>
    <row r="14" spans="1:37" x14ac:dyDescent="0.35">
      <c r="A14" t="s">
        <v>196</v>
      </c>
      <c r="B14">
        <v>27</v>
      </c>
      <c r="E14" s="5">
        <f t="shared" si="10"/>
        <v>0.49000000000000016</v>
      </c>
      <c r="F14" s="5">
        <f t="shared" si="11"/>
        <v>0.50200000000000011</v>
      </c>
      <c r="G14" s="5">
        <f t="shared" si="12"/>
        <v>0.51200000000000012</v>
      </c>
      <c r="H14" s="5">
        <f t="shared" si="13"/>
        <v>0.52200000000000013</v>
      </c>
      <c r="I14" s="5">
        <f t="shared" si="14"/>
        <v>0.53200000000000014</v>
      </c>
      <c r="J14" s="5">
        <f t="shared" si="15"/>
        <v>0.54200000000000015</v>
      </c>
      <c r="K14" s="5">
        <f t="shared" si="16"/>
        <v>0.55200000000000016</v>
      </c>
      <c r="L14" s="5">
        <f t="shared" si="17"/>
        <v>0.56200000000000017</v>
      </c>
      <c r="M14" s="5">
        <f t="shared" si="18"/>
        <v>0.57200000000000017</v>
      </c>
      <c r="N14" s="6">
        <v>0.4</v>
      </c>
      <c r="O14" s="6">
        <v>0.4</v>
      </c>
      <c r="P14" s="6">
        <v>0.4</v>
      </c>
      <c r="Q14" s="6">
        <v>0.4</v>
      </c>
      <c r="R14" s="6">
        <v>0.4</v>
      </c>
      <c r="S14" s="6">
        <v>0.4</v>
      </c>
      <c r="T14" s="6">
        <v>0.4</v>
      </c>
      <c r="U14" s="6">
        <v>0.4</v>
      </c>
      <c r="V14" s="6">
        <v>0.4</v>
      </c>
      <c r="W14" s="6">
        <v>0.4</v>
      </c>
      <c r="X14" s="6">
        <v>0.4</v>
      </c>
      <c r="Y14" s="6">
        <v>0.4</v>
      </c>
      <c r="Z14" s="6">
        <v>0.4</v>
      </c>
      <c r="AA14" s="6">
        <v>0.4</v>
      </c>
      <c r="AB14" s="6">
        <v>0.4</v>
      </c>
      <c r="AC14" s="6">
        <v>0.4</v>
      </c>
      <c r="AD14" s="6">
        <v>0.4</v>
      </c>
      <c r="AE14" s="6">
        <v>0.4</v>
      </c>
      <c r="AF14" s="6">
        <v>0.4</v>
      </c>
      <c r="AG14" s="6">
        <v>0.4</v>
      </c>
      <c r="AH14" s="6">
        <v>0.4</v>
      </c>
      <c r="AI14" s="6">
        <v>0.4</v>
      </c>
      <c r="AJ14" s="6">
        <v>0.4</v>
      </c>
      <c r="AK14" s="6">
        <v>0.4</v>
      </c>
    </row>
    <row r="15" spans="1:37" x14ac:dyDescent="0.35">
      <c r="A15" t="s">
        <v>196</v>
      </c>
      <c r="B15">
        <v>30</v>
      </c>
      <c r="E15" s="5">
        <f t="shared" si="10"/>
        <v>0.51000000000000012</v>
      </c>
      <c r="F15" s="5">
        <f t="shared" si="11"/>
        <v>0.52200000000000013</v>
      </c>
      <c r="G15" s="5">
        <f t="shared" si="12"/>
        <v>0.53200000000000014</v>
      </c>
      <c r="H15" s="5">
        <f t="shared" si="13"/>
        <v>0.54200000000000015</v>
      </c>
      <c r="I15" s="5">
        <f t="shared" si="14"/>
        <v>0.55200000000000016</v>
      </c>
      <c r="J15" s="5">
        <f t="shared" si="15"/>
        <v>0.56200000000000017</v>
      </c>
      <c r="K15" s="5">
        <f t="shared" si="16"/>
        <v>0.57200000000000017</v>
      </c>
      <c r="L15" s="5">
        <f t="shared" si="17"/>
        <v>0.58200000000000018</v>
      </c>
      <c r="M15" s="5">
        <f t="shared" si="18"/>
        <v>0.59200000000000019</v>
      </c>
      <c r="N15" s="6">
        <v>0.4</v>
      </c>
      <c r="O15" s="6">
        <v>0.4</v>
      </c>
      <c r="P15" s="6">
        <v>0.4</v>
      </c>
      <c r="Q15" s="6">
        <v>0.4</v>
      </c>
      <c r="R15" s="6">
        <v>0.4</v>
      </c>
      <c r="S15" s="6">
        <v>0.4</v>
      </c>
      <c r="T15" s="6">
        <v>0.4</v>
      </c>
      <c r="U15" s="6">
        <v>0.4</v>
      </c>
      <c r="V15" s="6">
        <v>0.4</v>
      </c>
      <c r="W15" s="6">
        <v>0.4</v>
      </c>
      <c r="X15" s="6">
        <v>0.4</v>
      </c>
      <c r="Y15" s="6">
        <v>0.4</v>
      </c>
      <c r="Z15" s="6">
        <v>0.4</v>
      </c>
      <c r="AA15" s="6">
        <v>0.4</v>
      </c>
      <c r="AB15" s="6">
        <v>0.4</v>
      </c>
      <c r="AC15" s="6">
        <v>0.4</v>
      </c>
      <c r="AD15" s="6">
        <v>0.4</v>
      </c>
      <c r="AE15" s="6">
        <v>0.4</v>
      </c>
      <c r="AF15" s="6">
        <v>0.4</v>
      </c>
      <c r="AG15" s="6">
        <v>0.4</v>
      </c>
      <c r="AH15" s="6">
        <v>0.4</v>
      </c>
      <c r="AI15" s="6">
        <v>0.4</v>
      </c>
      <c r="AJ15" s="6">
        <v>0.4</v>
      </c>
      <c r="AK15" s="6">
        <v>0.4</v>
      </c>
    </row>
    <row r="16" spans="1:37" x14ac:dyDescent="0.35">
      <c r="A16" t="s">
        <v>196</v>
      </c>
      <c r="B16">
        <v>33</v>
      </c>
      <c r="E16" s="5">
        <f t="shared" si="10"/>
        <v>0.53000000000000014</v>
      </c>
      <c r="F16" s="5">
        <f t="shared" si="11"/>
        <v>0.54200000000000015</v>
      </c>
      <c r="G16" s="5">
        <f t="shared" si="12"/>
        <v>0.55200000000000016</v>
      </c>
      <c r="H16" s="5">
        <f t="shared" si="13"/>
        <v>0.56200000000000017</v>
      </c>
      <c r="I16" s="5">
        <f t="shared" si="14"/>
        <v>0.57200000000000017</v>
      </c>
      <c r="J16" s="5">
        <f t="shared" si="15"/>
        <v>0.58200000000000018</v>
      </c>
      <c r="K16" s="5">
        <f t="shared" si="16"/>
        <v>0.59200000000000019</v>
      </c>
      <c r="L16" s="5">
        <f t="shared" si="17"/>
        <v>0.6020000000000002</v>
      </c>
      <c r="M16" s="5">
        <f t="shared" si="18"/>
        <v>0.61200000000000021</v>
      </c>
      <c r="N16" s="6">
        <v>0.4</v>
      </c>
      <c r="O16" s="6">
        <v>0.4</v>
      </c>
      <c r="P16" s="6">
        <v>0.4</v>
      </c>
      <c r="Q16" s="6">
        <v>0.4</v>
      </c>
      <c r="R16" s="6">
        <v>0.4</v>
      </c>
      <c r="S16" s="6">
        <v>0.4</v>
      </c>
      <c r="T16" s="6">
        <v>0.4</v>
      </c>
      <c r="U16" s="6">
        <v>0.4</v>
      </c>
      <c r="V16" s="6">
        <v>0.4</v>
      </c>
      <c r="W16" s="6">
        <v>0.4</v>
      </c>
      <c r="X16" s="6">
        <v>0.4</v>
      </c>
      <c r="Y16" s="6">
        <v>0.4</v>
      </c>
      <c r="Z16" s="6">
        <v>0.4</v>
      </c>
      <c r="AA16" s="6">
        <v>0.4</v>
      </c>
      <c r="AB16" s="6">
        <v>0.4</v>
      </c>
      <c r="AC16" s="6">
        <v>0.4</v>
      </c>
      <c r="AD16" s="6">
        <v>0.4</v>
      </c>
      <c r="AE16" s="6">
        <v>0.4</v>
      </c>
      <c r="AF16" s="6">
        <v>0.4</v>
      </c>
      <c r="AG16" s="6">
        <v>0.4</v>
      </c>
      <c r="AH16" s="6">
        <v>0.4</v>
      </c>
      <c r="AI16" s="6">
        <v>0.4</v>
      </c>
      <c r="AJ16" s="6">
        <v>0.4</v>
      </c>
      <c r="AK16" s="6">
        <v>0.4</v>
      </c>
    </row>
    <row r="17" spans="1:37" x14ac:dyDescent="0.35">
      <c r="A17" t="s">
        <v>196</v>
      </c>
      <c r="B17">
        <v>36</v>
      </c>
      <c r="E17" s="5">
        <f>E16+0.02</f>
        <v>0.55000000000000016</v>
      </c>
      <c r="F17" s="5">
        <f t="shared" si="11"/>
        <v>0.56200000000000017</v>
      </c>
      <c r="G17" s="5">
        <f t="shared" si="12"/>
        <v>0.57200000000000017</v>
      </c>
      <c r="H17" s="5">
        <f t="shared" si="13"/>
        <v>0.58200000000000018</v>
      </c>
      <c r="I17" s="5">
        <f t="shared" si="14"/>
        <v>0.59200000000000019</v>
      </c>
      <c r="J17" s="5">
        <f t="shared" si="15"/>
        <v>0.6020000000000002</v>
      </c>
      <c r="K17" s="5">
        <f t="shared" si="16"/>
        <v>0.61200000000000021</v>
      </c>
      <c r="L17" s="5">
        <f t="shared" si="17"/>
        <v>0.62200000000000022</v>
      </c>
      <c r="M17" s="5">
        <f t="shared" si="18"/>
        <v>0.63200000000000023</v>
      </c>
      <c r="N17" s="6">
        <v>0.4</v>
      </c>
      <c r="O17" s="6">
        <v>0.4</v>
      </c>
      <c r="P17" s="6">
        <v>0.4</v>
      </c>
      <c r="Q17" s="6">
        <v>0.4</v>
      </c>
      <c r="R17" s="6">
        <v>0.4</v>
      </c>
      <c r="S17" s="6">
        <v>0.4</v>
      </c>
      <c r="T17" s="6">
        <v>0.4</v>
      </c>
      <c r="U17" s="6">
        <v>0.4</v>
      </c>
      <c r="V17" s="6">
        <v>0.4</v>
      </c>
      <c r="W17" s="6">
        <v>0.4</v>
      </c>
      <c r="X17" s="6">
        <v>0.4</v>
      </c>
      <c r="Y17" s="6">
        <v>0.4</v>
      </c>
      <c r="Z17" s="6">
        <v>0.4</v>
      </c>
      <c r="AA17" s="6">
        <v>0.4</v>
      </c>
      <c r="AB17" s="6">
        <v>0.4</v>
      </c>
      <c r="AC17" s="6">
        <v>0.4</v>
      </c>
      <c r="AD17" s="6">
        <v>0.4</v>
      </c>
      <c r="AE17" s="6">
        <v>0.4</v>
      </c>
      <c r="AF17" s="6">
        <v>0.4</v>
      </c>
      <c r="AG17" s="6">
        <v>0.4</v>
      </c>
      <c r="AH17" s="6">
        <v>0.4</v>
      </c>
      <c r="AI17" s="6">
        <v>0.4</v>
      </c>
      <c r="AJ17" s="6">
        <v>0.4</v>
      </c>
      <c r="AK17" s="6">
        <v>0.4</v>
      </c>
    </row>
    <row r="18" spans="1:37" x14ac:dyDescent="0.35">
      <c r="A18" t="s">
        <v>196</v>
      </c>
      <c r="B18">
        <v>39</v>
      </c>
      <c r="E18" s="5">
        <f>E17+0.02</f>
        <v>0.57000000000000017</v>
      </c>
      <c r="F18" s="5">
        <f t="shared" si="11"/>
        <v>0.58200000000000018</v>
      </c>
      <c r="G18" s="5">
        <f t="shared" si="12"/>
        <v>0.59200000000000019</v>
      </c>
      <c r="H18" s="5">
        <f t="shared" si="13"/>
        <v>0.6020000000000002</v>
      </c>
      <c r="I18" s="5">
        <f t="shared" si="14"/>
        <v>0.61200000000000021</v>
      </c>
      <c r="J18" s="5">
        <f t="shared" si="15"/>
        <v>0.62200000000000022</v>
      </c>
      <c r="K18" s="5">
        <f t="shared" si="16"/>
        <v>0.63200000000000023</v>
      </c>
      <c r="L18" s="5">
        <f t="shared" si="17"/>
        <v>0.64200000000000024</v>
      </c>
      <c r="M18" s="5">
        <f t="shared" si="18"/>
        <v>0.65200000000000025</v>
      </c>
      <c r="N18" s="6">
        <v>0.4</v>
      </c>
      <c r="O18" s="6">
        <v>0.4</v>
      </c>
      <c r="P18" s="6">
        <v>0.4</v>
      </c>
      <c r="Q18" s="6">
        <v>0.4</v>
      </c>
      <c r="R18" s="6">
        <v>0.4</v>
      </c>
      <c r="S18" s="6">
        <v>0.4</v>
      </c>
      <c r="T18" s="6">
        <v>0.4</v>
      </c>
      <c r="U18" s="6">
        <v>0.4</v>
      </c>
      <c r="V18" s="6">
        <v>0.4</v>
      </c>
      <c r="W18" s="6">
        <v>0.4</v>
      </c>
      <c r="X18" s="6">
        <v>0.4</v>
      </c>
      <c r="Y18" s="6">
        <v>0.4</v>
      </c>
      <c r="Z18" s="6">
        <v>0.4</v>
      </c>
      <c r="AA18" s="6">
        <v>0.4</v>
      </c>
      <c r="AB18" s="6">
        <v>0.4</v>
      </c>
      <c r="AC18" s="6">
        <v>0.4</v>
      </c>
      <c r="AD18" s="6">
        <v>0.4</v>
      </c>
      <c r="AE18" s="6">
        <v>0.4</v>
      </c>
      <c r="AF18" s="6">
        <v>0.4</v>
      </c>
      <c r="AG18" s="6">
        <v>0.4</v>
      </c>
      <c r="AH18" s="6">
        <v>0.4</v>
      </c>
      <c r="AI18" s="6">
        <v>0.4</v>
      </c>
      <c r="AJ18" s="6">
        <v>0.4</v>
      </c>
      <c r="AK18" s="6">
        <v>0.4</v>
      </c>
    </row>
    <row r="19" spans="1:37" x14ac:dyDescent="0.35">
      <c r="A19" t="s">
        <v>196</v>
      </c>
      <c r="B19">
        <v>42</v>
      </c>
      <c r="E19" s="5">
        <f t="shared" ref="E19" si="19">E18+0.02</f>
        <v>0.59000000000000019</v>
      </c>
      <c r="F19" s="5">
        <f t="shared" si="11"/>
        <v>0.6020000000000002</v>
      </c>
      <c r="G19" s="5">
        <f t="shared" si="12"/>
        <v>0.61200000000000021</v>
      </c>
      <c r="H19" s="5">
        <f t="shared" si="13"/>
        <v>0.62200000000000022</v>
      </c>
      <c r="I19" s="5">
        <f t="shared" si="14"/>
        <v>0.63200000000000023</v>
      </c>
      <c r="J19" s="5">
        <f t="shared" si="15"/>
        <v>0.64200000000000024</v>
      </c>
      <c r="K19" s="5">
        <f t="shared" si="16"/>
        <v>0.65200000000000025</v>
      </c>
      <c r="L19" s="5">
        <f t="shared" si="17"/>
        <v>0.66200000000000025</v>
      </c>
      <c r="M19" s="5">
        <f t="shared" si="18"/>
        <v>0.67200000000000026</v>
      </c>
      <c r="N19" s="6">
        <v>0.4</v>
      </c>
      <c r="O19" s="6">
        <v>0.4</v>
      </c>
      <c r="P19" s="6">
        <v>0.4</v>
      </c>
      <c r="Q19" s="6">
        <v>0.4</v>
      </c>
      <c r="R19" s="6">
        <v>0.4</v>
      </c>
      <c r="S19" s="6">
        <v>0.4</v>
      </c>
      <c r="T19" s="6">
        <v>0.4</v>
      </c>
      <c r="U19" s="6">
        <v>0.4</v>
      </c>
      <c r="V19" s="6">
        <v>0.4</v>
      </c>
      <c r="W19" s="6">
        <v>0.4</v>
      </c>
      <c r="X19" s="6">
        <v>0.4</v>
      </c>
      <c r="Y19" s="6">
        <v>0.4</v>
      </c>
      <c r="Z19" s="6">
        <v>0.4</v>
      </c>
      <c r="AA19" s="6">
        <v>0.4</v>
      </c>
      <c r="AB19" s="6">
        <v>0.4</v>
      </c>
      <c r="AC19" s="6">
        <v>0.4</v>
      </c>
      <c r="AD19" s="6">
        <v>0.4</v>
      </c>
      <c r="AE19" s="6">
        <v>0.4</v>
      </c>
      <c r="AF19" s="6">
        <v>0.4</v>
      </c>
      <c r="AG19" s="6">
        <v>0.4</v>
      </c>
      <c r="AH19" s="6">
        <v>0.4</v>
      </c>
      <c r="AI19" s="6">
        <v>0.4</v>
      </c>
      <c r="AJ19" s="6">
        <v>0.4</v>
      </c>
      <c r="AK19" s="6">
        <v>0.4</v>
      </c>
    </row>
    <row r="20" spans="1:37" x14ac:dyDescent="0.35">
      <c r="A20" t="s">
        <v>197</v>
      </c>
      <c r="B20">
        <v>3</v>
      </c>
      <c r="E20">
        <v>0.33</v>
      </c>
      <c r="F20">
        <v>0.34200000000000003</v>
      </c>
      <c r="G20">
        <v>0.35200000000000004</v>
      </c>
      <c r="H20">
        <v>0.36200000000000004</v>
      </c>
      <c r="I20">
        <v>0.37200000000000005</v>
      </c>
      <c r="J20">
        <v>0.38200000000000006</v>
      </c>
      <c r="K20">
        <v>0.39200000000000007</v>
      </c>
      <c r="L20">
        <v>0.40200000000000008</v>
      </c>
      <c r="M20">
        <v>0.41200000000000009</v>
      </c>
      <c r="N20">
        <v>0.36000000000000004</v>
      </c>
      <c r="O20">
        <v>0.36000000000000004</v>
      </c>
      <c r="P20">
        <v>0.36000000000000004</v>
      </c>
      <c r="Q20">
        <v>0.36000000000000004</v>
      </c>
      <c r="R20">
        <v>0.36000000000000004</v>
      </c>
      <c r="S20">
        <v>0.36000000000000004</v>
      </c>
      <c r="T20">
        <v>0.36000000000000004</v>
      </c>
      <c r="U20">
        <v>0.36000000000000004</v>
      </c>
      <c r="V20">
        <v>0.36000000000000004</v>
      </c>
      <c r="W20">
        <v>0.36000000000000004</v>
      </c>
      <c r="X20">
        <v>0.36000000000000004</v>
      </c>
      <c r="Y20">
        <v>0.36000000000000004</v>
      </c>
      <c r="Z20">
        <v>0.36000000000000004</v>
      </c>
      <c r="AA20">
        <v>0.36000000000000004</v>
      </c>
      <c r="AB20">
        <v>0.36000000000000004</v>
      </c>
      <c r="AC20">
        <v>0.36000000000000004</v>
      </c>
      <c r="AD20">
        <v>0.36000000000000004</v>
      </c>
      <c r="AE20">
        <v>0.36000000000000004</v>
      </c>
      <c r="AF20">
        <v>0.36000000000000004</v>
      </c>
      <c r="AG20">
        <v>0.36000000000000004</v>
      </c>
      <c r="AH20">
        <v>0.36000000000000004</v>
      </c>
      <c r="AI20">
        <v>0.36000000000000004</v>
      </c>
      <c r="AJ20">
        <v>0.36000000000000004</v>
      </c>
      <c r="AK20">
        <v>0.36000000000000004</v>
      </c>
    </row>
    <row r="21" spans="1:37" x14ac:dyDescent="0.35">
      <c r="A21" t="s">
        <v>197</v>
      </c>
      <c r="B21">
        <v>6</v>
      </c>
      <c r="E21">
        <v>0.35000000000000003</v>
      </c>
      <c r="F21">
        <v>0.36200000000000004</v>
      </c>
      <c r="G21">
        <v>0.37200000000000005</v>
      </c>
      <c r="H21">
        <v>0.38200000000000006</v>
      </c>
      <c r="I21">
        <v>0.39200000000000007</v>
      </c>
      <c r="J21">
        <v>0.40200000000000008</v>
      </c>
      <c r="K21">
        <v>0.41200000000000009</v>
      </c>
      <c r="L21">
        <v>0.4220000000000001</v>
      </c>
      <c r="M21">
        <v>0.43200000000000011</v>
      </c>
      <c r="N21">
        <v>0.38000000000000006</v>
      </c>
      <c r="O21">
        <v>0.38000000000000006</v>
      </c>
      <c r="P21">
        <v>0.38000000000000006</v>
      </c>
      <c r="Q21">
        <v>0.38000000000000006</v>
      </c>
      <c r="R21">
        <v>0.38000000000000006</v>
      </c>
      <c r="S21">
        <v>0.38000000000000006</v>
      </c>
      <c r="T21">
        <v>0.38000000000000006</v>
      </c>
      <c r="U21">
        <v>0.38000000000000006</v>
      </c>
      <c r="V21">
        <v>0.38000000000000006</v>
      </c>
      <c r="W21">
        <v>0.38000000000000006</v>
      </c>
      <c r="X21">
        <v>0.38000000000000006</v>
      </c>
      <c r="Y21">
        <v>0.38000000000000006</v>
      </c>
      <c r="Z21">
        <v>0.38000000000000006</v>
      </c>
      <c r="AA21">
        <v>0.38000000000000006</v>
      </c>
      <c r="AB21">
        <v>0.38000000000000006</v>
      </c>
      <c r="AC21">
        <v>0.38000000000000006</v>
      </c>
      <c r="AD21">
        <v>0.38000000000000006</v>
      </c>
      <c r="AE21">
        <v>0.38000000000000006</v>
      </c>
      <c r="AF21">
        <v>0.38000000000000006</v>
      </c>
      <c r="AG21">
        <v>0.38000000000000006</v>
      </c>
      <c r="AH21">
        <v>0.38000000000000006</v>
      </c>
      <c r="AI21">
        <v>0.38000000000000006</v>
      </c>
      <c r="AJ21">
        <v>0.38000000000000006</v>
      </c>
      <c r="AK21">
        <v>0.38000000000000006</v>
      </c>
    </row>
    <row r="22" spans="1:37" x14ac:dyDescent="0.35">
      <c r="A22" t="s">
        <v>197</v>
      </c>
      <c r="B22">
        <v>9</v>
      </c>
      <c r="E22">
        <v>0.37000000000000005</v>
      </c>
      <c r="F22">
        <v>0.38200000000000006</v>
      </c>
      <c r="G22">
        <v>0.39200000000000007</v>
      </c>
      <c r="H22">
        <v>0.40200000000000008</v>
      </c>
      <c r="I22">
        <v>0.41200000000000009</v>
      </c>
      <c r="J22">
        <v>0.4220000000000001</v>
      </c>
      <c r="K22">
        <v>0.43200000000000011</v>
      </c>
      <c r="L22">
        <v>0.44200000000000012</v>
      </c>
      <c r="M22">
        <v>0.45200000000000012</v>
      </c>
      <c r="N22">
        <v>0.40000000000000008</v>
      </c>
      <c r="O22">
        <v>0.40000000000000008</v>
      </c>
      <c r="P22">
        <v>0.40000000000000008</v>
      </c>
      <c r="Q22">
        <v>0.40000000000000008</v>
      </c>
      <c r="R22">
        <v>0.40000000000000008</v>
      </c>
      <c r="S22">
        <v>0.40000000000000008</v>
      </c>
      <c r="T22">
        <v>0.40000000000000008</v>
      </c>
      <c r="U22">
        <v>0.40000000000000008</v>
      </c>
      <c r="V22">
        <v>0.40000000000000008</v>
      </c>
      <c r="W22">
        <v>0.40000000000000008</v>
      </c>
      <c r="X22">
        <v>0.40000000000000008</v>
      </c>
      <c r="Y22">
        <v>0.40000000000000008</v>
      </c>
      <c r="Z22">
        <v>0.40000000000000008</v>
      </c>
      <c r="AA22">
        <v>0.40000000000000008</v>
      </c>
      <c r="AB22">
        <v>0.40000000000000008</v>
      </c>
      <c r="AC22">
        <v>0.40000000000000008</v>
      </c>
      <c r="AD22">
        <v>0.40000000000000008</v>
      </c>
      <c r="AE22">
        <v>0.40000000000000008</v>
      </c>
      <c r="AF22">
        <v>0.40000000000000008</v>
      </c>
      <c r="AG22">
        <v>0.40000000000000008</v>
      </c>
      <c r="AH22">
        <v>0.40000000000000008</v>
      </c>
      <c r="AI22">
        <v>0.40000000000000008</v>
      </c>
      <c r="AJ22">
        <v>0.40000000000000008</v>
      </c>
      <c r="AK22">
        <v>0.40000000000000008</v>
      </c>
    </row>
    <row r="23" spans="1:37" x14ac:dyDescent="0.35">
      <c r="A23" t="s">
        <v>197</v>
      </c>
      <c r="B23">
        <v>12</v>
      </c>
      <c r="E23">
        <v>0.39000000000000007</v>
      </c>
      <c r="F23">
        <v>0.40200000000000008</v>
      </c>
      <c r="G23">
        <v>0.41200000000000009</v>
      </c>
      <c r="H23">
        <v>0.4220000000000001</v>
      </c>
      <c r="I23">
        <v>0.43200000000000011</v>
      </c>
      <c r="J23">
        <v>0.44200000000000012</v>
      </c>
      <c r="K23">
        <v>0.45200000000000012</v>
      </c>
      <c r="L23">
        <v>0.46200000000000013</v>
      </c>
      <c r="M23">
        <v>0.47200000000000014</v>
      </c>
      <c r="N23">
        <v>0.40000000000000008</v>
      </c>
      <c r="O23">
        <v>0.40000000000000008</v>
      </c>
      <c r="P23">
        <v>0.40000000000000008</v>
      </c>
      <c r="Q23">
        <v>0.40000000000000008</v>
      </c>
      <c r="R23">
        <v>0.40000000000000008</v>
      </c>
      <c r="S23">
        <v>0.40000000000000008</v>
      </c>
      <c r="T23">
        <v>0.40000000000000008</v>
      </c>
      <c r="U23">
        <v>0.40000000000000008</v>
      </c>
      <c r="V23">
        <v>0.40000000000000008</v>
      </c>
      <c r="W23">
        <v>0.40000000000000008</v>
      </c>
      <c r="X23">
        <v>0.40000000000000008</v>
      </c>
      <c r="Y23">
        <v>0.40000000000000008</v>
      </c>
      <c r="Z23">
        <v>0.40000000000000008</v>
      </c>
      <c r="AA23">
        <v>0.40000000000000008</v>
      </c>
      <c r="AB23">
        <v>0.40000000000000008</v>
      </c>
      <c r="AC23">
        <v>0.40000000000000008</v>
      </c>
      <c r="AD23">
        <v>0.40000000000000008</v>
      </c>
      <c r="AE23">
        <v>0.40000000000000008</v>
      </c>
      <c r="AF23">
        <v>0.40000000000000008</v>
      </c>
      <c r="AG23">
        <v>0.40000000000000008</v>
      </c>
      <c r="AH23">
        <v>0.40000000000000008</v>
      </c>
      <c r="AI23">
        <v>0.40000000000000008</v>
      </c>
      <c r="AJ23">
        <v>0.40000000000000008</v>
      </c>
      <c r="AK23">
        <v>0.40000000000000008</v>
      </c>
    </row>
    <row r="24" spans="1:37" x14ac:dyDescent="0.35">
      <c r="A24" t="s">
        <v>197</v>
      </c>
      <c r="B24">
        <v>15</v>
      </c>
      <c r="E24">
        <v>0.41000000000000009</v>
      </c>
      <c r="F24">
        <v>0.4220000000000001</v>
      </c>
      <c r="G24">
        <v>0.43200000000000011</v>
      </c>
      <c r="H24">
        <v>0.44200000000000012</v>
      </c>
      <c r="I24">
        <v>0.45200000000000012</v>
      </c>
      <c r="J24">
        <v>0.46200000000000013</v>
      </c>
      <c r="K24">
        <v>0.47200000000000014</v>
      </c>
      <c r="L24">
        <v>0.48200000000000015</v>
      </c>
      <c r="M24">
        <v>0.49200000000000016</v>
      </c>
      <c r="N24">
        <v>0.4</v>
      </c>
      <c r="O24">
        <v>0.4</v>
      </c>
      <c r="P24">
        <v>0.4</v>
      </c>
      <c r="Q24">
        <v>0.4</v>
      </c>
      <c r="R24">
        <v>0.4</v>
      </c>
      <c r="S24">
        <v>0.4</v>
      </c>
      <c r="T24">
        <v>0.4</v>
      </c>
      <c r="U24">
        <v>0.4</v>
      </c>
      <c r="V24">
        <v>0.4</v>
      </c>
      <c r="W24">
        <v>0.4</v>
      </c>
      <c r="X24">
        <v>0.4</v>
      </c>
      <c r="Y24">
        <v>0.4</v>
      </c>
      <c r="Z24">
        <v>0.4</v>
      </c>
      <c r="AA24">
        <v>0.4</v>
      </c>
      <c r="AB24">
        <v>0.4</v>
      </c>
      <c r="AC24">
        <v>0.4</v>
      </c>
      <c r="AD24">
        <v>0.4</v>
      </c>
      <c r="AE24">
        <v>0.4</v>
      </c>
      <c r="AF24">
        <v>0.4</v>
      </c>
      <c r="AG24">
        <v>0.4</v>
      </c>
      <c r="AH24">
        <v>0.4</v>
      </c>
      <c r="AI24">
        <v>0.4</v>
      </c>
      <c r="AJ24">
        <v>0.4</v>
      </c>
      <c r="AK24">
        <v>0.4</v>
      </c>
    </row>
    <row r="25" spans="1:37" x14ac:dyDescent="0.35">
      <c r="A25" t="s">
        <v>197</v>
      </c>
      <c r="B25">
        <v>18</v>
      </c>
      <c r="E25">
        <v>0.4300000000000001</v>
      </c>
      <c r="F25">
        <v>0.44200000000000012</v>
      </c>
      <c r="G25">
        <v>0.45200000000000012</v>
      </c>
      <c r="H25">
        <v>0.46200000000000013</v>
      </c>
      <c r="I25">
        <v>0.47200000000000014</v>
      </c>
      <c r="J25">
        <v>0.48200000000000015</v>
      </c>
      <c r="K25">
        <v>0.49200000000000016</v>
      </c>
      <c r="L25">
        <v>0.50200000000000011</v>
      </c>
      <c r="M25">
        <v>0.51200000000000012</v>
      </c>
      <c r="N25">
        <v>0.4</v>
      </c>
      <c r="O25">
        <v>0.4</v>
      </c>
      <c r="P25">
        <v>0.4</v>
      </c>
      <c r="Q25">
        <v>0.4</v>
      </c>
      <c r="R25">
        <v>0.4</v>
      </c>
      <c r="S25">
        <v>0.4</v>
      </c>
      <c r="T25">
        <v>0.4</v>
      </c>
      <c r="U25">
        <v>0.4</v>
      </c>
      <c r="V25">
        <v>0.4</v>
      </c>
      <c r="W25">
        <v>0.4</v>
      </c>
      <c r="X25">
        <v>0.4</v>
      </c>
      <c r="Y25">
        <v>0.4</v>
      </c>
      <c r="Z25">
        <v>0.4</v>
      </c>
      <c r="AA25">
        <v>0.4</v>
      </c>
      <c r="AB25">
        <v>0.4</v>
      </c>
      <c r="AC25">
        <v>0.4</v>
      </c>
      <c r="AD25">
        <v>0.4</v>
      </c>
      <c r="AE25">
        <v>0.4</v>
      </c>
      <c r="AF25">
        <v>0.4</v>
      </c>
      <c r="AG25">
        <v>0.4</v>
      </c>
      <c r="AH25">
        <v>0.4</v>
      </c>
      <c r="AI25">
        <v>0.4</v>
      </c>
      <c r="AJ25">
        <v>0.4</v>
      </c>
      <c r="AK25">
        <v>0.4</v>
      </c>
    </row>
    <row r="26" spans="1:37" x14ac:dyDescent="0.35">
      <c r="A26" t="s">
        <v>197</v>
      </c>
      <c r="B26">
        <v>21</v>
      </c>
      <c r="E26">
        <v>0.45000000000000012</v>
      </c>
      <c r="F26">
        <v>0.46200000000000013</v>
      </c>
      <c r="G26">
        <v>0.47200000000000014</v>
      </c>
      <c r="H26">
        <v>0.48200000000000015</v>
      </c>
      <c r="I26">
        <v>0.49200000000000016</v>
      </c>
      <c r="J26">
        <v>0.50200000000000011</v>
      </c>
      <c r="K26">
        <v>0.51200000000000012</v>
      </c>
      <c r="L26">
        <v>0.52200000000000013</v>
      </c>
      <c r="M26">
        <v>0.53200000000000014</v>
      </c>
      <c r="N26">
        <v>0.4</v>
      </c>
      <c r="O26">
        <v>0.4</v>
      </c>
      <c r="P26">
        <v>0.4</v>
      </c>
      <c r="Q26">
        <v>0.4</v>
      </c>
      <c r="R26">
        <v>0.4</v>
      </c>
      <c r="S26">
        <v>0.4</v>
      </c>
      <c r="T26">
        <v>0.4</v>
      </c>
      <c r="U26">
        <v>0.4</v>
      </c>
      <c r="V26">
        <v>0.4</v>
      </c>
      <c r="W26">
        <v>0.4</v>
      </c>
      <c r="X26">
        <v>0.4</v>
      </c>
      <c r="Y26">
        <v>0.4</v>
      </c>
      <c r="Z26">
        <v>0.4</v>
      </c>
      <c r="AA26">
        <v>0.4</v>
      </c>
      <c r="AB26">
        <v>0.4</v>
      </c>
      <c r="AC26">
        <v>0.4</v>
      </c>
      <c r="AD26">
        <v>0.4</v>
      </c>
      <c r="AE26">
        <v>0.4</v>
      </c>
      <c r="AF26">
        <v>0.4</v>
      </c>
      <c r="AG26">
        <v>0.4</v>
      </c>
      <c r="AH26">
        <v>0.4</v>
      </c>
      <c r="AI26">
        <v>0.4</v>
      </c>
      <c r="AJ26">
        <v>0.4</v>
      </c>
      <c r="AK26">
        <v>0.4</v>
      </c>
    </row>
    <row r="27" spans="1:37" x14ac:dyDescent="0.35">
      <c r="A27" t="s">
        <v>197</v>
      </c>
      <c r="B27">
        <v>24</v>
      </c>
      <c r="E27">
        <v>0.47000000000000014</v>
      </c>
      <c r="F27">
        <v>0.48200000000000015</v>
      </c>
      <c r="G27">
        <v>0.49200000000000016</v>
      </c>
      <c r="H27">
        <v>0.50200000000000011</v>
      </c>
      <c r="I27">
        <v>0.51200000000000012</v>
      </c>
      <c r="J27">
        <v>0.52200000000000013</v>
      </c>
      <c r="K27">
        <v>0.53200000000000014</v>
      </c>
      <c r="L27">
        <v>0.54200000000000015</v>
      </c>
      <c r="M27">
        <v>0.55200000000000016</v>
      </c>
      <c r="N27">
        <v>0.4</v>
      </c>
      <c r="O27">
        <v>0.4</v>
      </c>
      <c r="P27">
        <v>0.4</v>
      </c>
      <c r="Q27">
        <v>0.4</v>
      </c>
      <c r="R27">
        <v>0.4</v>
      </c>
      <c r="S27">
        <v>0.4</v>
      </c>
      <c r="T27">
        <v>0.4</v>
      </c>
      <c r="U27">
        <v>0.4</v>
      </c>
      <c r="V27">
        <v>0.4</v>
      </c>
      <c r="W27">
        <v>0.4</v>
      </c>
      <c r="X27">
        <v>0.4</v>
      </c>
      <c r="Y27">
        <v>0.4</v>
      </c>
      <c r="Z27">
        <v>0.4</v>
      </c>
      <c r="AA27">
        <v>0.4</v>
      </c>
      <c r="AB27">
        <v>0.4</v>
      </c>
      <c r="AC27">
        <v>0.4</v>
      </c>
      <c r="AD27">
        <v>0.4</v>
      </c>
      <c r="AE27">
        <v>0.4</v>
      </c>
      <c r="AF27">
        <v>0.4</v>
      </c>
      <c r="AG27">
        <v>0.4</v>
      </c>
      <c r="AH27">
        <v>0.4</v>
      </c>
      <c r="AI27">
        <v>0.4</v>
      </c>
      <c r="AJ27">
        <v>0.4</v>
      </c>
      <c r="AK27">
        <v>0.4</v>
      </c>
    </row>
    <row r="28" spans="1:37" x14ac:dyDescent="0.35">
      <c r="A28" t="s">
        <v>197</v>
      </c>
      <c r="B28">
        <v>27</v>
      </c>
      <c r="E28">
        <v>0.49000000000000016</v>
      </c>
      <c r="F28">
        <v>0.50200000000000011</v>
      </c>
      <c r="G28">
        <v>0.51200000000000012</v>
      </c>
      <c r="H28">
        <v>0.52200000000000013</v>
      </c>
      <c r="I28">
        <v>0.53200000000000014</v>
      </c>
      <c r="J28">
        <v>0.54200000000000015</v>
      </c>
      <c r="K28">
        <v>0.55200000000000016</v>
      </c>
      <c r="L28">
        <v>0.56200000000000017</v>
      </c>
      <c r="M28">
        <v>0.57200000000000017</v>
      </c>
      <c r="N28">
        <v>0.4</v>
      </c>
      <c r="O28">
        <v>0.4</v>
      </c>
      <c r="P28">
        <v>0.4</v>
      </c>
      <c r="Q28">
        <v>0.4</v>
      </c>
      <c r="R28">
        <v>0.4</v>
      </c>
      <c r="S28">
        <v>0.4</v>
      </c>
      <c r="T28">
        <v>0.4</v>
      </c>
      <c r="U28">
        <v>0.4</v>
      </c>
      <c r="V28">
        <v>0.4</v>
      </c>
      <c r="W28">
        <v>0.4</v>
      </c>
      <c r="X28">
        <v>0.4</v>
      </c>
      <c r="Y28">
        <v>0.4</v>
      </c>
      <c r="Z28">
        <v>0.4</v>
      </c>
      <c r="AA28">
        <v>0.4</v>
      </c>
      <c r="AB28">
        <v>0.4</v>
      </c>
      <c r="AC28">
        <v>0.4</v>
      </c>
      <c r="AD28">
        <v>0.4</v>
      </c>
      <c r="AE28">
        <v>0.4</v>
      </c>
      <c r="AF28">
        <v>0.4</v>
      </c>
      <c r="AG28">
        <v>0.4</v>
      </c>
      <c r="AH28">
        <v>0.4</v>
      </c>
      <c r="AI28">
        <v>0.4</v>
      </c>
      <c r="AJ28">
        <v>0.4</v>
      </c>
      <c r="AK28">
        <v>0.4</v>
      </c>
    </row>
    <row r="29" spans="1:37" x14ac:dyDescent="0.35">
      <c r="A29" t="s">
        <v>197</v>
      </c>
      <c r="B29">
        <v>30</v>
      </c>
      <c r="E29">
        <v>0.51000000000000012</v>
      </c>
      <c r="F29">
        <v>0.52200000000000013</v>
      </c>
      <c r="G29">
        <v>0.53200000000000014</v>
      </c>
      <c r="H29">
        <v>0.54200000000000015</v>
      </c>
      <c r="I29">
        <v>0.55200000000000016</v>
      </c>
      <c r="J29">
        <v>0.56200000000000017</v>
      </c>
      <c r="K29">
        <v>0.57200000000000017</v>
      </c>
      <c r="L29">
        <v>0.58200000000000018</v>
      </c>
      <c r="M29">
        <v>0.59200000000000019</v>
      </c>
      <c r="N29">
        <v>0.4</v>
      </c>
      <c r="O29">
        <v>0.4</v>
      </c>
      <c r="P29">
        <v>0.4</v>
      </c>
      <c r="Q29">
        <v>0.4</v>
      </c>
      <c r="R29">
        <v>0.4</v>
      </c>
      <c r="S29">
        <v>0.4</v>
      </c>
      <c r="T29">
        <v>0.4</v>
      </c>
      <c r="U29">
        <v>0.4</v>
      </c>
      <c r="V29">
        <v>0.4</v>
      </c>
      <c r="W29">
        <v>0.4</v>
      </c>
      <c r="X29">
        <v>0.4</v>
      </c>
      <c r="Y29">
        <v>0.4</v>
      </c>
      <c r="Z29">
        <v>0.4</v>
      </c>
      <c r="AA29">
        <v>0.4</v>
      </c>
      <c r="AB29">
        <v>0.4</v>
      </c>
      <c r="AC29">
        <v>0.4</v>
      </c>
      <c r="AD29">
        <v>0.4</v>
      </c>
      <c r="AE29">
        <v>0.4</v>
      </c>
      <c r="AF29">
        <v>0.4</v>
      </c>
      <c r="AG29">
        <v>0.4</v>
      </c>
      <c r="AH29">
        <v>0.4</v>
      </c>
      <c r="AI29">
        <v>0.4</v>
      </c>
      <c r="AJ29">
        <v>0.4</v>
      </c>
      <c r="AK29">
        <v>0.4</v>
      </c>
    </row>
    <row r="30" spans="1:37" x14ac:dyDescent="0.35">
      <c r="A30" t="s">
        <v>197</v>
      </c>
      <c r="B30">
        <v>33</v>
      </c>
      <c r="E30">
        <v>0.53000000000000014</v>
      </c>
      <c r="F30">
        <v>0.54200000000000015</v>
      </c>
      <c r="G30">
        <v>0.55200000000000016</v>
      </c>
      <c r="H30">
        <v>0.56200000000000017</v>
      </c>
      <c r="I30">
        <v>0.57200000000000017</v>
      </c>
      <c r="J30">
        <v>0.58200000000000018</v>
      </c>
      <c r="K30">
        <v>0.59200000000000019</v>
      </c>
      <c r="L30">
        <v>0.6020000000000002</v>
      </c>
      <c r="M30">
        <v>0.61200000000000021</v>
      </c>
      <c r="N30">
        <v>0.4</v>
      </c>
      <c r="O30">
        <v>0.4</v>
      </c>
      <c r="P30">
        <v>0.4</v>
      </c>
      <c r="Q30">
        <v>0.4</v>
      </c>
      <c r="R30">
        <v>0.4</v>
      </c>
      <c r="S30">
        <v>0.4</v>
      </c>
      <c r="T30">
        <v>0.4</v>
      </c>
      <c r="U30">
        <v>0.4</v>
      </c>
      <c r="V30">
        <v>0.4</v>
      </c>
      <c r="W30">
        <v>0.4</v>
      </c>
      <c r="X30">
        <v>0.4</v>
      </c>
      <c r="Y30">
        <v>0.4</v>
      </c>
      <c r="Z30">
        <v>0.4</v>
      </c>
      <c r="AA30">
        <v>0.4</v>
      </c>
      <c r="AB30">
        <v>0.4</v>
      </c>
      <c r="AC30">
        <v>0.4</v>
      </c>
      <c r="AD30">
        <v>0.4</v>
      </c>
      <c r="AE30">
        <v>0.4</v>
      </c>
      <c r="AF30">
        <v>0.4</v>
      </c>
      <c r="AG30">
        <v>0.4</v>
      </c>
      <c r="AH30">
        <v>0.4</v>
      </c>
      <c r="AI30">
        <v>0.4</v>
      </c>
      <c r="AJ30">
        <v>0.4</v>
      </c>
      <c r="AK30">
        <v>0.4</v>
      </c>
    </row>
    <row r="31" spans="1:37" x14ac:dyDescent="0.35">
      <c r="A31" t="s">
        <v>197</v>
      </c>
      <c r="B31">
        <v>36</v>
      </c>
      <c r="E31">
        <v>0.55000000000000016</v>
      </c>
      <c r="F31">
        <v>0.56200000000000017</v>
      </c>
      <c r="G31">
        <v>0.57200000000000017</v>
      </c>
      <c r="H31">
        <v>0.58200000000000018</v>
      </c>
      <c r="I31">
        <v>0.59200000000000019</v>
      </c>
      <c r="J31">
        <v>0.6020000000000002</v>
      </c>
      <c r="K31">
        <v>0.61200000000000021</v>
      </c>
      <c r="L31">
        <v>0.62200000000000022</v>
      </c>
      <c r="M31">
        <v>0.63200000000000023</v>
      </c>
      <c r="N31">
        <v>0.4</v>
      </c>
      <c r="O31">
        <v>0.4</v>
      </c>
      <c r="P31">
        <v>0.4</v>
      </c>
      <c r="Q31">
        <v>0.4</v>
      </c>
      <c r="R31">
        <v>0.4</v>
      </c>
      <c r="S31">
        <v>0.4</v>
      </c>
      <c r="T31">
        <v>0.4</v>
      </c>
      <c r="U31">
        <v>0.4</v>
      </c>
      <c r="V31">
        <v>0.4</v>
      </c>
      <c r="W31">
        <v>0.4</v>
      </c>
      <c r="X31">
        <v>0.4</v>
      </c>
      <c r="Y31">
        <v>0.4</v>
      </c>
      <c r="Z31">
        <v>0.4</v>
      </c>
      <c r="AA31">
        <v>0.4</v>
      </c>
      <c r="AB31">
        <v>0.4</v>
      </c>
      <c r="AC31">
        <v>0.4</v>
      </c>
      <c r="AD31">
        <v>0.4</v>
      </c>
      <c r="AE31">
        <v>0.4</v>
      </c>
      <c r="AF31">
        <v>0.4</v>
      </c>
      <c r="AG31">
        <v>0.4</v>
      </c>
      <c r="AH31">
        <v>0.4</v>
      </c>
      <c r="AI31">
        <v>0.4</v>
      </c>
      <c r="AJ31">
        <v>0.4</v>
      </c>
      <c r="AK31">
        <v>0.4</v>
      </c>
    </row>
    <row r="32" spans="1:37" x14ac:dyDescent="0.35">
      <c r="A32" t="s">
        <v>197</v>
      </c>
      <c r="B32">
        <v>39</v>
      </c>
      <c r="E32">
        <v>0.57000000000000017</v>
      </c>
      <c r="F32">
        <v>0.58200000000000018</v>
      </c>
      <c r="G32">
        <v>0.59200000000000019</v>
      </c>
      <c r="H32">
        <v>0.6020000000000002</v>
      </c>
      <c r="I32">
        <v>0.61200000000000021</v>
      </c>
      <c r="J32">
        <v>0.62200000000000022</v>
      </c>
      <c r="K32">
        <v>0.63200000000000023</v>
      </c>
      <c r="L32">
        <v>0.64200000000000024</v>
      </c>
      <c r="M32">
        <v>0.65200000000000025</v>
      </c>
      <c r="N32">
        <v>0.4</v>
      </c>
      <c r="O32">
        <v>0.4</v>
      </c>
      <c r="P32">
        <v>0.4</v>
      </c>
      <c r="Q32">
        <v>0.4</v>
      </c>
      <c r="R32">
        <v>0.4</v>
      </c>
      <c r="S32">
        <v>0.4</v>
      </c>
      <c r="T32">
        <v>0.4</v>
      </c>
      <c r="U32">
        <v>0.4</v>
      </c>
      <c r="V32">
        <v>0.4</v>
      </c>
      <c r="W32">
        <v>0.4</v>
      </c>
      <c r="X32">
        <v>0.4</v>
      </c>
      <c r="Y32">
        <v>0.4</v>
      </c>
      <c r="Z32">
        <v>0.4</v>
      </c>
      <c r="AA32">
        <v>0.4</v>
      </c>
      <c r="AB32">
        <v>0.4</v>
      </c>
      <c r="AC32">
        <v>0.4</v>
      </c>
      <c r="AD32">
        <v>0.4</v>
      </c>
      <c r="AE32">
        <v>0.4</v>
      </c>
      <c r="AF32">
        <v>0.4</v>
      </c>
      <c r="AG32">
        <v>0.4</v>
      </c>
      <c r="AH32">
        <v>0.4</v>
      </c>
      <c r="AI32">
        <v>0.4</v>
      </c>
      <c r="AJ32">
        <v>0.4</v>
      </c>
      <c r="AK32">
        <v>0.4</v>
      </c>
    </row>
    <row r="33" spans="1:37" x14ac:dyDescent="0.35">
      <c r="A33" t="s">
        <v>197</v>
      </c>
      <c r="B33">
        <v>42</v>
      </c>
      <c r="E33">
        <v>0.59000000000000019</v>
      </c>
      <c r="F33">
        <v>0.6020000000000002</v>
      </c>
      <c r="G33">
        <v>0.61200000000000021</v>
      </c>
      <c r="H33">
        <v>0.62200000000000022</v>
      </c>
      <c r="I33">
        <v>0.63200000000000023</v>
      </c>
      <c r="J33">
        <v>0.64200000000000024</v>
      </c>
      <c r="K33">
        <v>0.65200000000000025</v>
      </c>
      <c r="L33">
        <v>0.66200000000000025</v>
      </c>
      <c r="M33">
        <v>0.67200000000000026</v>
      </c>
      <c r="N33">
        <v>0.4</v>
      </c>
      <c r="O33">
        <v>0.4</v>
      </c>
      <c r="P33">
        <v>0.4</v>
      </c>
      <c r="Q33">
        <v>0.4</v>
      </c>
      <c r="R33">
        <v>0.4</v>
      </c>
      <c r="S33">
        <v>0.4</v>
      </c>
      <c r="T33">
        <v>0.4</v>
      </c>
      <c r="U33">
        <v>0.4</v>
      </c>
      <c r="V33">
        <v>0.4</v>
      </c>
      <c r="W33">
        <v>0.4</v>
      </c>
      <c r="X33">
        <v>0.4</v>
      </c>
      <c r="Y33">
        <v>0.4</v>
      </c>
      <c r="Z33">
        <v>0.4</v>
      </c>
      <c r="AA33">
        <v>0.4</v>
      </c>
      <c r="AB33">
        <v>0.4</v>
      </c>
      <c r="AC33">
        <v>0.4</v>
      </c>
      <c r="AD33">
        <v>0.4</v>
      </c>
      <c r="AE33">
        <v>0.4</v>
      </c>
      <c r="AF33">
        <v>0.4</v>
      </c>
      <c r="AG33">
        <v>0.4</v>
      </c>
      <c r="AH33">
        <v>0.4</v>
      </c>
      <c r="AI33">
        <v>0.4</v>
      </c>
      <c r="AJ33">
        <v>0.4</v>
      </c>
      <c r="AK33">
        <v>0.4</v>
      </c>
    </row>
    <row r="34" spans="1:37" x14ac:dyDescent="0.35">
      <c r="A34" t="s">
        <v>198</v>
      </c>
      <c r="D34">
        <v>0.42</v>
      </c>
    </row>
  </sheetData>
  <dataValidations disablePrompts="1" count="1">
    <dataValidation type="list" allowBlank="1" showInputMessage="1" showErrorMessage="1" sqref="C7:C8 C10:C11" xr:uid="{BEFC2F1A-A500-413B-9730-11F33E074B3F}">
      <formula1>"CENTRAL,STRESS,OPTIMISTE"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G13" sqref="G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sheetPr>
    <tabColor theme="4"/>
  </sheetPr>
  <dimension ref="A5:AJ11"/>
  <sheetViews>
    <sheetView zoomScale="90" workbookViewId="0">
      <selection activeCell="I18" sqref="I18"/>
    </sheetView>
  </sheetViews>
  <sheetFormatPr baseColWidth="10" defaultRowHeight="14.5" x14ac:dyDescent="0.35"/>
  <cols>
    <col min="1" max="1" width="18" bestFit="1" customWidth="1"/>
    <col min="3" max="3" width="18.0898437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118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C6" s="5"/>
    </row>
    <row r="7" spans="1:36" x14ac:dyDescent="0.35">
      <c r="C7" s="5"/>
    </row>
    <row r="8" spans="1:36" x14ac:dyDescent="0.35">
      <c r="C8" s="5"/>
    </row>
    <row r="9" spans="1:36" x14ac:dyDescent="0.35">
      <c r="D9" s="5"/>
      <c r="E9" s="5"/>
      <c r="F9" s="5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5">
      <c r="D10" s="5"/>
      <c r="E10" s="5"/>
      <c r="F10" s="5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1:36" x14ac:dyDescent="0.35">
      <c r="D11" s="5"/>
      <c r="E11" s="5"/>
      <c r="F11" s="5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</row>
  </sheetData>
  <dataValidations count="1">
    <dataValidation type="list" allowBlank="1" showInputMessage="1" showErrorMessage="1" sqref="B7:B8 B10:B11" xr:uid="{004D243F-8B2B-4B8E-B450-DEFF82CA03C9}">
      <formula1>"CENTRAL,STRESS,OPTIMISTE"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F0-Segmentation rules</vt:lpstr>
      <vt:lpstr>F1-Mapping fields Non Retail</vt:lpstr>
      <vt:lpstr>F1-Mapping fields Retail S1S2</vt:lpstr>
      <vt:lpstr>F1-Mapping fields Retail S3</vt:lpstr>
      <vt:lpstr>F2-Mapping time steps</vt:lpstr>
      <vt:lpstr>F3-Mapping Segment SICR</vt:lpstr>
      <vt:lpstr>F4-Histo PD Multi Non Retail</vt:lpstr>
      <vt:lpstr>Histo PD Multi Retail</vt:lpstr>
      <vt:lpstr>Perimeters Segmentation</vt:lpstr>
      <vt:lpstr>F6-PD S1S2 Non Retail</vt:lpstr>
      <vt:lpstr>PD S1S2 Retail</vt:lpstr>
      <vt:lpstr>F8-LGD S1S2 Non Retail</vt:lpstr>
      <vt:lpstr>LGD S1S2 Retail</vt:lpstr>
      <vt:lpstr>LGD S3 Retail</vt:lpstr>
      <vt:lpstr>CCF Retail</vt:lpstr>
      <vt:lpstr>F12-CCF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2025-10-23T07:34:03Z</dcterms:modified>
</cp:coreProperties>
</file>