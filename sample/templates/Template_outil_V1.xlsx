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427" documentId="8_{AFB8AE1F-C1C1-4A4D-92C3-D5E9A3F69F11}" xr6:coauthVersionLast="47" xr6:coauthVersionMax="47" xr10:uidLastSave="{62A324C6-814C-4826-BB3E-6AC74C702E7F}"/>
  <bookViews>
    <workbookView xWindow="-110" yWindow="-110" windowWidth="19420" windowHeight="10420" tabRatio="831" firstSheet="7" activeTab="11" xr2:uid="{5ADE5E38-8C15-4A1D-BC21-AF3E8C7499E2}"/>
  </bookViews>
  <sheets>
    <sheet name="F0-Scenarios Weight" sheetId="14" r:id="rId1"/>
    <sheet name="F1-Mapping fields Non Retail" sheetId="1" r:id="rId2"/>
    <sheet name="F1-Mapping fields Retail S1S2" sheetId="15" r:id="rId3"/>
    <sheet name="F1-Mapping fields Retail S3" sheetId="16" r:id="rId4"/>
    <sheet name="F2-Mapping time steps" sheetId="2" r:id="rId5"/>
    <sheet name="F3-Mapping Segment SICR" sheetId="3" r:id="rId6"/>
    <sheet name="F4-Histo PD Multi Non Retail" sheetId="4" r:id="rId7"/>
    <sheet name="Histo PD Multi Retail" sheetId="5" r:id="rId8"/>
    <sheet name="Perimeters Segmentation" sheetId="6" r:id="rId9"/>
    <sheet name="F6-PD S1S2 Non Retail" sheetId="7" r:id="rId10"/>
    <sheet name="PD S1S2 Retail" sheetId="8" r:id="rId11"/>
    <sheet name="F8-LGD S1S2 Non Retail" sheetId="9" r:id="rId12"/>
    <sheet name="LGD S1S2 Retail" sheetId="10" r:id="rId13"/>
    <sheet name="LGD S3 Retail" sheetId="11" r:id="rId14"/>
    <sheet name="CCF Retail" sheetId="12" r:id="rId15"/>
    <sheet name="F12-CCF Non Retail" sheetId="1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E10" i="9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AA3" i="4" l="1"/>
  <c r="D25" i="7"/>
  <c r="D63" i="7"/>
  <c r="E6" i="7"/>
  <c r="AH3" i="7"/>
  <c r="AI3" i="7" s="1"/>
  <c r="AJ3" i="7" s="1"/>
  <c r="D7" i="7"/>
  <c r="AB3" i="4" l="1"/>
  <c r="E25" i="7"/>
  <c r="E63" i="7"/>
  <c r="D44" i="7"/>
  <c r="D101" i="7" s="1"/>
  <c r="D82" i="7"/>
  <c r="D26" i="7"/>
  <c r="D64" i="7"/>
  <c r="D8" i="7"/>
  <c r="F6" i="7"/>
  <c r="E7" i="7"/>
  <c r="AC3" i="4" l="1"/>
  <c r="E82" i="7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AD3" i="4" l="1"/>
  <c r="F82" i="7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AE3" i="4" l="1"/>
  <c r="F83" i="7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AF3" i="4" l="1"/>
  <c r="F84" i="7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AG3" i="4" l="1"/>
  <c r="F85" i="7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AH3" i="4" l="1"/>
  <c r="F86" i="7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AI3" i="4" l="1"/>
  <c r="F87" i="7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AJ3" i="4" l="1"/>
  <c r="F88" i="7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AK3" i="4" l="1"/>
  <c r="F89" i="7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AL3" i="4" l="1"/>
  <c r="F90" i="7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<sst xmlns="http://schemas.openxmlformats.org/spreadsheetml/2006/main" count="865" uniqueCount="208">
  <si>
    <t>Obligor_RCT</t>
  </si>
  <si>
    <t>Rating_origination_obligor_FC</t>
  </si>
  <si>
    <t>Rating_origination_obligor_LC</t>
  </si>
  <si>
    <t>Rating_obligor_FC</t>
  </si>
  <si>
    <t>Rating_obligor_LC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</si>
  <si>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</si>
  <si>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</si>
  <si>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</si>
  <si>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</si>
  <si>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</si>
  <si>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</si>
  <si>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</si>
  <si>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</si>
  <si>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</si>
  <si>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</si>
  <si>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</si>
  <si>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</si>
  <si>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</si>
  <si>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</si>
  <si>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</si>
  <si>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</si>
  <si>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</si>
  <si>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</si>
  <si>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</si>
  <si>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</si>
  <si>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</si>
  <si>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</si>
  <si>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</si>
  <si>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</si>
  <si>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</si>
  <si>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</si>
  <si>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</si>
  <si>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</si>
  <si>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</si>
  <si>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</si>
  <si>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</si>
  <si>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</si>
  <si>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</si>
  <si>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</si>
  <si>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</si>
  <si>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</si>
  <si>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</si>
  <si>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</si>
  <si>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</si>
  <si>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</si>
  <si>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</si>
  <si>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</si>
  <si>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</si>
  <si>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</si>
  <si>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</si>
  <si>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</si>
  <si>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</si>
  <si>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</si>
  <si>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</si>
  <si>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</si>
  <si>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</si>
  <si>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</si>
  <si>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</si>
  <si>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</si>
  <si>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</si>
  <si>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</si>
  <si>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</si>
  <si>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</si>
  <si>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</si>
  <si>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</si>
  <si>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</si>
  <si>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</si>
  <si>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</si>
  <si>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</si>
  <si>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</si>
  <si>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</si>
  <si>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</si>
  <si>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</si>
  <si>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</si>
  <si>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</si>
  <si>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</si>
  <si>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</si>
  <si>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</si>
  <si>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</si>
  <si>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</si>
  <si>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</si>
  <si>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</si>
  <si>
    <t>OBLIGOR_RCT</t>
  </si>
  <si>
    <t>RATING_ORIGINATION_OBLIGOR_FOREIGN_CURRENCY</t>
  </si>
  <si>
    <t>RATING_ORIGINATION_OBLIGOR_LOCAL_CURRENCY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</si>
  <si>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</si>
  <si>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</si>
  <si>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</si>
  <si>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</si>
  <si>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</si>
  <si>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</si>
  <si>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</si>
  <si>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IFRS9_BUCKET</t>
  </si>
  <si>
    <t>IFRS9_BUCKET_REASON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</si>
  <si>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</si>
  <si>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</si>
  <si>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</si>
  <si>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</si>
  <si>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</si>
  <si>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</si>
  <si>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</si>
  <si>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</si>
  <si>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</si>
  <si>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</si>
  <si>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</si>
  <si>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</si>
  <si>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</si>
  <si>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Description, how to</t>
  </si>
  <si>
    <t>Column name</t>
  </si>
  <si>
    <t>Example</t>
  </si>
  <si>
    <t>A1B</t>
  </si>
  <si>
    <t>A1A, A1B</t>
  </si>
  <si>
    <t>A2B</t>
  </si>
  <si>
    <t>A2A, A2B</t>
  </si>
  <si>
    <t>A3A, A3B</t>
  </si>
  <si>
    <t>A5A, A4B</t>
  </si>
  <si>
    <t>A5B</t>
  </si>
  <si>
    <t>A4A, A5B</t>
  </si>
  <si>
    <t>A6B</t>
  </si>
  <si>
    <t>A6A, A6B</t>
  </si>
  <si>
    <t>A7B</t>
  </si>
  <si>
    <t>A6A, A7B</t>
  </si>
  <si>
    <t>START_DATE_VALIDITY</t>
  </si>
  <si>
    <t>END_DATE_VALIDITY</t>
  </si>
  <si>
    <t>A3A</t>
  </si>
  <si>
    <t>Multi</t>
  </si>
  <si>
    <t>A5A</t>
  </si>
  <si>
    <t>A4A</t>
  </si>
  <si>
    <t>A6A</t>
  </si>
  <si>
    <t>Calculation_Rating</t>
  </si>
  <si>
    <t>CCF_WITHOUT_TIME</t>
  </si>
  <si>
    <t>NB_MONTHS</t>
  </si>
  <si>
    <t>STEP</t>
  </si>
  <si>
    <t>CALCULATOR_COLUMN_NAME</t>
  </si>
  <si>
    <t>SIMULATION_DATA_COLUMN_NAME</t>
  </si>
  <si>
    <t>MEANING</t>
  </si>
  <si>
    <t>FORMAT</t>
  </si>
  <si>
    <t>SEGMENT_REPORTING</t>
  </si>
  <si>
    <t>SEGMENT_ORIGINATION</t>
  </si>
  <si>
    <t>RATING_CALCULATION</t>
  </si>
  <si>
    <t>IFRS9_PD_MODEL_CODE</t>
  </si>
  <si>
    <t>PD_1</t>
  </si>
  <si>
    <t>PD_2</t>
  </si>
  <si>
    <t>PD_3</t>
  </si>
  <si>
    <t>PD_4</t>
  </si>
  <si>
    <t>PD_5</t>
  </si>
  <si>
    <t>PD_6</t>
  </si>
  <si>
    <t>PD_7</t>
  </si>
  <si>
    <t>PD_8</t>
  </si>
  <si>
    <t>PD_9</t>
  </si>
  <si>
    <t>PD_10</t>
  </si>
  <si>
    <t>PD_11</t>
  </si>
  <si>
    <t>PD_12</t>
  </si>
  <si>
    <t>PD_13</t>
  </si>
  <si>
    <t>PD_14</t>
  </si>
  <si>
    <t>PD_15</t>
  </si>
  <si>
    <t>PD_16</t>
  </si>
  <si>
    <t>PD_17</t>
  </si>
  <si>
    <t>PD_18</t>
  </si>
  <si>
    <t>PD_19</t>
  </si>
  <si>
    <t>PD_20</t>
  </si>
  <si>
    <t>PD_21</t>
  </si>
  <si>
    <t>PD_22</t>
  </si>
  <si>
    <t>PD_23</t>
  </si>
  <si>
    <t>PD_24</t>
  </si>
  <si>
    <t>PD_25</t>
  </si>
  <si>
    <t>PD_26</t>
  </si>
  <si>
    <t>PD_27</t>
  </si>
  <si>
    <t>PD_28</t>
  </si>
  <si>
    <t>PD_29</t>
  </si>
  <si>
    <t>PD_30</t>
  </si>
  <si>
    <t>PD_31</t>
  </si>
  <si>
    <t>PD_32</t>
  </si>
  <si>
    <t>PD_33</t>
  </si>
  <si>
    <t>LGD_1</t>
  </si>
  <si>
    <t>LGD_2</t>
  </si>
  <si>
    <t>LGD_3</t>
  </si>
  <si>
    <t>LGD_4</t>
  </si>
  <si>
    <t>LGD_5</t>
  </si>
  <si>
    <t>LGD_6</t>
  </si>
  <si>
    <t>LGD_7</t>
  </si>
  <si>
    <t>LGD_8</t>
  </si>
  <si>
    <t>LGD_9</t>
  </si>
  <si>
    <t>LGD_10</t>
  </si>
  <si>
    <t>LGD_11</t>
  </si>
  <si>
    <t>LGD_12</t>
  </si>
  <si>
    <t>LGD_13</t>
  </si>
  <si>
    <t>LGD_14</t>
  </si>
  <si>
    <t>LGD_15</t>
  </si>
  <si>
    <t>LGD_16</t>
  </si>
  <si>
    <t>LGD_17</t>
  </si>
  <si>
    <t>LGD_18</t>
  </si>
  <si>
    <t>LGD_19</t>
  </si>
  <si>
    <t>LGD_20</t>
  </si>
  <si>
    <t>LGD_21</t>
  </si>
  <si>
    <t>LGD_22</t>
  </si>
  <si>
    <t>LGD_23</t>
  </si>
  <si>
    <t>LGD_24</t>
  </si>
  <si>
    <t>LGD_25</t>
  </si>
  <si>
    <t>LGD_26</t>
  </si>
  <si>
    <t>LGD_27</t>
  </si>
  <si>
    <t>LGD_28</t>
  </si>
  <si>
    <t>LGD_29</t>
  </si>
  <si>
    <t>LGD_30</t>
  </si>
  <si>
    <t>LGD_31</t>
  </si>
  <si>
    <t>LGD_32</t>
  </si>
  <si>
    <t>LGD_33</t>
  </si>
  <si>
    <t>IFRS9_LGD_MODEL_CODE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</si>
</sst>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285D-6D44-4E02-BCE2-F5370F6241A5}">
  <dimension ref="A1"/>
  <sheetViews>
    <sheetView workbookViewId="0">
      <selection activeCell="L15" sqref="L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sheetPr>
    <tabColor theme="4"/>
  </sheetPr>
  <dimension ref="A1:D30"/>
  <sheetViews>
    <sheetView topLeftCell="A5" zoomScale="85" zoomScaleNormal="85" workbookViewId="0">
      <selection activeCell="F10" sqref="F10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139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/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9076-857F-40CF-B87B-B4284B7D0024}">
  <sheetPr>
    <tabColor theme="4"/>
  </sheetPr>
  <dimension ref="A1:D30"/>
  <sheetViews>
    <sheetView zoomScale="85" zoomScaleNormal="85" workbookViewId="0">
      <selection activeCell="E16" sqref="E16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 t="s">
        <v>22</v>
      </c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686DF-1A67-4137-83F8-AC49BF7AB317}">
  <sheetPr>
    <tabColor theme="4"/>
  </sheetPr>
  <dimension ref="A1:D30"/>
  <sheetViews>
    <sheetView topLeftCell="A13" zoomScale="85" zoomScaleNormal="85" workbookViewId="0">
      <selection activeCell="D30" sqref="D30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sheetPr>
    <tabColor theme="4"/>
  </sheetPr>
  <dimension ref="A1:B37"/>
  <sheetViews>
    <sheetView zoomScale="85" zoomScaleNormal="85" workbookViewId="0">
      <selection activeCell="I19" sqref="I19"/>
    </sheetView>
  </sheetViews>
  <sheetFormatPr baseColWidth="10" defaultRowHeight="14.5" x14ac:dyDescent="0.35"/>
  <cols>
    <col min="1" max="1" width="16.453125" bestFit="1" customWidth="1"/>
    <col min="2" max="2" width="17.72656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132</v>
      </c>
      <c r="B4" s="2" t="s">
        <v>131</v>
      </c>
    </row>
    <row r="5" spans="1:2" x14ac:dyDescent="0.35">
      <c r="A5">
        <v>1</v>
      </c>
      <c r="B5">
        <v>3</v>
      </c>
    </row>
    <row r="6" spans="1:2" x14ac:dyDescent="0.35">
      <c r="A6">
        <v>2</v>
      </c>
      <c r="B6">
        <v>6</v>
      </c>
    </row>
    <row r="7" spans="1:2" x14ac:dyDescent="0.35">
      <c r="A7">
        <v>3</v>
      </c>
      <c r="B7">
        <v>9</v>
      </c>
    </row>
    <row r="8" spans="1:2" x14ac:dyDescent="0.35">
      <c r="A8">
        <v>4</v>
      </c>
      <c r="B8">
        <v>12</v>
      </c>
    </row>
    <row r="9" spans="1:2" x14ac:dyDescent="0.35">
      <c r="A9">
        <v>5</v>
      </c>
      <c r="B9">
        <v>15</v>
      </c>
    </row>
    <row r="10" spans="1:2" x14ac:dyDescent="0.35">
      <c r="A10">
        <v>6</v>
      </c>
      <c r="B10">
        <v>18</v>
      </c>
    </row>
    <row r="11" spans="1:2" x14ac:dyDescent="0.35">
      <c r="A11">
        <v>7</v>
      </c>
      <c r="B11">
        <v>21</v>
      </c>
    </row>
    <row r="12" spans="1:2" x14ac:dyDescent="0.35">
      <c r="A12">
        <v>8</v>
      </c>
      <c r="B12">
        <v>24</v>
      </c>
    </row>
    <row r="13" spans="1:2" x14ac:dyDescent="0.35">
      <c r="A13">
        <v>9</v>
      </c>
      <c r="B13">
        <v>27</v>
      </c>
    </row>
    <row r="14" spans="1:2" x14ac:dyDescent="0.35">
      <c r="A14">
        <v>10</v>
      </c>
      <c r="B14">
        <v>30</v>
      </c>
    </row>
    <row r="15" spans="1:2" x14ac:dyDescent="0.35">
      <c r="A15">
        <v>11</v>
      </c>
      <c r="B15">
        <v>33</v>
      </c>
    </row>
    <row r="16" spans="1:2" x14ac:dyDescent="0.35">
      <c r="A16">
        <v>12</v>
      </c>
      <c r="B16">
        <v>36</v>
      </c>
    </row>
    <row r="17" spans="1:2" x14ac:dyDescent="0.35">
      <c r="A17">
        <v>13</v>
      </c>
      <c r="B17">
        <v>39</v>
      </c>
    </row>
    <row r="18" spans="1:2" x14ac:dyDescent="0.35">
      <c r="A18">
        <v>14</v>
      </c>
      <c r="B18">
        <v>42</v>
      </c>
    </row>
    <row r="19" spans="1:2" x14ac:dyDescent="0.35">
      <c r="A19">
        <v>15</v>
      </c>
      <c r="B19">
        <v>45</v>
      </c>
    </row>
    <row r="20" spans="1:2" x14ac:dyDescent="0.35">
      <c r="A20">
        <v>16</v>
      </c>
      <c r="B20">
        <v>48</v>
      </c>
    </row>
    <row r="21" spans="1:2" x14ac:dyDescent="0.35">
      <c r="A21">
        <v>17</v>
      </c>
      <c r="B21">
        <v>51</v>
      </c>
    </row>
    <row r="22" spans="1:2" x14ac:dyDescent="0.35">
      <c r="A22">
        <v>18</v>
      </c>
      <c r="B22">
        <v>54</v>
      </c>
    </row>
    <row r="23" spans="1:2" x14ac:dyDescent="0.35">
      <c r="A23">
        <v>19</v>
      </c>
      <c r="B23">
        <v>57</v>
      </c>
    </row>
    <row r="24" spans="1:2" x14ac:dyDescent="0.35">
      <c r="A24">
        <v>20</v>
      </c>
      <c r="B24">
        <v>60</v>
      </c>
    </row>
    <row r="25" spans="1:2" x14ac:dyDescent="0.35">
      <c r="A25">
        <v>21</v>
      </c>
      <c r="B25">
        <v>72</v>
      </c>
    </row>
    <row r="26" spans="1:2" x14ac:dyDescent="0.35">
      <c r="A26">
        <v>22</v>
      </c>
      <c r="B26">
        <v>84</v>
      </c>
    </row>
    <row r="27" spans="1:2" x14ac:dyDescent="0.35">
      <c r="A27">
        <v>23</v>
      </c>
      <c r="B27">
        <v>96</v>
      </c>
    </row>
    <row r="28" spans="1:2" x14ac:dyDescent="0.35">
      <c r="A28">
        <v>24</v>
      </c>
      <c r="B28">
        <v>108</v>
      </c>
    </row>
    <row r="29" spans="1:2" x14ac:dyDescent="0.35">
      <c r="A29">
        <v>25</v>
      </c>
      <c r="B29">
        <v>120</v>
      </c>
    </row>
    <row r="30" spans="1:2" x14ac:dyDescent="0.35">
      <c r="A30">
        <v>26</v>
      </c>
      <c r="B30">
        <v>132</v>
      </c>
    </row>
    <row r="31" spans="1:2" x14ac:dyDescent="0.35">
      <c r="A31">
        <v>27</v>
      </c>
      <c r="B31">
        <v>144</v>
      </c>
    </row>
    <row r="32" spans="1:2" x14ac:dyDescent="0.35">
      <c r="A32">
        <v>28</v>
      </c>
      <c r="B32">
        <v>156</v>
      </c>
    </row>
    <row r="33" spans="1:2" x14ac:dyDescent="0.35">
      <c r="A33">
        <v>29</v>
      </c>
      <c r="B33">
        <v>168</v>
      </c>
    </row>
    <row r="34" spans="1:2" x14ac:dyDescent="0.35">
      <c r="A34">
        <v>30</v>
      </c>
      <c r="B34">
        <v>180</v>
      </c>
    </row>
    <row r="35" spans="1:2" x14ac:dyDescent="0.35">
      <c r="A35">
        <v>31</v>
      </c>
      <c r="B35">
        <v>240</v>
      </c>
    </row>
    <row r="36" spans="1:2" x14ac:dyDescent="0.35">
      <c r="A36">
        <v>32</v>
      </c>
      <c r="B36">
        <v>300</v>
      </c>
    </row>
    <row r="37" spans="1:2" x14ac:dyDescent="0.35">
      <c r="A37">
        <v>33</v>
      </c>
      <c r="B37">
        <v>360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sheetPr>
    <tabColor theme="4"/>
  </sheetPr>
  <dimension ref="A1:B11"/>
  <sheetViews>
    <sheetView zoomScale="83" workbookViewId="0">
      <selection activeCell="I14" sqref="I14"/>
    </sheetView>
  </sheetViews>
  <sheetFormatPr baseColWidth="10" defaultRowHeight="14.5" x14ac:dyDescent="0.35"/>
  <cols>
    <col min="1" max="1" width="19.453125" bestFit="1" customWidth="1"/>
    <col min="2" max="2" width="21.269531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137</v>
      </c>
      <c r="B4" s="2" t="s">
        <v>138</v>
      </c>
    </row>
    <row r="5" spans="1:2" x14ac:dyDescent="0.35">
      <c r="A5" t="s">
        <v>110</v>
      </c>
      <c r="B5" t="s">
        <v>111</v>
      </c>
    </row>
    <row r="6" spans="1:2" x14ac:dyDescent="0.35">
      <c r="A6" t="s">
        <v>112</v>
      </c>
      <c r="B6" t="s">
        <v>113</v>
      </c>
    </row>
    <row r="7" spans="1:2" x14ac:dyDescent="0.35">
      <c r="A7" t="s">
        <v>63</v>
      </c>
      <c r="B7" t="s">
        <v>114</v>
      </c>
    </row>
    <row r="8" spans="1:2" x14ac:dyDescent="0.35">
      <c r="A8" t="s">
        <v>77</v>
      </c>
      <c r="B8" t="s">
        <v>115</v>
      </c>
    </row>
    <row r="9" spans="1:2" x14ac:dyDescent="0.35">
      <c r="A9" t="s">
        <v>116</v>
      </c>
      <c r="B9" t="s">
        <v>117</v>
      </c>
    </row>
    <row r="10" spans="1:2" x14ac:dyDescent="0.35">
      <c r="A10" t="s">
        <v>118</v>
      </c>
      <c r="B10" t="s">
        <v>119</v>
      </c>
    </row>
    <row r="11" spans="1:2" x14ac:dyDescent="0.35">
      <c r="A11" t="s">
        <v>120</v>
      </c>
      <c r="B11" t="s">
        <v>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sheetPr>
    <tabColor theme="4"/>
  </sheetPr>
  <dimension ref="A1:AL81"/>
  <sheetViews>
    <sheetView zoomScale="70" zoomScaleNormal="70" workbookViewId="0">
      <selection activeCell="K27" sqref="K27"/>
    </sheetView>
  </sheetViews>
  <sheetFormatPr baseColWidth="10" defaultRowHeight="14.5" x14ac:dyDescent="0.35"/>
  <cols>
    <col min="1" max="1" width="19" bestFit="1" customWidth="1"/>
    <col min="2" max="2" width="17.54296875" bestFit="1" customWidth="1"/>
    <col min="6" max="14" width="11.453125" bestFit="1" customWidth="1"/>
    <col min="15" max="38" width="12.453125" bestFit="1" customWidth="1"/>
  </cols>
  <sheetData>
    <row r="1" spans="1:38" x14ac:dyDescent="0.35">
      <c r="A1" t="s">
        <v>107</v>
      </c>
      <c r="B1" t="s">
        <v>107</v>
      </c>
    </row>
    <row r="2" spans="1:38" x14ac:dyDescent="0.35">
      <c r="A2" t="s">
        <v>108</v>
      </c>
      <c r="B2" t="s">
        <v>108</v>
      </c>
    </row>
    <row r="3" spans="1:38" x14ac:dyDescent="0.35">
      <c r="B3" t="s">
        <v>109</v>
      </c>
      <c r="E3">
        <v>8.9999999999999998E-4</v>
      </c>
      <c r="F3">
        <v>1E-3</v>
      </c>
      <c r="G3">
        <v>3.0000000000000001E-3</v>
      </c>
      <c r="H3">
        <v>5.0000000000000001E-3</v>
      </c>
      <c r="I3">
        <v>7.0000000000000001E-3</v>
      </c>
      <c r="J3">
        <v>8.9999999999999993E-3</v>
      </c>
      <c r="K3">
        <v>1.0999999999999999E-2</v>
      </c>
      <c r="L3">
        <v>1.2999999999999999E-2</v>
      </c>
      <c r="M3">
        <v>1.4999999999999999E-2</v>
      </c>
      <c r="N3">
        <v>1.7000000000000001E-2</v>
      </c>
      <c r="O3">
        <v>1.9E-2</v>
      </c>
      <c r="P3">
        <v>2.1000000000000001E-2</v>
      </c>
      <c r="Q3">
        <v>2.3E-2</v>
      </c>
      <c r="R3">
        <v>2.5000000000000001E-2</v>
      </c>
      <c r="S3">
        <v>2.7E-2</v>
      </c>
      <c r="T3">
        <v>2.9000000000000001E-2</v>
      </c>
      <c r="U3">
        <v>3.1E-2</v>
      </c>
      <c r="V3">
        <v>3.3000000000000002E-2</v>
      </c>
      <c r="W3">
        <v>3.5000000000000003E-2</v>
      </c>
      <c r="X3">
        <v>3.6999999999999998E-2</v>
      </c>
      <c r="Y3">
        <v>3.9E-2</v>
      </c>
      <c r="Z3">
        <f>$Y$3-$U$3+$Y$3</f>
        <v>4.7E-2</v>
      </c>
      <c r="AA3">
        <f t="shared" ref="AA3:AI3" si="0">$Y$3-$U$3+Z3</f>
        <v>5.5E-2</v>
      </c>
      <c r="AB3">
        <f t="shared" si="0"/>
        <v>6.3E-2</v>
      </c>
      <c r="AC3">
        <f t="shared" si="0"/>
        <v>7.1000000000000008E-2</v>
      </c>
      <c r="AD3">
        <f t="shared" si="0"/>
        <v>7.9000000000000015E-2</v>
      </c>
      <c r="AE3">
        <f t="shared" si="0"/>
        <v>8.7000000000000022E-2</v>
      </c>
      <c r="AF3">
        <f t="shared" si="0"/>
        <v>9.5000000000000029E-2</v>
      </c>
      <c r="AG3">
        <f t="shared" si="0"/>
        <v>0.10300000000000004</v>
      </c>
      <c r="AH3">
        <f t="shared" si="0"/>
        <v>0.11100000000000004</v>
      </c>
      <c r="AI3">
        <f t="shared" si="0"/>
        <v>0.11900000000000005</v>
      </c>
      <c r="AJ3">
        <f>AI3+($AI$3-$AD$3)</f>
        <v>0.15900000000000009</v>
      </c>
      <c r="AK3">
        <f t="shared" ref="AK3:AL3" si="1">AJ3+($AI$3-$AD$3)</f>
        <v>0.19900000000000012</v>
      </c>
      <c r="AL3">
        <f t="shared" si="1"/>
        <v>0.23900000000000016</v>
      </c>
    </row>
    <row r="4" spans="1:38" x14ac:dyDescent="0.35">
      <c r="A4" t="s">
        <v>109</v>
      </c>
      <c r="F4">
        <v>3</v>
      </c>
      <c r="G4">
        <v>6</v>
      </c>
      <c r="H4">
        <v>9</v>
      </c>
      <c r="I4">
        <v>12</v>
      </c>
      <c r="J4">
        <v>15</v>
      </c>
      <c r="K4">
        <v>18</v>
      </c>
      <c r="L4">
        <v>21</v>
      </c>
      <c r="M4">
        <v>24</v>
      </c>
      <c r="N4">
        <v>27</v>
      </c>
      <c r="O4">
        <v>30</v>
      </c>
      <c r="P4">
        <v>33</v>
      </c>
      <c r="Q4">
        <v>36</v>
      </c>
      <c r="R4">
        <v>39</v>
      </c>
      <c r="S4">
        <v>42</v>
      </c>
      <c r="T4">
        <v>45</v>
      </c>
      <c r="U4">
        <v>48</v>
      </c>
      <c r="V4">
        <v>51</v>
      </c>
      <c r="W4">
        <v>54</v>
      </c>
      <c r="X4">
        <v>57</v>
      </c>
      <c r="Y4">
        <v>60</v>
      </c>
      <c r="Z4">
        <v>72</v>
      </c>
      <c r="AA4">
        <v>84</v>
      </c>
      <c r="AB4">
        <v>96</v>
      </c>
      <c r="AC4">
        <v>108</v>
      </c>
      <c r="AD4">
        <v>120</v>
      </c>
      <c r="AE4">
        <v>132</v>
      </c>
      <c r="AF4">
        <v>144</v>
      </c>
      <c r="AG4">
        <v>156</v>
      </c>
      <c r="AH4">
        <v>168</v>
      </c>
      <c r="AI4">
        <v>180</v>
      </c>
      <c r="AJ4">
        <v>240</v>
      </c>
      <c r="AK4">
        <v>300</v>
      </c>
      <c r="AL4">
        <v>360</v>
      </c>
    </row>
    <row r="5" spans="1:38" x14ac:dyDescent="0.35">
      <c r="A5" s="2" t="s">
        <v>122</v>
      </c>
      <c r="B5" s="2" t="s">
        <v>123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  <c r="O5" s="2" t="s">
        <v>37</v>
      </c>
      <c r="P5" s="2" t="s">
        <v>38</v>
      </c>
      <c r="Q5" s="2" t="s">
        <v>39</v>
      </c>
      <c r="R5" s="2" t="s">
        <v>40</v>
      </c>
      <c r="S5" s="2" t="s">
        <v>41</v>
      </c>
      <c r="T5" s="2" t="s">
        <v>42</v>
      </c>
      <c r="U5" s="2" t="s">
        <v>43</v>
      </c>
      <c r="V5" s="2" t="s">
        <v>44</v>
      </c>
      <c r="W5" s="2" t="s">
        <v>45</v>
      </c>
      <c r="X5" s="2" t="s">
        <v>46</v>
      </c>
      <c r="Y5" s="2" t="s">
        <v>47</v>
      </c>
      <c r="Z5" s="2" t="s">
        <v>48</v>
      </c>
      <c r="AA5" s="2" t="s">
        <v>49</v>
      </c>
      <c r="AB5" s="2" t="s">
        <v>50</v>
      </c>
      <c r="AC5" s="2" t="s">
        <v>51</v>
      </c>
      <c r="AD5" s="2" t="s">
        <v>52</v>
      </c>
      <c r="AE5" s="2" t="s">
        <v>53</v>
      </c>
      <c r="AF5" s="2" t="s">
        <v>54</v>
      </c>
      <c r="AG5" s="2" t="s">
        <v>55</v>
      </c>
      <c r="AH5" s="2" t="s">
        <v>56</v>
      </c>
      <c r="AI5" s="2" t="s">
        <v>57</v>
      </c>
      <c r="AJ5" s="2" t="s">
        <v>58</v>
      </c>
      <c r="AK5" s="2" t="s">
        <v>59</v>
      </c>
      <c r="AL5" s="2" t="s">
        <v>60</v>
      </c>
    </row>
    <row r="6" spans="1:38" x14ac:dyDescent="0.35">
      <c r="A6" s="7">
        <v>43101</v>
      </c>
      <c r="B6" s="7">
        <v>43190</v>
      </c>
      <c r="C6" t="s">
        <v>124</v>
      </c>
      <c r="D6" t="s">
        <v>125</v>
      </c>
      <c r="E6" s="4">
        <v>1</v>
      </c>
      <c r="F6" s="3">
        <v>9.8723541508006661E-4</v>
      </c>
      <c r="G6" s="3">
        <v>5.2233634294956239E-4</v>
      </c>
      <c r="H6" s="3">
        <v>3.9046312301412385E-3</v>
      </c>
      <c r="I6" s="3">
        <v>2.0590517717537526E-3</v>
      </c>
      <c r="J6" s="3">
        <v>5.2149314083110593E-3</v>
      </c>
      <c r="K6" s="3">
        <v>5.2654462670556571E-3</v>
      </c>
      <c r="L6" s="3">
        <v>6.9821971437631896E-3</v>
      </c>
      <c r="M6" s="3">
        <v>6.3750225391471602E-3</v>
      </c>
      <c r="N6" s="3">
        <v>1.0507892750587852E-2</v>
      </c>
      <c r="O6" s="3">
        <v>6.7065150130467804E-3</v>
      </c>
      <c r="P6" s="3">
        <v>1.3154611745470947E-2</v>
      </c>
      <c r="Q6" s="3">
        <v>8.0682340944428794E-3</v>
      </c>
      <c r="R6" s="3">
        <v>1.5456126253836607E-2</v>
      </c>
      <c r="S6" s="3">
        <v>1.0142726163996979E-2</v>
      </c>
      <c r="T6" s="3">
        <v>1.6907674061615849E-2</v>
      </c>
      <c r="U6" s="3">
        <v>1.2823319048479054E-2</v>
      </c>
      <c r="V6" s="3">
        <v>1.904753562160251E-2</v>
      </c>
      <c r="W6" s="3">
        <v>1.3978029939151655E-2</v>
      </c>
      <c r="X6" s="3">
        <v>2.2194112106792327E-2</v>
      </c>
      <c r="Y6" s="3">
        <v>1.6541921398612769E-2</v>
      </c>
      <c r="Z6" s="3">
        <v>2.5720350031989594E-2</v>
      </c>
      <c r="AA6" s="3">
        <v>2.6938659601285303E-2</v>
      </c>
      <c r="AB6" s="3">
        <v>3.22208891354583E-2</v>
      </c>
      <c r="AC6" s="3">
        <v>3.5598276343003582E-2</v>
      </c>
      <c r="AD6" s="3">
        <v>3.7975244868088717E-2</v>
      </c>
      <c r="AE6" s="3">
        <v>4.5630307613935217E-2</v>
      </c>
      <c r="AF6" s="3">
        <v>4.853026052880377E-2</v>
      </c>
      <c r="AG6" s="3">
        <v>4.7821994417673777E-2</v>
      </c>
      <c r="AH6" s="3">
        <v>6.1201092314036615E-2</v>
      </c>
      <c r="AI6" s="3">
        <v>5.0923580014799824E-2</v>
      </c>
      <c r="AJ6" s="3">
        <v>8.2188999629773274E-2</v>
      </c>
      <c r="AK6" s="3">
        <v>0.11588203667397348</v>
      </c>
      <c r="AL6" s="3">
        <v>8.3382830424295451E-2</v>
      </c>
    </row>
    <row r="7" spans="1:38" x14ac:dyDescent="0.35">
      <c r="A7" s="7">
        <v>43101</v>
      </c>
      <c r="B7" s="7">
        <v>43190</v>
      </c>
      <c r="C7" t="s">
        <v>124</v>
      </c>
      <c r="D7" t="s">
        <v>125</v>
      </c>
      <c r="E7" s="4" t="s">
        <v>64</v>
      </c>
      <c r="F7" s="3">
        <v>1.9555046283066726E-3</v>
      </c>
      <c r="G7" s="3">
        <v>1.4444817733707499E-3</v>
      </c>
      <c r="H7" s="3">
        <v>4.8506266060747323E-3</v>
      </c>
      <c r="I7" s="3">
        <v>2.9689251011853386E-3</v>
      </c>
      <c r="J7" s="3">
        <v>6.1332831557499856E-3</v>
      </c>
      <c r="K7" s="3">
        <v>6.2230620024443378E-3</v>
      </c>
      <c r="L7" s="3">
        <v>7.9341159321329683E-3</v>
      </c>
      <c r="M7" s="3">
        <v>7.2808199776805086E-3</v>
      </c>
      <c r="N7" s="3">
        <v>1.1450059642861695E-2</v>
      </c>
      <c r="O7" s="3">
        <v>7.642785468758395E-3</v>
      </c>
      <c r="P7" s="3">
        <v>1.4118841964526537E-2</v>
      </c>
      <c r="Q7" s="3">
        <v>8.979868013520546E-3</v>
      </c>
      <c r="R7" s="3">
        <v>1.6439336595061631E-2</v>
      </c>
      <c r="S7" s="3">
        <v>1.1073364823084355E-2</v>
      </c>
      <c r="T7" s="3">
        <v>1.7881617977735499E-2</v>
      </c>
      <c r="U7" s="3">
        <v>1.373890625363945E-2</v>
      </c>
      <c r="V7" s="3">
        <v>2.0018330733574292E-2</v>
      </c>
      <c r="W7" s="3">
        <v>1.4924668227140765E-2</v>
      </c>
      <c r="X7" s="3">
        <v>2.3173292504344783E-2</v>
      </c>
      <c r="Y7" s="3">
        <v>1.7464646138943565E-2</v>
      </c>
      <c r="Z7" s="3">
        <v>2.6663966833701071E-2</v>
      </c>
      <c r="AA7" s="3">
        <v>2.7893391600233453E-2</v>
      </c>
      <c r="AB7" s="3">
        <v>3.3139843977245197E-2</v>
      </c>
      <c r="AC7" s="3">
        <v>3.6548496431847793E-2</v>
      </c>
      <c r="AD7" s="3">
        <v>3.8929948312430664E-2</v>
      </c>
      <c r="AE7" s="3">
        <v>4.6537761203292317E-2</v>
      </c>
      <c r="AF7" s="3">
        <v>4.9498060155195492E-2</v>
      </c>
      <c r="AG7" s="3">
        <v>4.8743308851667146E-2</v>
      </c>
      <c r="AH7" s="3">
        <v>6.2159836721572548E-2</v>
      </c>
      <c r="AI7" s="3">
        <v>5.1836736383455005E-2</v>
      </c>
      <c r="AJ7" s="3">
        <v>8.3118740122663751E-2</v>
      </c>
      <c r="AK7" s="3">
        <v>0.1168205734558888</v>
      </c>
      <c r="AL7" s="3">
        <v>8.4284808505095662E-2</v>
      </c>
    </row>
    <row r="8" spans="1:38" x14ac:dyDescent="0.35">
      <c r="A8" s="7">
        <v>43101</v>
      </c>
      <c r="B8" s="7">
        <v>43190</v>
      </c>
      <c r="C8" t="s">
        <v>124</v>
      </c>
      <c r="D8" t="s">
        <v>125</v>
      </c>
      <c r="E8" s="4">
        <v>2</v>
      </c>
      <c r="F8" s="3">
        <v>2.8970218996252142E-3</v>
      </c>
      <c r="G8" s="3">
        <v>2.3689152749164387E-3</v>
      </c>
      <c r="H8" s="3">
        <v>5.8484518920303586E-3</v>
      </c>
      <c r="I8" s="3">
        <v>3.9556911621240762E-3</v>
      </c>
      <c r="J8" s="3">
        <v>7.0601310643130044E-3</v>
      </c>
      <c r="K8" s="3">
        <v>7.1981062270383362E-3</v>
      </c>
      <c r="L8" s="3">
        <v>8.8450446295011212E-3</v>
      </c>
      <c r="M8" s="3">
        <v>8.2346432484778458E-3</v>
      </c>
      <c r="N8" s="3">
        <v>1.238232419933108E-2</v>
      </c>
      <c r="O8" s="3">
        <v>8.5946840775588326E-3</v>
      </c>
      <c r="P8" s="3">
        <v>1.504054701935875E-2</v>
      </c>
      <c r="Q8" s="3">
        <v>9.9192192002095156E-3</v>
      </c>
      <c r="R8" s="3">
        <v>1.7371166603959768E-2</v>
      </c>
      <c r="S8" s="3">
        <v>1.2041012010300826E-2</v>
      </c>
      <c r="T8" s="3">
        <v>1.8831479692354037E-2</v>
      </c>
      <c r="U8" s="3">
        <v>1.4687198648127538E-2</v>
      </c>
      <c r="V8" s="3">
        <v>2.0993338675699427E-2</v>
      </c>
      <c r="W8" s="3">
        <v>1.5890880083179657E-2</v>
      </c>
      <c r="X8" s="3">
        <v>2.414075459663979E-2</v>
      </c>
      <c r="Y8" s="3">
        <v>1.8458963417643245E-2</v>
      </c>
      <c r="Z8" s="3">
        <v>2.7599887843882988E-2</v>
      </c>
      <c r="AA8" s="3">
        <v>2.8867198078455506E-2</v>
      </c>
      <c r="AB8" s="3">
        <v>3.4078492929563477E-2</v>
      </c>
      <c r="AC8" s="3">
        <v>3.7451398081860633E-2</v>
      </c>
      <c r="AD8" s="3">
        <v>3.984576144832034E-2</v>
      </c>
      <c r="AE8" s="3">
        <v>4.744267502963543E-2</v>
      </c>
      <c r="AF8" s="3">
        <v>5.0471262341356134E-2</v>
      </c>
      <c r="AG8" s="3">
        <v>4.9721406261892226E-2</v>
      </c>
      <c r="AH8" s="3">
        <v>6.3088969605302594E-2</v>
      </c>
      <c r="AI8" s="3">
        <v>5.2827014311840927E-2</v>
      </c>
      <c r="AJ8" s="3">
        <v>8.4050826477839929E-2</v>
      </c>
      <c r="AK8" s="3">
        <v>0.11776338686442323</v>
      </c>
      <c r="AL8" s="3">
        <v>8.5187624453367236E-2</v>
      </c>
    </row>
    <row r="9" spans="1:38" x14ac:dyDescent="0.35">
      <c r="A9" s="7">
        <v>43101</v>
      </c>
      <c r="B9" s="7">
        <v>43190</v>
      </c>
      <c r="C9" t="s">
        <v>124</v>
      </c>
      <c r="D9" t="s">
        <v>125</v>
      </c>
      <c r="E9" s="4" t="s">
        <v>65</v>
      </c>
      <c r="F9" s="3">
        <v>3.8925880436026291E-3</v>
      </c>
      <c r="G9" s="3">
        <v>3.3293087884667567E-3</v>
      </c>
      <c r="H9" s="3">
        <v>6.8196563712744074E-3</v>
      </c>
      <c r="I9" s="3">
        <v>4.8932082139034102E-3</v>
      </c>
      <c r="J9" s="3">
        <v>8.0132646367332746E-3</v>
      </c>
      <c r="K9" s="3">
        <v>8.1358307951268742E-3</v>
      </c>
      <c r="L9" s="3">
        <v>9.7746624752325668E-3</v>
      </c>
      <c r="M9" s="3">
        <v>9.1797473929750139E-3</v>
      </c>
      <c r="N9" s="3">
        <v>1.3293207543458285E-2</v>
      </c>
      <c r="O9" s="3">
        <v>9.5448669156472064E-3</v>
      </c>
      <c r="P9" s="3">
        <v>1.6028482383182132E-2</v>
      </c>
      <c r="Q9" s="3">
        <v>1.0902780731733957E-2</v>
      </c>
      <c r="R9" s="3">
        <v>1.8290724980076223E-2</v>
      </c>
      <c r="S9" s="3">
        <v>1.2959929011024785E-2</v>
      </c>
      <c r="T9" s="3">
        <v>1.9744417994947586E-2</v>
      </c>
      <c r="U9" s="3">
        <v>1.5652317576269625E-2</v>
      </c>
      <c r="V9" s="3">
        <v>2.1913480248590571E-2</v>
      </c>
      <c r="W9" s="3">
        <v>1.6850251791674657E-2</v>
      </c>
      <c r="X9" s="3">
        <v>2.5122262773781382E-2</v>
      </c>
      <c r="Y9" s="3">
        <v>1.9373228437165709E-2</v>
      </c>
      <c r="Z9" s="3">
        <v>2.8590145397651652E-2</v>
      </c>
      <c r="AA9" s="3">
        <v>2.9820686831295171E-2</v>
      </c>
      <c r="AB9" s="3">
        <v>3.5042504808221867E-2</v>
      </c>
      <c r="AC9" s="3">
        <v>3.8366638261812719E-2</v>
      </c>
      <c r="AD9" s="3">
        <v>4.0762272908770117E-2</v>
      </c>
      <c r="AE9" s="3">
        <v>4.8423160064546077E-2</v>
      </c>
      <c r="AF9" s="3">
        <v>5.1429679229339921E-2</v>
      </c>
      <c r="AG9" s="3">
        <v>5.0661021251319487E-2</v>
      </c>
      <c r="AH9" s="3">
        <v>6.4006290793609949E-2</v>
      </c>
      <c r="AI9" s="3">
        <v>5.3762463089604771E-2</v>
      </c>
      <c r="AJ9" s="3">
        <v>8.4999678600142931E-2</v>
      </c>
      <c r="AK9" s="3">
        <v>0.11869337850398419</v>
      </c>
      <c r="AL9" s="3">
        <v>8.6170594043826487E-2</v>
      </c>
    </row>
    <row r="10" spans="1:38" x14ac:dyDescent="0.35">
      <c r="A10" s="7">
        <v>43101</v>
      </c>
      <c r="B10" s="7">
        <v>43190</v>
      </c>
      <c r="C10" t="s">
        <v>124</v>
      </c>
      <c r="D10" t="s">
        <v>125</v>
      </c>
      <c r="E10" s="4" t="s">
        <v>66</v>
      </c>
      <c r="F10" s="3">
        <v>4.8164316239651976E-3</v>
      </c>
      <c r="G10" s="3">
        <v>4.2797589194579228E-3</v>
      </c>
      <c r="H10" s="3">
        <v>7.8081053091731585E-3</v>
      </c>
      <c r="I10" s="3">
        <v>5.8671138528759836E-3</v>
      </c>
      <c r="J10" s="3">
        <v>8.9852878840056237E-3</v>
      </c>
      <c r="K10" s="3">
        <v>9.0839267564754595E-3</v>
      </c>
      <c r="L10" s="3">
        <v>1.0760408681570018E-2</v>
      </c>
      <c r="M10" s="3">
        <v>1.0139345117331524E-2</v>
      </c>
      <c r="N10" s="3">
        <v>1.4274630476066415E-2</v>
      </c>
      <c r="O10" s="3">
        <v>1.0495680412953486E-2</v>
      </c>
      <c r="P10" s="3">
        <v>1.6990447680038118E-2</v>
      </c>
      <c r="Q10" s="3">
        <v>1.1867473360407806E-2</v>
      </c>
      <c r="R10" s="3">
        <v>1.9253792917843317E-2</v>
      </c>
      <c r="S10" s="3">
        <v>1.393208750331036E-2</v>
      </c>
      <c r="T10" s="3">
        <v>2.0668036280152662E-2</v>
      </c>
      <c r="U10" s="3">
        <v>1.6594488698087415E-2</v>
      </c>
      <c r="V10" s="3">
        <v>2.2858979945907135E-2</v>
      </c>
      <c r="W10" s="3">
        <v>1.7841963462791443E-2</v>
      </c>
      <c r="X10" s="3">
        <v>2.6025110373458438E-2</v>
      </c>
      <c r="Y10" s="3">
        <v>2.0349523078769728E-2</v>
      </c>
      <c r="Z10" s="3">
        <v>2.9543861718213046E-2</v>
      </c>
      <c r="AA10" s="3">
        <v>3.0733705693309476E-2</v>
      </c>
      <c r="AB10" s="3">
        <v>3.5989763352759906E-2</v>
      </c>
      <c r="AC10" s="3">
        <v>3.9327036642431687E-2</v>
      </c>
      <c r="AD10" s="3">
        <v>4.1690749612420919E-2</v>
      </c>
      <c r="AE10" s="3">
        <v>4.9419860058073889E-2</v>
      </c>
      <c r="AF10" s="3">
        <v>5.2365926051764183E-2</v>
      </c>
      <c r="AG10" s="3">
        <v>5.1587901413566957E-2</v>
      </c>
      <c r="AH10" s="3">
        <v>6.4992861093754614E-2</v>
      </c>
      <c r="AI10" s="3">
        <v>5.473896489795009E-2</v>
      </c>
      <c r="AJ10" s="3">
        <v>8.5927084835442799E-2</v>
      </c>
      <c r="AK10" s="3">
        <v>0.11969048553650631</v>
      </c>
      <c r="AL10" s="3">
        <v>8.7084027690595589E-2</v>
      </c>
    </row>
    <row r="11" spans="1:38" x14ac:dyDescent="0.35">
      <c r="A11" s="7">
        <v>43101</v>
      </c>
      <c r="B11" s="7">
        <v>43190</v>
      </c>
      <c r="C11" t="s">
        <v>124</v>
      </c>
      <c r="D11" t="s">
        <v>125</v>
      </c>
      <c r="E11" s="4">
        <v>3</v>
      </c>
      <c r="F11" s="3">
        <v>5.8093132293695927E-3</v>
      </c>
      <c r="G11" s="3">
        <v>5.2059708113497121E-3</v>
      </c>
      <c r="H11" s="3">
        <v>8.7994041119458764E-3</v>
      </c>
      <c r="I11" s="3">
        <v>6.7806188390019022E-3</v>
      </c>
      <c r="J11" s="3">
        <v>9.9273131857093039E-3</v>
      </c>
      <c r="K11" s="3">
        <v>1.0058551719849628E-2</v>
      </c>
      <c r="L11" s="3">
        <v>1.1707387777530491E-2</v>
      </c>
      <c r="M11" s="3">
        <v>1.1118831932959119E-2</v>
      </c>
      <c r="N11" s="3">
        <v>1.519713920879525E-2</v>
      </c>
      <c r="O11" s="3">
        <v>1.1479170774394741E-2</v>
      </c>
      <c r="P11" s="3">
        <v>1.7981297683726239E-2</v>
      </c>
      <c r="Q11" s="3">
        <v>1.2781588451177517E-2</v>
      </c>
      <c r="R11" s="3">
        <v>2.0192268792738499E-2</v>
      </c>
      <c r="S11" s="3">
        <v>1.4930679296247284E-2</v>
      </c>
      <c r="T11" s="3">
        <v>2.1601194914300653E-2</v>
      </c>
      <c r="U11" s="3">
        <v>1.749763379652771E-2</v>
      </c>
      <c r="V11" s="3">
        <v>2.3767134065234195E-2</v>
      </c>
      <c r="W11" s="3">
        <v>1.8762297852789871E-2</v>
      </c>
      <c r="X11" s="3">
        <v>2.6956300324280601E-2</v>
      </c>
      <c r="Y11" s="3">
        <v>2.129224629278198E-2</v>
      </c>
      <c r="Z11" s="3">
        <v>3.0504517540770239E-2</v>
      </c>
      <c r="AA11" s="3">
        <v>3.173032040789113E-2</v>
      </c>
      <c r="AB11" s="3">
        <v>3.6903407085099336E-2</v>
      </c>
      <c r="AC11" s="3">
        <v>4.0289714971796502E-2</v>
      </c>
      <c r="AD11" s="3">
        <v>4.2671491768077573E-2</v>
      </c>
      <c r="AE11" s="3">
        <v>5.0325299562678429E-2</v>
      </c>
      <c r="AF11" s="3">
        <v>5.3270462377958912E-2</v>
      </c>
      <c r="AG11" s="3">
        <v>5.2507018551669837E-2</v>
      </c>
      <c r="AH11" s="3">
        <v>6.5920201824883395E-2</v>
      </c>
      <c r="AI11" s="3">
        <v>5.5656346334527179E-2</v>
      </c>
      <c r="AJ11" s="3">
        <v>8.6834155019339318E-2</v>
      </c>
      <c r="AK11" s="3">
        <v>0.1206366766033987</v>
      </c>
      <c r="AL11" s="3">
        <v>8.7987526266215171E-2</v>
      </c>
    </row>
    <row r="12" spans="1:38" x14ac:dyDescent="0.35">
      <c r="A12" s="7">
        <v>43101</v>
      </c>
      <c r="B12" s="7">
        <v>43190</v>
      </c>
      <c r="C12" t="s">
        <v>124</v>
      </c>
      <c r="D12" t="s">
        <v>125</v>
      </c>
      <c r="E12" s="4" t="s">
        <v>67</v>
      </c>
      <c r="F12" s="3">
        <v>6.7583386736877332E-3</v>
      </c>
      <c r="G12" s="3">
        <v>6.1140668603792189E-3</v>
      </c>
      <c r="H12" s="3">
        <v>9.7349615351173327E-3</v>
      </c>
      <c r="I12" s="3">
        <v>7.7164836331189762E-3</v>
      </c>
      <c r="J12" s="3">
        <v>1.084636742679331E-2</v>
      </c>
      <c r="K12" s="3">
        <v>1.1010486371479274E-2</v>
      </c>
      <c r="L12" s="3">
        <v>1.2665024302281877E-2</v>
      </c>
      <c r="M12" s="3">
        <v>1.2085829953676566E-2</v>
      </c>
      <c r="N12" s="3">
        <v>1.6100322924584062E-2</v>
      </c>
      <c r="O12" s="3">
        <v>1.2446438544002566E-2</v>
      </c>
      <c r="P12" s="3">
        <v>1.8887358319701071E-2</v>
      </c>
      <c r="Q12" s="3">
        <v>1.3705992518516546E-2</v>
      </c>
      <c r="R12" s="3">
        <v>2.1104972754014864E-2</v>
      </c>
      <c r="S12" s="3">
        <v>1.5890796136354191E-2</v>
      </c>
      <c r="T12" s="3">
        <v>2.2517306360080137E-2</v>
      </c>
      <c r="U12" s="3">
        <v>1.8481023873773615E-2</v>
      </c>
      <c r="V12" s="3">
        <v>2.4733842563750844E-2</v>
      </c>
      <c r="W12" s="3">
        <v>1.9669938527937057E-2</v>
      </c>
      <c r="X12" s="3">
        <v>2.7875780282546468E-2</v>
      </c>
      <c r="Y12" s="3">
        <v>2.2260285664062861E-2</v>
      </c>
      <c r="Z12" s="3">
        <v>3.1447037965201673E-2</v>
      </c>
      <c r="AA12" s="3">
        <v>3.2681929848966049E-2</v>
      </c>
      <c r="AB12" s="3">
        <v>3.7820791014653327E-2</v>
      </c>
      <c r="AC12" s="3">
        <v>4.1225848263291689E-2</v>
      </c>
      <c r="AD12" s="3">
        <v>4.3575165230735007E-2</v>
      </c>
      <c r="AE12" s="3">
        <v>5.1305686528439115E-2</v>
      </c>
      <c r="AF12" s="3">
        <v>5.4233725413743869E-2</v>
      </c>
      <c r="AG12" s="3">
        <v>5.3482815954358526E-2</v>
      </c>
      <c r="AH12" s="3">
        <v>6.6849924185783408E-2</v>
      </c>
      <c r="AI12" s="3">
        <v>5.6643603818231331E-2</v>
      </c>
      <c r="AJ12" s="3">
        <v>8.7792846378674474E-2</v>
      </c>
      <c r="AK12" s="3">
        <v>0.12163408093916621</v>
      </c>
      <c r="AL12" s="3">
        <v>8.8952963912685618E-2</v>
      </c>
    </row>
    <row r="13" spans="1:38" x14ac:dyDescent="0.35">
      <c r="A13" s="7">
        <v>43101</v>
      </c>
      <c r="B13" s="7">
        <v>43190</v>
      </c>
      <c r="C13" t="s">
        <v>124</v>
      </c>
      <c r="D13" t="s">
        <v>125</v>
      </c>
      <c r="E13" s="4" t="s">
        <v>68</v>
      </c>
      <c r="F13" s="3">
        <v>7.7391976220217767E-3</v>
      </c>
      <c r="G13" s="3">
        <v>7.0401123839988729E-3</v>
      </c>
      <c r="H13" s="3">
        <v>1.0642241261176211E-2</v>
      </c>
      <c r="I13" s="3">
        <v>8.7080170457777273E-3</v>
      </c>
      <c r="J13" s="3">
        <v>1.1757571708418508E-2</v>
      </c>
      <c r="K13" s="3">
        <v>1.1966037413180702E-2</v>
      </c>
      <c r="L13" s="3">
        <v>1.3653307044733314E-2</v>
      </c>
      <c r="M13" s="3">
        <v>1.3027658446906204E-2</v>
      </c>
      <c r="N13" s="3">
        <v>1.700772108729889E-2</v>
      </c>
      <c r="O13" s="3">
        <v>1.3405401536441366E-2</v>
      </c>
      <c r="P13" s="3">
        <v>1.9876462331655482E-2</v>
      </c>
      <c r="Q13" s="3">
        <v>1.4671343263786902E-2</v>
      </c>
      <c r="R13" s="3">
        <v>2.203438301816343E-2</v>
      </c>
      <c r="S13" s="3">
        <v>1.6820873196983933E-2</v>
      </c>
      <c r="T13" s="3">
        <v>2.3433727451292765E-2</v>
      </c>
      <c r="U13" s="3">
        <v>1.9477800013649862E-2</v>
      </c>
      <c r="V13" s="3">
        <v>2.5709102113335696E-2</v>
      </c>
      <c r="W13" s="3">
        <v>2.065798921465448E-2</v>
      </c>
      <c r="X13" s="3">
        <v>2.8801267945788959E-2</v>
      </c>
      <c r="Y13" s="3">
        <v>2.3207699194427795E-2</v>
      </c>
      <c r="Z13" s="3">
        <v>3.2390312450374541E-2</v>
      </c>
      <c r="AA13" s="3">
        <v>3.365309053550835E-2</v>
      </c>
      <c r="AB13" s="3">
        <v>3.8781201174315112E-2</v>
      </c>
      <c r="AC13" s="3">
        <v>4.2188469893734454E-2</v>
      </c>
      <c r="AD13" s="3">
        <v>4.448037654250861E-2</v>
      </c>
      <c r="AE13" s="3">
        <v>5.2223518133722273E-2</v>
      </c>
      <c r="AF13" s="3">
        <v>5.5186289388047011E-2</v>
      </c>
      <c r="AG13" s="3">
        <v>5.4406298040132625E-2</v>
      </c>
      <c r="AH13" s="3">
        <v>6.7754335980998129E-2</v>
      </c>
      <c r="AI13" s="3">
        <v>5.7604606311731983E-2</v>
      </c>
      <c r="AJ13" s="3">
        <v>8.8773460343661181E-2</v>
      </c>
      <c r="AK13" s="3">
        <v>0.12258290963650199</v>
      </c>
      <c r="AL13" s="3">
        <v>8.9900851408525939E-2</v>
      </c>
    </row>
    <row r="14" spans="1:38" x14ac:dyDescent="0.35">
      <c r="A14" s="7">
        <v>43101</v>
      </c>
      <c r="B14" s="7">
        <v>43190</v>
      </c>
      <c r="C14" t="s">
        <v>124</v>
      </c>
      <c r="D14" t="s">
        <v>125</v>
      </c>
      <c r="E14" s="4">
        <v>4</v>
      </c>
      <c r="F14" s="3">
        <v>8.6871118527651198E-3</v>
      </c>
      <c r="G14" s="3">
        <v>7.9551358344736259E-3</v>
      </c>
      <c r="H14" s="3">
        <v>1.1574657158047511E-2</v>
      </c>
      <c r="I14" s="3">
        <v>9.6494885959371116E-3</v>
      </c>
      <c r="J14" s="3">
        <v>1.2728649950114241E-2</v>
      </c>
      <c r="K14" s="3">
        <v>1.2933984380575959E-2</v>
      </c>
      <c r="L14" s="3">
        <v>1.460077636818825E-2</v>
      </c>
      <c r="M14" s="3">
        <v>1.3930131542778522E-2</v>
      </c>
      <c r="N14" s="3">
        <v>1.7946966069131612E-2</v>
      </c>
      <c r="O14" s="3">
        <v>1.4338873967426632E-2</v>
      </c>
      <c r="P14" s="3">
        <v>2.0856967046642347E-2</v>
      </c>
      <c r="Q14" s="3">
        <v>1.5664872848888501E-2</v>
      </c>
      <c r="R14" s="3">
        <v>2.2977525764767102E-2</v>
      </c>
      <c r="S14" s="3">
        <v>1.7791025093767298E-2</v>
      </c>
      <c r="T14" s="3">
        <v>2.4378022305578263E-2</v>
      </c>
      <c r="U14" s="3">
        <v>2.0468649631014298E-2</v>
      </c>
      <c r="V14" s="3">
        <v>2.6666048141618878E-2</v>
      </c>
      <c r="W14" s="3">
        <v>2.1580033371126336E-2</v>
      </c>
      <c r="X14" s="3">
        <v>2.9741895793428758E-2</v>
      </c>
      <c r="Y14" s="3">
        <v>2.4140618258473624E-2</v>
      </c>
      <c r="Z14" s="3">
        <v>3.3390188726632124E-2</v>
      </c>
      <c r="AA14" s="3">
        <v>3.4575139555686148E-2</v>
      </c>
      <c r="AB14" s="3">
        <v>3.9705172164359759E-2</v>
      </c>
      <c r="AC14" s="3">
        <v>4.3171971954915601E-2</v>
      </c>
      <c r="AD14" s="3">
        <v>4.5385210637260101E-2</v>
      </c>
      <c r="AE14" s="3">
        <v>5.3193441864314989E-2</v>
      </c>
      <c r="AF14" s="3">
        <v>5.6117816364555241E-2</v>
      </c>
      <c r="AG14" s="3">
        <v>5.5348939251239015E-2</v>
      </c>
      <c r="AH14" s="3">
        <v>6.8749052053499321E-2</v>
      </c>
      <c r="AI14" s="3">
        <v>5.8571938732369364E-2</v>
      </c>
      <c r="AJ14" s="3">
        <v>8.9715422799307734E-2</v>
      </c>
      <c r="AK14" s="3">
        <v>0.12356655400287085</v>
      </c>
      <c r="AL14" s="3">
        <v>9.0817861900126778E-2</v>
      </c>
    </row>
    <row r="15" spans="1:38" x14ac:dyDescent="0.35">
      <c r="A15" s="7">
        <v>43101</v>
      </c>
      <c r="B15" s="7">
        <v>43190</v>
      </c>
      <c r="C15" t="s">
        <v>124</v>
      </c>
      <c r="D15" t="s">
        <v>125</v>
      </c>
      <c r="E15" s="4" t="s">
        <v>69</v>
      </c>
      <c r="F15" s="3">
        <v>9.6633406642420705E-3</v>
      </c>
      <c r="G15" s="3">
        <v>8.8567841877101317E-3</v>
      </c>
      <c r="H15" s="3">
        <v>1.2516670482588144E-2</v>
      </c>
      <c r="I15" s="3">
        <v>1.0613877354440141E-2</v>
      </c>
      <c r="J15" s="3">
        <v>1.3665005216227521E-2</v>
      </c>
      <c r="K15" s="3">
        <v>1.3896986844783427E-2</v>
      </c>
      <c r="L15" s="3">
        <v>1.5517567647322292E-2</v>
      </c>
      <c r="M15" s="3">
        <v>1.4913898212994449E-2</v>
      </c>
      <c r="N15" s="3">
        <v>1.8902640946801167E-2</v>
      </c>
      <c r="O15" s="3">
        <v>1.5285534809126988E-2</v>
      </c>
      <c r="P15" s="3">
        <v>2.1782291759152264E-2</v>
      </c>
      <c r="Q15" s="3">
        <v>1.662869558926414E-2</v>
      </c>
      <c r="R15" s="3">
        <v>2.391445965152484E-2</v>
      </c>
      <c r="S15" s="3">
        <v>1.8763060110870457E-2</v>
      </c>
      <c r="T15" s="3">
        <v>2.5316843693128623E-2</v>
      </c>
      <c r="U15" s="3">
        <v>2.1445309033417466E-2</v>
      </c>
      <c r="V15" s="3">
        <v>2.7583538133656129E-2</v>
      </c>
      <c r="W15" s="3">
        <v>2.2500495259273386E-2</v>
      </c>
      <c r="X15" s="3">
        <v>3.0730557773519358E-2</v>
      </c>
      <c r="Y15" s="3">
        <v>2.5049873203161498E-2</v>
      </c>
      <c r="Z15" s="3">
        <v>3.4380516132835014E-2</v>
      </c>
      <c r="AA15" s="3">
        <v>3.5536616039588888E-2</v>
      </c>
      <c r="AB15" s="3">
        <v>4.0674492333930001E-2</v>
      </c>
      <c r="AC15" s="3">
        <v>4.4144902683848131E-2</v>
      </c>
      <c r="AD15" s="3">
        <v>4.6289604606180174E-2</v>
      </c>
      <c r="AE15" s="3">
        <v>5.4180960165628241E-2</v>
      </c>
      <c r="AF15" s="3">
        <v>5.7053919066883008E-2</v>
      </c>
      <c r="AG15" s="3">
        <v>5.6257482062810907E-2</v>
      </c>
      <c r="AH15" s="3">
        <v>6.9699819231343885E-2</v>
      </c>
      <c r="AI15" s="3">
        <v>5.9562776545488701E-2</v>
      </c>
      <c r="AJ15" s="3">
        <v>9.0707800169766276E-2</v>
      </c>
      <c r="AK15" s="3">
        <v>0.12451313615786119</v>
      </c>
      <c r="AL15" s="3">
        <v>9.1732767645065466E-2</v>
      </c>
    </row>
    <row r="16" spans="1:38" x14ac:dyDescent="0.35">
      <c r="A16" s="7">
        <v>43101</v>
      </c>
      <c r="B16" s="7">
        <v>43190</v>
      </c>
      <c r="C16" t="s">
        <v>124</v>
      </c>
      <c r="D16" t="s">
        <v>125</v>
      </c>
      <c r="E16" s="4" t="s">
        <v>70</v>
      </c>
      <c r="F16" s="3">
        <v>1.0615006950827514E-2</v>
      </c>
      <c r="G16" s="3">
        <v>9.7629176956889521E-3</v>
      </c>
      <c r="H16" s="3">
        <v>1.3502258168549955E-2</v>
      </c>
      <c r="I16" s="3">
        <v>1.1532143139689066E-2</v>
      </c>
      <c r="J16" s="3">
        <v>1.4610253000537966E-2</v>
      </c>
      <c r="K16" s="3">
        <v>1.4871243633954574E-2</v>
      </c>
      <c r="L16" s="3">
        <v>1.6506458227018361E-2</v>
      </c>
      <c r="M16" s="3">
        <v>1.5822139340595884E-2</v>
      </c>
      <c r="N16" s="3">
        <v>1.9879240678301116E-2</v>
      </c>
      <c r="O16" s="3">
        <v>1.6241603607676743E-2</v>
      </c>
      <c r="P16" s="3">
        <v>2.2699213581187008E-2</v>
      </c>
      <c r="Q16" s="3">
        <v>1.7624472251490889E-2</v>
      </c>
      <c r="R16" s="3">
        <v>2.4870656963362825E-2</v>
      </c>
      <c r="S16" s="3">
        <v>1.9729596604833866E-2</v>
      </c>
      <c r="T16" s="3">
        <v>2.6228818340475298E-2</v>
      </c>
      <c r="U16" s="3">
        <v>2.2352468210182243E-2</v>
      </c>
      <c r="V16" s="3">
        <v>2.8513458477405225E-2</v>
      </c>
      <c r="W16" s="3">
        <v>2.349646393134789E-2</v>
      </c>
      <c r="X16" s="3">
        <v>3.171025966002905E-2</v>
      </c>
      <c r="Y16" s="3">
        <v>2.6007331566039356E-2</v>
      </c>
      <c r="Z16" s="3">
        <v>3.5298731543727931E-2</v>
      </c>
      <c r="AA16" s="3">
        <v>3.6467788080590161E-2</v>
      </c>
      <c r="AB16" s="3">
        <v>4.1609447758682513E-2</v>
      </c>
      <c r="AC16" s="3">
        <v>4.506852192541988E-2</v>
      </c>
      <c r="AD16" s="3">
        <v>4.7195598965229249E-2</v>
      </c>
      <c r="AE16" s="3">
        <v>5.5159910045503073E-2</v>
      </c>
      <c r="AF16" s="3">
        <v>5.801261041153194E-2</v>
      </c>
      <c r="AG16" s="3">
        <v>5.7181077966933225E-2</v>
      </c>
      <c r="AH16" s="3">
        <v>7.068823897740123E-2</v>
      </c>
      <c r="AI16" s="3">
        <v>6.0478159208486031E-2</v>
      </c>
      <c r="AJ16" s="3">
        <v>9.161490997768823E-2</v>
      </c>
      <c r="AK16" s="3">
        <v>0.1254369045674463</v>
      </c>
      <c r="AL16" s="3">
        <v>9.27167941862439E-2</v>
      </c>
    </row>
    <row r="17" spans="1:38" x14ac:dyDescent="0.35">
      <c r="A17" s="7">
        <v>43101</v>
      </c>
      <c r="B17" s="7">
        <v>43190</v>
      </c>
      <c r="C17" t="s">
        <v>124</v>
      </c>
      <c r="D17" t="s">
        <v>125</v>
      </c>
      <c r="E17" s="4">
        <v>5</v>
      </c>
      <c r="F17" s="3">
        <v>1.153703461634195E-2</v>
      </c>
      <c r="G17" s="3">
        <v>1.0701871493965603E-2</v>
      </c>
      <c r="H17" s="3">
        <v>1.4445141600718848E-2</v>
      </c>
      <c r="I17" s="3">
        <v>1.2501354570931673E-2</v>
      </c>
      <c r="J17" s="3">
        <v>1.5587162076532107E-2</v>
      </c>
      <c r="K17" s="3">
        <v>1.5857435763598306E-2</v>
      </c>
      <c r="L17" s="3">
        <v>1.7430411032710386E-2</v>
      </c>
      <c r="M17" s="3">
        <v>1.6758382469180051E-2</v>
      </c>
      <c r="N17" s="3">
        <v>2.0798630295579261E-2</v>
      </c>
      <c r="O17" s="3">
        <v>1.72040035593766E-2</v>
      </c>
      <c r="P17" s="3">
        <v>2.360787218744272E-2</v>
      </c>
      <c r="Q17" s="3">
        <v>1.8617434133182263E-2</v>
      </c>
      <c r="R17" s="3">
        <v>2.5787960327398798E-2</v>
      </c>
      <c r="S17" s="3">
        <v>2.0703405383414305E-2</v>
      </c>
      <c r="T17" s="3">
        <v>2.7149752994239301E-2</v>
      </c>
      <c r="U17" s="3">
        <v>2.3294855162885611E-2</v>
      </c>
      <c r="V17" s="3">
        <v>2.9445158938770949E-2</v>
      </c>
      <c r="W17" s="3">
        <v>2.4435172399565139E-2</v>
      </c>
      <c r="X17" s="3">
        <v>3.2687938236702893E-2</v>
      </c>
      <c r="Y17" s="3">
        <v>2.6914191192636463E-2</v>
      </c>
      <c r="Z17" s="3">
        <v>3.6274350429703735E-2</v>
      </c>
      <c r="AA17" s="3">
        <v>3.7416623636127196E-2</v>
      </c>
      <c r="AB17" s="3">
        <v>4.2529849427629184E-2</v>
      </c>
      <c r="AC17" s="3">
        <v>4.6045960511612784E-2</v>
      </c>
      <c r="AD17" s="3">
        <v>4.8128988861040549E-2</v>
      </c>
      <c r="AE17" s="3">
        <v>5.6095845061382758E-2</v>
      </c>
      <c r="AF17" s="3">
        <v>5.8952002646676112E-2</v>
      </c>
      <c r="AG17" s="3">
        <v>5.8096016217194402E-2</v>
      </c>
      <c r="AH17" s="3">
        <v>7.1637865264380846E-2</v>
      </c>
      <c r="AI17" s="3">
        <v>6.1439136470290402E-2</v>
      </c>
      <c r="AJ17" s="3">
        <v>9.2555173913923219E-2</v>
      </c>
      <c r="AK17" s="3">
        <v>0.12637465627533181</v>
      </c>
      <c r="AL17" s="3">
        <v>9.3630237274814329E-2</v>
      </c>
    </row>
    <row r="18" spans="1:38" x14ac:dyDescent="0.35">
      <c r="A18" s="7">
        <v>43101</v>
      </c>
      <c r="B18" s="7">
        <v>43190</v>
      </c>
      <c r="C18" t="s">
        <v>124</v>
      </c>
      <c r="D18" t="s">
        <v>125</v>
      </c>
      <c r="E18" s="4" t="s">
        <v>71</v>
      </c>
      <c r="F18" s="3">
        <v>1.245224753299351E-2</v>
      </c>
      <c r="G18" s="3">
        <v>1.1654426749807153E-2</v>
      </c>
      <c r="H18" s="3">
        <v>1.5363432166752955E-2</v>
      </c>
      <c r="I18" s="3">
        <v>1.3483817499054614E-2</v>
      </c>
      <c r="J18" s="3">
        <v>1.6515522119146912E-2</v>
      </c>
      <c r="K18" s="3">
        <v>1.6823752741559953E-2</v>
      </c>
      <c r="L18" s="3">
        <v>1.8378703526991808E-2</v>
      </c>
      <c r="M18" s="3">
        <v>1.7729505019661453E-2</v>
      </c>
      <c r="N18" s="3">
        <v>2.1743765763705465E-2</v>
      </c>
      <c r="O18" s="3">
        <v>1.8147549646481919E-2</v>
      </c>
      <c r="P18" s="3">
        <v>2.4550369849464026E-2</v>
      </c>
      <c r="Q18" s="3">
        <v>1.9553807159928726E-2</v>
      </c>
      <c r="R18" s="3">
        <v>2.6760856877947638E-2</v>
      </c>
      <c r="S18" s="3">
        <v>2.16326614592347E-2</v>
      </c>
      <c r="T18" s="3">
        <v>2.814608545157446E-2</v>
      </c>
      <c r="U18" s="3">
        <v>2.4256183992917527E-2</v>
      </c>
      <c r="V18" s="3">
        <v>3.0377722287246611E-2</v>
      </c>
      <c r="W18" s="3">
        <v>2.5363475537645862E-2</v>
      </c>
      <c r="X18" s="3">
        <v>3.3639852635564363E-2</v>
      </c>
      <c r="Y18" s="3">
        <v>2.7890286602368895E-2</v>
      </c>
      <c r="Z18" s="3">
        <v>3.7238787352116498E-2</v>
      </c>
      <c r="AA18" s="3">
        <v>3.8342734437073867E-2</v>
      </c>
      <c r="AB18" s="3">
        <v>4.3497644430090965E-2</v>
      </c>
      <c r="AC18" s="3">
        <v>4.69918284991825E-2</v>
      </c>
      <c r="AD18" s="3">
        <v>4.9106986994260957E-2</v>
      </c>
      <c r="AE18" s="3">
        <v>5.6996109513219109E-2</v>
      </c>
      <c r="AF18" s="3">
        <v>5.9944347119404856E-2</v>
      </c>
      <c r="AG18" s="3">
        <v>5.9024576265395139E-2</v>
      </c>
      <c r="AH18" s="3">
        <v>7.2586131170948864E-2</v>
      </c>
      <c r="AI18" s="3">
        <v>6.2356007964590066E-2</v>
      </c>
      <c r="AJ18" s="3">
        <v>9.3491764138789096E-2</v>
      </c>
      <c r="AK18" s="3">
        <v>0.12733627909692014</v>
      </c>
      <c r="AL18" s="3">
        <v>9.4620321119172929E-2</v>
      </c>
    </row>
    <row r="19" spans="1:38" x14ac:dyDescent="0.35">
      <c r="A19" s="7">
        <v>43101</v>
      </c>
      <c r="B19" s="7">
        <v>43190</v>
      </c>
      <c r="C19" t="s">
        <v>124</v>
      </c>
      <c r="D19" t="s">
        <v>125</v>
      </c>
      <c r="E19" s="4" t="s">
        <v>72</v>
      </c>
      <c r="F19" s="3">
        <v>1.3450044671522951E-2</v>
      </c>
      <c r="G19" s="3">
        <v>1.2597382233771229E-2</v>
      </c>
      <c r="H19" s="3">
        <v>1.6342643582357916E-2</v>
      </c>
      <c r="I19" s="3">
        <v>1.4385083984993944E-2</v>
      </c>
      <c r="J19" s="3">
        <v>1.7439457241266824E-2</v>
      </c>
      <c r="K19" s="3">
        <v>1.7751167672111452E-2</v>
      </c>
      <c r="L19" s="3">
        <v>1.9302334066026029E-2</v>
      </c>
      <c r="M19" s="3">
        <v>1.8652328412065006E-2</v>
      </c>
      <c r="N19" s="3">
        <v>2.2725725299334882E-2</v>
      </c>
      <c r="O19" s="3">
        <v>1.9140423901663064E-2</v>
      </c>
      <c r="P19" s="3">
        <v>2.5457192690454405E-2</v>
      </c>
      <c r="Q19" s="3">
        <v>2.048045621830168E-2</v>
      </c>
      <c r="R19" s="3">
        <v>2.7759113026973644E-2</v>
      </c>
      <c r="S19" s="3">
        <v>2.259962150081939E-2</v>
      </c>
      <c r="T19" s="3">
        <v>2.907939710107179E-2</v>
      </c>
      <c r="U19" s="3">
        <v>2.5217342664606346E-2</v>
      </c>
      <c r="V19" s="3">
        <v>3.1302257703269831E-2</v>
      </c>
      <c r="W19" s="3">
        <v>2.6357885367248684E-2</v>
      </c>
      <c r="X19" s="3">
        <v>3.463615542369796E-2</v>
      </c>
      <c r="Y19" s="3">
        <v>2.8804233856917435E-2</v>
      </c>
      <c r="Z19" s="3">
        <v>3.8147907091145454E-2</v>
      </c>
      <c r="AA19" s="3">
        <v>3.9309724026127174E-2</v>
      </c>
      <c r="AB19" s="3">
        <v>4.4488798515799476E-2</v>
      </c>
      <c r="AC19" s="3">
        <v>4.792984619827844E-2</v>
      </c>
      <c r="AD19" s="3">
        <v>5.0088608205711052E-2</v>
      </c>
      <c r="AE19" s="3">
        <v>5.7913454609532261E-2</v>
      </c>
      <c r="AF19" s="3">
        <v>6.0888516304205165E-2</v>
      </c>
      <c r="AG19" s="3">
        <v>5.9967069472016528E-2</v>
      </c>
      <c r="AH19" s="3">
        <v>7.3548762409441124E-2</v>
      </c>
      <c r="AI19" s="3">
        <v>6.3265720475586096E-2</v>
      </c>
      <c r="AJ19" s="3">
        <v>9.4423095300345858E-2</v>
      </c>
      <c r="AK19" s="3">
        <v>0.12824715508668147</v>
      </c>
      <c r="AL19" s="3">
        <v>9.5599606762433398E-2</v>
      </c>
    </row>
    <row r="20" spans="1:38" x14ac:dyDescent="0.35">
      <c r="A20" s="7">
        <v>43101</v>
      </c>
      <c r="B20" s="7">
        <v>43190</v>
      </c>
      <c r="C20" t="s">
        <v>124</v>
      </c>
      <c r="D20" t="s">
        <v>125</v>
      </c>
      <c r="E20" s="4">
        <v>6</v>
      </c>
      <c r="F20" s="3">
        <v>1.4354710843880236E-2</v>
      </c>
      <c r="G20" s="3">
        <v>1.3514300466315894E-2</v>
      </c>
      <c r="H20" s="3">
        <v>1.7340015876603176E-2</v>
      </c>
      <c r="I20" s="3">
        <v>1.5287553075633288E-2</v>
      </c>
      <c r="J20" s="3">
        <v>1.8343677994122679E-2</v>
      </c>
      <c r="K20" s="3">
        <v>1.8711866595613344E-2</v>
      </c>
      <c r="L20" s="3">
        <v>2.0205108654712537E-2</v>
      </c>
      <c r="M20" s="3">
        <v>1.9600622392565027E-2</v>
      </c>
      <c r="N20" s="3">
        <v>2.3686311833625705E-2</v>
      </c>
      <c r="O20" s="3">
        <v>2.0132774067928759E-2</v>
      </c>
      <c r="P20" s="3">
        <v>2.6358899286446989E-2</v>
      </c>
      <c r="Q20" s="3">
        <v>2.1464201327189191E-2</v>
      </c>
      <c r="R20" s="3">
        <v>2.8697114376885581E-2</v>
      </c>
      <c r="S20" s="3">
        <v>2.3529621074183445E-2</v>
      </c>
      <c r="T20" s="3">
        <v>3.0015743625293943E-2</v>
      </c>
      <c r="U20" s="3">
        <v>2.6216862234903306E-2</v>
      </c>
      <c r="V20" s="3">
        <v>3.230073576320746E-2</v>
      </c>
      <c r="W20" s="3">
        <v>2.7262787163677034E-2</v>
      </c>
      <c r="X20" s="3">
        <v>3.561369834049085E-2</v>
      </c>
      <c r="Y20" s="3">
        <v>2.973475792981161E-2</v>
      </c>
      <c r="Z20" s="3">
        <v>3.9087418767790733E-2</v>
      </c>
      <c r="AA20" s="3">
        <v>4.0306843346533047E-2</v>
      </c>
      <c r="AB20" s="3">
        <v>4.5420502837275466E-2</v>
      </c>
      <c r="AC20" s="3">
        <v>4.8884595950778494E-2</v>
      </c>
      <c r="AD20" s="3">
        <v>5.1050407256270192E-2</v>
      </c>
      <c r="AE20" s="3">
        <v>5.8893066680813289E-2</v>
      </c>
      <c r="AF20" s="3">
        <v>6.1864382115662565E-2</v>
      </c>
      <c r="AG20" s="3">
        <v>6.0938529481590481E-2</v>
      </c>
      <c r="AH20" s="3">
        <v>7.449188301553189E-2</v>
      </c>
      <c r="AI20" s="3">
        <v>6.4234623648672856E-2</v>
      </c>
      <c r="AJ20" s="3">
        <v>9.5357824946687292E-2</v>
      </c>
      <c r="AK20" s="3">
        <v>0.1291501469799699</v>
      </c>
      <c r="AL20" s="3">
        <v>9.6550800991794569E-2</v>
      </c>
    </row>
    <row r="21" spans="1:38" x14ac:dyDescent="0.35">
      <c r="A21" s="7">
        <v>43101</v>
      </c>
      <c r="B21" s="7">
        <v>43190</v>
      </c>
      <c r="C21" t="s">
        <v>124</v>
      </c>
      <c r="D21" t="s">
        <v>125</v>
      </c>
      <c r="E21" s="4" t="s">
        <v>73</v>
      </c>
      <c r="F21" s="3">
        <v>1.5312982379720074E-2</v>
      </c>
      <c r="G21" s="3">
        <v>1.4470863826427659E-2</v>
      </c>
      <c r="H21" s="3">
        <v>1.8272189463267363E-2</v>
      </c>
      <c r="I21" s="3">
        <v>1.6251364017709529E-2</v>
      </c>
      <c r="J21" s="3">
        <v>1.9343484503988224E-2</v>
      </c>
      <c r="K21" s="3">
        <v>1.9691342019618512E-2</v>
      </c>
      <c r="L21" s="3">
        <v>2.1162612339023008E-2</v>
      </c>
      <c r="M21" s="3">
        <v>2.0555545551511262E-2</v>
      </c>
      <c r="N21" s="3">
        <v>2.4618632179344738E-2</v>
      </c>
      <c r="O21" s="3">
        <v>2.1106025837637675E-2</v>
      </c>
      <c r="P21" s="3">
        <v>2.7346096550348659E-2</v>
      </c>
      <c r="Q21" s="3">
        <v>2.2377473187230702E-2</v>
      </c>
      <c r="R21" s="3">
        <v>2.9660540987732849E-2</v>
      </c>
      <c r="S21" s="3">
        <v>2.4450464703823917E-2</v>
      </c>
      <c r="T21" s="3">
        <v>3.0969993380739844E-2</v>
      </c>
      <c r="U21" s="3">
        <v>2.7159888659726593E-2</v>
      </c>
      <c r="V21" s="3">
        <v>3.3258205706464358E-2</v>
      </c>
      <c r="W21" s="3">
        <v>2.8245864887336613E-2</v>
      </c>
      <c r="X21" s="3">
        <v>3.6565189098086058E-2</v>
      </c>
      <c r="Y21" s="3">
        <v>3.0693615381737826E-2</v>
      </c>
      <c r="Z21" s="3">
        <v>4.0085669834437107E-2</v>
      </c>
      <c r="AA21" s="3">
        <v>4.122605395002267E-2</v>
      </c>
      <c r="AB21" s="3">
        <v>4.6387327504087472E-2</v>
      </c>
      <c r="AC21" s="3">
        <v>4.9850499388342871E-2</v>
      </c>
      <c r="AD21" s="3">
        <v>5.199554172111405E-2</v>
      </c>
      <c r="AE21" s="3">
        <v>5.9813620383519554E-2</v>
      </c>
      <c r="AF21" s="3">
        <v>6.2833211364047278E-2</v>
      </c>
      <c r="AG21" s="3">
        <v>6.1856344163987477E-2</v>
      </c>
      <c r="AH21" s="3">
        <v>7.5407203055284769E-2</v>
      </c>
      <c r="AI21" s="3">
        <v>6.5160503509014353E-2</v>
      </c>
      <c r="AJ21" s="3">
        <v>9.6303598878923286E-2</v>
      </c>
      <c r="AK21" s="3">
        <v>0.13011849031913039</v>
      </c>
      <c r="AL21" s="3">
        <v>9.7468812547561789E-2</v>
      </c>
    </row>
    <row r="22" spans="1:38" x14ac:dyDescent="0.35">
      <c r="A22" s="7">
        <v>43101</v>
      </c>
      <c r="B22" s="7">
        <v>43190</v>
      </c>
      <c r="C22" t="s">
        <v>124</v>
      </c>
      <c r="D22" t="s">
        <v>125</v>
      </c>
      <c r="E22" s="4" t="s">
        <v>74</v>
      </c>
      <c r="F22" s="3">
        <v>1.6290655936053604E-2</v>
      </c>
      <c r="G22" s="3">
        <v>1.5415482453008581E-2</v>
      </c>
      <c r="H22" s="3">
        <v>1.9192327521774254E-2</v>
      </c>
      <c r="I22" s="3">
        <v>1.7167024517393371E-2</v>
      </c>
      <c r="J22" s="3">
        <v>2.0298200600403268E-2</v>
      </c>
      <c r="K22" s="3">
        <v>2.0669033421348501E-2</v>
      </c>
      <c r="L22" s="3">
        <v>2.2106092157626923E-2</v>
      </c>
      <c r="M22" s="3">
        <v>2.1545130551937467E-2</v>
      </c>
      <c r="N22" s="3">
        <v>2.5578105083387995E-2</v>
      </c>
      <c r="O22" s="3">
        <v>2.204120607577428E-2</v>
      </c>
      <c r="P22" s="3">
        <v>2.8272222742774852E-2</v>
      </c>
      <c r="Q22" s="3">
        <v>2.3288973979576768E-2</v>
      </c>
      <c r="R22" s="3">
        <v>3.0609713962831183E-2</v>
      </c>
      <c r="S22" s="3">
        <v>2.542336786006209E-2</v>
      </c>
      <c r="T22" s="3">
        <v>3.1900284765182828E-2</v>
      </c>
      <c r="U22" s="3">
        <v>2.8116043510631933E-2</v>
      </c>
      <c r="V22" s="3">
        <v>3.4186005067337315E-2</v>
      </c>
      <c r="W22" s="3">
        <v>2.9200134180994541E-2</v>
      </c>
      <c r="X22" s="3">
        <v>3.7472847689605307E-2</v>
      </c>
      <c r="Y22" s="3">
        <v>3.1598365149331155E-2</v>
      </c>
      <c r="Z22" s="3">
        <v>4.1011640450528096E-2</v>
      </c>
      <c r="AA22" s="3">
        <v>4.2220768312793533E-2</v>
      </c>
      <c r="AB22" s="3">
        <v>4.7295568211983774E-2</v>
      </c>
      <c r="AC22" s="3">
        <v>5.0817523142215132E-2</v>
      </c>
      <c r="AD22" s="3">
        <v>5.2934228027242791E-2</v>
      </c>
      <c r="AE22" s="3">
        <v>6.0742569693424418E-2</v>
      </c>
      <c r="AF22" s="3">
        <v>6.3746419203997554E-2</v>
      </c>
      <c r="AG22" s="3">
        <v>6.2804327105100019E-2</v>
      </c>
      <c r="AH22" s="3">
        <v>7.6403550330891065E-2</v>
      </c>
      <c r="AI22" s="3">
        <v>6.6092727841256096E-2</v>
      </c>
      <c r="AJ22" s="3">
        <v>9.7220330762728374E-2</v>
      </c>
      <c r="AK22" s="3">
        <v>0.1310672106212174</v>
      </c>
      <c r="AL22" s="3">
        <v>9.8425010059577878E-2</v>
      </c>
    </row>
    <row r="23" spans="1:38" x14ac:dyDescent="0.35">
      <c r="A23" s="7">
        <v>43101</v>
      </c>
      <c r="B23" s="7">
        <v>43190</v>
      </c>
      <c r="C23" t="s">
        <v>124</v>
      </c>
      <c r="D23" t="s">
        <v>125</v>
      </c>
      <c r="E23" s="4">
        <v>7</v>
      </c>
      <c r="F23" s="3">
        <v>1.7278276553716283E-2</v>
      </c>
      <c r="G23" s="3">
        <v>1.6329177705657585E-2</v>
      </c>
      <c r="H23" s="3">
        <v>2.0099318153345837E-2</v>
      </c>
      <c r="I23" s="3">
        <v>1.8083811526251506E-2</v>
      </c>
      <c r="J23" s="3">
        <v>2.1213419842575455E-2</v>
      </c>
      <c r="K23" s="3">
        <v>2.158380085956102E-2</v>
      </c>
      <c r="L23" s="3">
        <v>2.3092812186156275E-2</v>
      </c>
      <c r="M23" s="3">
        <v>2.2540381363158706E-2</v>
      </c>
      <c r="N23" s="3">
        <v>2.6541323345427748E-2</v>
      </c>
      <c r="O23" s="3">
        <v>2.2991421638006951E-2</v>
      </c>
      <c r="P23" s="3">
        <v>2.9236981442763748E-2</v>
      </c>
      <c r="Q23" s="3">
        <v>2.4234541478731421E-2</v>
      </c>
      <c r="R23" s="3">
        <v>3.1559390111168401E-2</v>
      </c>
      <c r="S23" s="3">
        <v>2.6346904198118623E-2</v>
      </c>
      <c r="T23" s="3">
        <v>3.2816080504292425E-2</v>
      </c>
      <c r="U23" s="3">
        <v>2.9027736685895592E-2</v>
      </c>
      <c r="V23" s="3">
        <v>3.5124858987900853E-2</v>
      </c>
      <c r="W23" s="3">
        <v>3.0144763825180405E-2</v>
      </c>
      <c r="X23" s="3">
        <v>3.8388336794213065E-2</v>
      </c>
      <c r="Y23" s="3">
        <v>3.259125705272968E-2</v>
      </c>
      <c r="Z23" s="3">
        <v>4.1977016347356205E-2</v>
      </c>
      <c r="AA23" s="3">
        <v>4.3209543585266665E-2</v>
      </c>
      <c r="AB23" s="3">
        <v>4.8258125568611837E-2</v>
      </c>
      <c r="AC23" s="3">
        <v>5.1742287354191972E-2</v>
      </c>
      <c r="AD23" s="3">
        <v>5.3887157903794752E-2</v>
      </c>
      <c r="AE23" s="3">
        <v>6.1662762776687488E-2</v>
      </c>
      <c r="AF23" s="3">
        <v>6.4712813964452512E-2</v>
      </c>
      <c r="AG23" s="3">
        <v>6.3782994599508799E-2</v>
      </c>
      <c r="AH23" s="3">
        <v>7.7382315806652655E-2</v>
      </c>
      <c r="AI23" s="3">
        <v>6.7077913935211592E-2</v>
      </c>
      <c r="AJ23" s="3">
        <v>9.8205983513070985E-2</v>
      </c>
      <c r="AK23" s="3">
        <v>0.13197013151438969</v>
      </c>
      <c r="AL23" s="3">
        <v>9.9385016335746867E-2</v>
      </c>
    </row>
    <row r="24" spans="1:38" x14ac:dyDescent="0.35">
      <c r="A24" s="7">
        <v>43101</v>
      </c>
      <c r="B24" s="7">
        <v>43190</v>
      </c>
      <c r="C24" t="s">
        <v>124</v>
      </c>
      <c r="D24" t="s">
        <v>125</v>
      </c>
      <c r="E24" s="4" t="s">
        <v>75</v>
      </c>
      <c r="F24" s="3">
        <v>1.818248827263521E-2</v>
      </c>
      <c r="G24" s="3">
        <v>1.7301753966505143E-2</v>
      </c>
      <c r="H24" s="3">
        <v>2.1026838639232933E-2</v>
      </c>
      <c r="I24" s="3">
        <v>1.9067557852125033E-2</v>
      </c>
      <c r="J24" s="3">
        <v>2.2201709327723484E-2</v>
      </c>
      <c r="K24" s="3">
        <v>2.2550622839863751E-2</v>
      </c>
      <c r="L24" s="3">
        <v>2.4066014601750962E-2</v>
      </c>
      <c r="M24" s="3">
        <v>2.3515759061131503E-2</v>
      </c>
      <c r="N24" s="3">
        <v>2.7527017636710616E-2</v>
      </c>
      <c r="O24" s="3">
        <v>2.39567489982212E-2</v>
      </c>
      <c r="P24" s="3">
        <v>3.0147315452805593E-2</v>
      </c>
      <c r="Q24" s="3">
        <v>2.5200116122030655E-2</v>
      </c>
      <c r="R24" s="3">
        <v>3.2524190394425521E-2</v>
      </c>
      <c r="S24" s="3">
        <v>2.7342902962852914E-2</v>
      </c>
      <c r="T24" s="3">
        <v>3.3756386656798407E-2</v>
      </c>
      <c r="U24" s="3">
        <v>3.0005559472231803E-2</v>
      </c>
      <c r="V24" s="3">
        <v>3.6047358524636863E-2</v>
      </c>
      <c r="W24" s="3">
        <v>3.1140598489951501E-2</v>
      </c>
      <c r="X24" s="3">
        <v>3.9328808699077421E-2</v>
      </c>
      <c r="Y24" s="3">
        <v>3.3560360891625424E-2</v>
      </c>
      <c r="Z24" s="3">
        <v>4.2974746221220002E-2</v>
      </c>
      <c r="AA24" s="3">
        <v>4.4143034001964808E-2</v>
      </c>
      <c r="AB24" s="3">
        <v>4.9196010653543364E-2</v>
      </c>
      <c r="AC24" s="3">
        <v>5.2649617469505111E-2</v>
      </c>
      <c r="AD24" s="3">
        <v>5.4819400436061254E-2</v>
      </c>
      <c r="AE24" s="3">
        <v>6.2639145127280957E-2</v>
      </c>
      <c r="AF24" s="3">
        <v>6.5675499657925518E-2</v>
      </c>
      <c r="AG24" s="3">
        <v>6.4723641932776493E-2</v>
      </c>
      <c r="AH24" s="3">
        <v>7.8313030512954712E-2</v>
      </c>
      <c r="AI24" s="3">
        <v>6.803977311247475E-2</v>
      </c>
      <c r="AJ24" s="3">
        <v>9.9160320959379489E-2</v>
      </c>
      <c r="AK24" s="3">
        <v>0.13292404775594543</v>
      </c>
      <c r="AL24" s="3">
        <v>0.10032571407201984</v>
      </c>
    </row>
    <row r="25" spans="1:38" x14ac:dyDescent="0.35">
      <c r="A25" s="7">
        <v>43101</v>
      </c>
      <c r="B25" s="7">
        <v>43190</v>
      </c>
      <c r="C25" t="s">
        <v>127</v>
      </c>
      <c r="D25" t="s">
        <v>125</v>
      </c>
      <c r="E25" s="4">
        <v>1</v>
      </c>
      <c r="F25" s="3">
        <v>2.3987235415080067E-2</v>
      </c>
      <c r="G25" s="3">
        <v>2.3522336342949562E-2</v>
      </c>
      <c r="H25" s="3">
        <v>2.6904631230141238E-2</v>
      </c>
      <c r="I25" s="3">
        <v>2.5059051771753754E-2</v>
      </c>
      <c r="J25" s="3">
        <v>2.8214931408311057E-2</v>
      </c>
      <c r="K25" s="3">
        <v>2.8265446267055655E-2</v>
      </c>
      <c r="L25" s="3">
        <v>2.9982197143763191E-2</v>
      </c>
      <c r="M25" s="3">
        <v>2.9375022539147158E-2</v>
      </c>
      <c r="N25" s="3">
        <v>3.3507892750587853E-2</v>
      </c>
      <c r="O25" s="3">
        <v>2.9706515013046782E-2</v>
      </c>
      <c r="P25" s="3">
        <v>3.6154611745470945E-2</v>
      </c>
      <c r="Q25" s="3">
        <v>3.1068234094442877E-2</v>
      </c>
      <c r="R25" s="3">
        <v>3.8456126253836605E-2</v>
      </c>
      <c r="S25" s="3">
        <v>3.314272616399698E-2</v>
      </c>
      <c r="T25" s="3">
        <v>3.9907674061615848E-2</v>
      </c>
      <c r="U25" s="3">
        <v>3.5823319048479053E-2</v>
      </c>
      <c r="V25" s="3">
        <v>4.204753562160251E-2</v>
      </c>
      <c r="W25" s="3">
        <v>3.6978029939151655E-2</v>
      </c>
      <c r="X25" s="3">
        <v>4.5194112106792327E-2</v>
      </c>
      <c r="Y25" s="3">
        <v>3.9541921398612769E-2</v>
      </c>
      <c r="Z25" s="3">
        <v>4.8720350031989594E-2</v>
      </c>
      <c r="AA25" s="3">
        <v>4.9938659601285303E-2</v>
      </c>
      <c r="AB25" s="3">
        <v>5.52208891354583E-2</v>
      </c>
      <c r="AC25" s="3">
        <v>5.8598276343003582E-2</v>
      </c>
      <c r="AD25" s="3">
        <v>6.0975244868088717E-2</v>
      </c>
      <c r="AE25" s="3">
        <v>6.863030761393521E-2</v>
      </c>
      <c r="AF25" s="3">
        <v>7.1530260528803763E-2</v>
      </c>
      <c r="AG25" s="3">
        <v>7.0821994417673784E-2</v>
      </c>
      <c r="AH25" s="3">
        <v>8.4201092314036607E-2</v>
      </c>
      <c r="AI25" s="3">
        <v>7.3923580014799817E-2</v>
      </c>
      <c r="AJ25" s="3">
        <v>0.10518899962977327</v>
      </c>
      <c r="AK25" s="3">
        <v>0.13888203667397347</v>
      </c>
      <c r="AL25" s="3">
        <v>0.10638283042429544</v>
      </c>
    </row>
    <row r="26" spans="1:38" x14ac:dyDescent="0.35">
      <c r="A26" s="7">
        <v>43101</v>
      </c>
      <c r="B26" s="7">
        <v>43190</v>
      </c>
      <c r="C26" t="s">
        <v>127</v>
      </c>
      <c r="D26" t="s">
        <v>125</v>
      </c>
      <c r="E26" s="4" t="s">
        <v>64</v>
      </c>
      <c r="F26" s="3">
        <v>2.4955504628306674E-2</v>
      </c>
      <c r="G26" s="3">
        <v>2.444448177337075E-2</v>
      </c>
      <c r="H26" s="3">
        <v>2.7850626606074732E-2</v>
      </c>
      <c r="I26" s="3">
        <v>2.5968925101185338E-2</v>
      </c>
      <c r="J26" s="3">
        <v>2.9133283155749985E-2</v>
      </c>
      <c r="K26" s="3">
        <v>2.9223062002444337E-2</v>
      </c>
      <c r="L26" s="3">
        <v>3.0934115932132966E-2</v>
      </c>
      <c r="M26" s="3">
        <v>3.0280819977680506E-2</v>
      </c>
      <c r="N26" s="3">
        <v>3.4450059642861693E-2</v>
      </c>
      <c r="O26" s="3">
        <v>3.0642785468758395E-2</v>
      </c>
      <c r="P26" s="3">
        <v>3.7118841964526535E-2</v>
      </c>
      <c r="Q26" s="3">
        <v>3.1979868013520547E-2</v>
      </c>
      <c r="R26" s="3">
        <v>3.943933659506163E-2</v>
      </c>
      <c r="S26" s="3">
        <v>3.4073364823084352E-2</v>
      </c>
      <c r="T26" s="3">
        <v>4.0881617977735499E-2</v>
      </c>
      <c r="U26" s="3">
        <v>3.6738906253639451E-2</v>
      </c>
      <c r="V26" s="3">
        <v>4.3018330733574292E-2</v>
      </c>
      <c r="W26" s="3">
        <v>3.7924668227140766E-2</v>
      </c>
      <c r="X26" s="3">
        <v>4.6173292504344779E-2</v>
      </c>
      <c r="Y26" s="3">
        <v>4.0464646138943565E-2</v>
      </c>
      <c r="Z26" s="3">
        <v>4.966396683370107E-2</v>
      </c>
      <c r="AA26" s="3">
        <v>5.0893391600233456E-2</v>
      </c>
      <c r="AB26" s="3">
        <v>5.6139843977245196E-2</v>
      </c>
      <c r="AC26" s="3">
        <v>5.9548496431847793E-2</v>
      </c>
      <c r="AD26" s="3">
        <v>6.1929948312430663E-2</v>
      </c>
      <c r="AE26" s="3">
        <v>6.9537761203292317E-2</v>
      </c>
      <c r="AF26" s="3">
        <v>7.2498060155195498E-2</v>
      </c>
      <c r="AG26" s="3">
        <v>7.1743308851667145E-2</v>
      </c>
      <c r="AH26" s="3">
        <v>8.515983672157254E-2</v>
      </c>
      <c r="AI26" s="3">
        <v>7.4836736383455005E-2</v>
      </c>
      <c r="AJ26" s="3">
        <v>0.10611874012266376</v>
      </c>
      <c r="AK26" s="3">
        <v>0.1398205734558888</v>
      </c>
      <c r="AL26" s="3">
        <v>0.10728480850509567</v>
      </c>
    </row>
    <row r="27" spans="1:38" x14ac:dyDescent="0.35">
      <c r="A27" s="7">
        <v>43101</v>
      </c>
      <c r="B27" s="7">
        <v>43190</v>
      </c>
      <c r="C27" t="s">
        <v>127</v>
      </c>
      <c r="D27" t="s">
        <v>125</v>
      </c>
      <c r="E27" s="4">
        <v>2</v>
      </c>
      <c r="F27" s="3">
        <v>2.5897021899625214E-2</v>
      </c>
      <c r="G27" s="3">
        <v>2.5368915274916439E-2</v>
      </c>
      <c r="H27" s="3">
        <v>2.8848451892030356E-2</v>
      </c>
      <c r="I27" s="3">
        <v>2.6955691162124075E-2</v>
      </c>
      <c r="J27" s="3">
        <v>3.0060131064313003E-2</v>
      </c>
      <c r="K27" s="3">
        <v>3.0198106227038335E-2</v>
      </c>
      <c r="L27" s="3">
        <v>3.1845044629501121E-2</v>
      </c>
      <c r="M27" s="3">
        <v>3.1234643248477845E-2</v>
      </c>
      <c r="N27" s="3">
        <v>3.5382324199331079E-2</v>
      </c>
      <c r="O27" s="3">
        <v>3.1594684077558832E-2</v>
      </c>
      <c r="P27" s="3">
        <v>3.8040547019358752E-2</v>
      </c>
      <c r="Q27" s="3">
        <v>3.2919219200209515E-2</v>
      </c>
      <c r="R27" s="3">
        <v>4.0371166603959771E-2</v>
      </c>
      <c r="S27" s="3">
        <v>3.5041012010300826E-2</v>
      </c>
      <c r="T27" s="3">
        <v>4.183147969235404E-2</v>
      </c>
      <c r="U27" s="3">
        <v>3.7687198648127536E-2</v>
      </c>
      <c r="V27" s="3">
        <v>4.3993338675699427E-2</v>
      </c>
      <c r="W27" s="3">
        <v>3.889088008317966E-2</v>
      </c>
      <c r="X27" s="3">
        <v>4.7140754596639786E-2</v>
      </c>
      <c r="Y27" s="3">
        <v>4.1458963417643241E-2</v>
      </c>
      <c r="Z27" s="3">
        <v>5.0599887843882987E-2</v>
      </c>
      <c r="AA27" s="3">
        <v>5.1867198078455509E-2</v>
      </c>
      <c r="AB27" s="3">
        <v>5.7078492929563476E-2</v>
      </c>
      <c r="AC27" s="3">
        <v>6.0451398081860633E-2</v>
      </c>
      <c r="AD27" s="3">
        <v>6.2845761448320339E-2</v>
      </c>
      <c r="AE27" s="3">
        <v>7.0442675029635429E-2</v>
      </c>
      <c r="AF27" s="3">
        <v>7.3471262341356133E-2</v>
      </c>
      <c r="AG27" s="3">
        <v>7.2721406261892219E-2</v>
      </c>
      <c r="AH27" s="3">
        <v>8.6088969605302601E-2</v>
      </c>
      <c r="AI27" s="3">
        <v>7.5827014311840926E-2</v>
      </c>
      <c r="AJ27" s="3">
        <v>0.10705082647783992</v>
      </c>
      <c r="AK27" s="3">
        <v>0.14076338686442322</v>
      </c>
      <c r="AL27" s="3">
        <v>0.10818762445336724</v>
      </c>
    </row>
    <row r="28" spans="1:38" x14ac:dyDescent="0.35">
      <c r="A28" s="7">
        <v>43101</v>
      </c>
      <c r="B28" s="7">
        <v>43190</v>
      </c>
      <c r="C28" t="s">
        <v>127</v>
      </c>
      <c r="D28" t="s">
        <v>125</v>
      </c>
      <c r="E28" s="4" t="s">
        <v>65</v>
      </c>
      <c r="F28" s="3">
        <v>2.689258804360263E-2</v>
      </c>
      <c r="G28" s="3">
        <v>2.6329308788466756E-2</v>
      </c>
      <c r="H28" s="3">
        <v>2.9819656371274407E-2</v>
      </c>
      <c r="I28" s="3">
        <v>2.7893208213903412E-2</v>
      </c>
      <c r="J28" s="3">
        <v>3.1013264636733276E-2</v>
      </c>
      <c r="K28" s="3">
        <v>3.1135830795126874E-2</v>
      </c>
      <c r="L28" s="3">
        <v>3.2774662475232565E-2</v>
      </c>
      <c r="M28" s="3">
        <v>3.2179747392975015E-2</v>
      </c>
      <c r="N28" s="3">
        <v>3.6293207543458286E-2</v>
      </c>
      <c r="O28" s="3">
        <v>3.2544866915647203E-2</v>
      </c>
      <c r="P28" s="3">
        <v>3.9028482383182128E-2</v>
      </c>
      <c r="Q28" s="3">
        <v>3.3902780731733959E-2</v>
      </c>
      <c r="R28" s="3">
        <v>4.1290724980076222E-2</v>
      </c>
      <c r="S28" s="3">
        <v>3.5959929011024787E-2</v>
      </c>
      <c r="T28" s="3">
        <v>4.2744417994947589E-2</v>
      </c>
      <c r="U28" s="3">
        <v>3.8652317576269621E-2</v>
      </c>
      <c r="V28" s="3">
        <v>4.491348024859057E-2</v>
      </c>
      <c r="W28" s="3">
        <v>3.985025179167466E-2</v>
      </c>
      <c r="X28" s="3">
        <v>4.8122262773781385E-2</v>
      </c>
      <c r="Y28" s="3">
        <v>4.2373228437165705E-2</v>
      </c>
      <c r="Z28" s="3">
        <v>5.1590145397651652E-2</v>
      </c>
      <c r="AA28" s="3">
        <v>5.282068683129517E-2</v>
      </c>
      <c r="AB28" s="3">
        <v>5.8042504808221866E-2</v>
      </c>
      <c r="AC28" s="3">
        <v>6.1366638261812718E-2</v>
      </c>
      <c r="AD28" s="3">
        <v>6.3762272908770123E-2</v>
      </c>
      <c r="AE28" s="3">
        <v>7.1423160064546076E-2</v>
      </c>
      <c r="AF28" s="3">
        <v>7.4429679229339921E-2</v>
      </c>
      <c r="AG28" s="3">
        <v>7.3661021251319486E-2</v>
      </c>
      <c r="AH28" s="3">
        <v>8.7006290793609942E-2</v>
      </c>
      <c r="AI28" s="3">
        <v>7.6762463089604771E-2</v>
      </c>
      <c r="AJ28" s="3">
        <v>0.10799967860014292</v>
      </c>
      <c r="AK28" s="3">
        <v>0.1416933785039842</v>
      </c>
      <c r="AL28" s="3">
        <v>0.10917059404382648</v>
      </c>
    </row>
    <row r="29" spans="1:38" x14ac:dyDescent="0.35">
      <c r="A29" s="7">
        <v>43101</v>
      </c>
      <c r="B29" s="7">
        <v>43190</v>
      </c>
      <c r="C29" t="s">
        <v>127</v>
      </c>
      <c r="D29" t="s">
        <v>125</v>
      </c>
      <c r="E29" s="4" t="s">
        <v>66</v>
      </c>
      <c r="F29" s="3">
        <v>2.7816431623965198E-2</v>
      </c>
      <c r="G29" s="3">
        <v>2.7279758919457921E-2</v>
      </c>
      <c r="H29" s="3">
        <v>3.0808105309173158E-2</v>
      </c>
      <c r="I29" s="3">
        <v>2.8867113852875985E-2</v>
      </c>
      <c r="J29" s="3">
        <v>3.198528788400562E-2</v>
      </c>
      <c r="K29" s="3">
        <v>3.2083926756475457E-2</v>
      </c>
      <c r="L29" s="3">
        <v>3.3760408681570014E-2</v>
      </c>
      <c r="M29" s="3">
        <v>3.313934511733152E-2</v>
      </c>
      <c r="N29" s="3">
        <v>3.7274630476066412E-2</v>
      </c>
      <c r="O29" s="3">
        <v>3.3495680412953484E-2</v>
      </c>
      <c r="P29" s="3">
        <v>3.9990447680038121E-2</v>
      </c>
      <c r="Q29" s="3">
        <v>3.4867473360407804E-2</v>
      </c>
      <c r="R29" s="3">
        <v>4.2253792917843314E-2</v>
      </c>
      <c r="S29" s="3">
        <v>3.6932087503310361E-2</v>
      </c>
      <c r="T29" s="3">
        <v>4.3668036280152658E-2</v>
      </c>
      <c r="U29" s="3">
        <v>3.9594488698087418E-2</v>
      </c>
      <c r="V29" s="3">
        <v>4.5858979945907138E-2</v>
      </c>
      <c r="W29" s="3">
        <v>4.0841963462791439E-2</v>
      </c>
      <c r="X29" s="3">
        <v>4.9025110373458441E-2</v>
      </c>
      <c r="Y29" s="3">
        <v>4.3349523078769728E-2</v>
      </c>
      <c r="Z29" s="3">
        <v>5.2543861718213042E-2</v>
      </c>
      <c r="AA29" s="3">
        <v>5.3733705693309472E-2</v>
      </c>
      <c r="AB29" s="3">
        <v>5.8989763352759905E-2</v>
      </c>
      <c r="AC29" s="3">
        <v>6.2327036642431687E-2</v>
      </c>
      <c r="AD29" s="3">
        <v>6.4690749612420911E-2</v>
      </c>
      <c r="AE29" s="3">
        <v>7.2419860058073882E-2</v>
      </c>
      <c r="AF29" s="3">
        <v>7.5365926051764176E-2</v>
      </c>
      <c r="AG29" s="3">
        <v>7.4587901413566957E-2</v>
      </c>
      <c r="AH29" s="3">
        <v>8.7992861093754621E-2</v>
      </c>
      <c r="AI29" s="3">
        <v>7.7738964897950097E-2</v>
      </c>
      <c r="AJ29" s="3">
        <v>0.10892708483544281</v>
      </c>
      <c r="AK29" s="3">
        <v>0.14269048553650632</v>
      </c>
      <c r="AL29" s="3">
        <v>0.11008402769059558</v>
      </c>
    </row>
    <row r="30" spans="1:38" x14ac:dyDescent="0.35">
      <c r="A30" s="7">
        <v>43101</v>
      </c>
      <c r="B30" s="7">
        <v>43190</v>
      </c>
      <c r="C30" t="s">
        <v>127</v>
      </c>
      <c r="D30" t="s">
        <v>125</v>
      </c>
      <c r="E30" s="4">
        <v>3</v>
      </c>
      <c r="F30" s="3">
        <v>2.8809313229369592E-2</v>
      </c>
      <c r="G30" s="3">
        <v>2.8205970811349713E-2</v>
      </c>
      <c r="H30" s="3">
        <v>3.1799404111945873E-2</v>
      </c>
      <c r="I30" s="3">
        <v>2.9780618839001901E-2</v>
      </c>
      <c r="J30" s="3">
        <v>3.2927313185709302E-2</v>
      </c>
      <c r="K30" s="3">
        <v>3.305855171984963E-2</v>
      </c>
      <c r="L30" s="3">
        <v>3.4707387777530491E-2</v>
      </c>
      <c r="M30" s="3">
        <v>3.4118831932959115E-2</v>
      </c>
      <c r="N30" s="3">
        <v>3.819713920879525E-2</v>
      </c>
      <c r="O30" s="3">
        <v>3.4479170774394739E-2</v>
      </c>
      <c r="P30" s="3">
        <v>4.0981297683726242E-2</v>
      </c>
      <c r="Q30" s="3">
        <v>3.5781588451177515E-2</v>
      </c>
      <c r="R30" s="3">
        <v>4.3192268792738499E-2</v>
      </c>
      <c r="S30" s="3">
        <v>3.7930679296247286E-2</v>
      </c>
      <c r="T30" s="3">
        <v>4.4601194914300653E-2</v>
      </c>
      <c r="U30" s="3">
        <v>4.049763379652771E-2</v>
      </c>
      <c r="V30" s="3">
        <v>4.6767134065234195E-2</v>
      </c>
      <c r="W30" s="3">
        <v>4.176229785278987E-2</v>
      </c>
      <c r="X30" s="3">
        <v>4.9956300324280598E-2</v>
      </c>
      <c r="Y30" s="3">
        <v>4.429224629278198E-2</v>
      </c>
      <c r="Z30" s="3">
        <v>5.3504517540770236E-2</v>
      </c>
      <c r="AA30" s="3">
        <v>5.473032040789113E-2</v>
      </c>
      <c r="AB30" s="3">
        <v>5.9903407085099336E-2</v>
      </c>
      <c r="AC30" s="3">
        <v>6.3289714971796501E-2</v>
      </c>
      <c r="AD30" s="3">
        <v>6.5671491768077572E-2</v>
      </c>
      <c r="AE30" s="3">
        <v>7.3325299562678428E-2</v>
      </c>
      <c r="AF30" s="3">
        <v>7.6270462377958911E-2</v>
      </c>
      <c r="AG30" s="3">
        <v>7.550701855166983E-2</v>
      </c>
      <c r="AH30" s="3">
        <v>8.8920201824883388E-2</v>
      </c>
      <c r="AI30" s="3">
        <v>7.8656346334527172E-2</v>
      </c>
      <c r="AJ30" s="3">
        <v>0.10983415501933932</v>
      </c>
      <c r="AK30" s="3">
        <v>0.14363667660339871</v>
      </c>
      <c r="AL30" s="3">
        <v>0.11098752626621516</v>
      </c>
    </row>
    <row r="31" spans="1:38" x14ac:dyDescent="0.35">
      <c r="A31" s="7">
        <v>43101</v>
      </c>
      <c r="B31" s="7">
        <v>43190</v>
      </c>
      <c r="C31" t="s">
        <v>127</v>
      </c>
      <c r="D31" t="s">
        <v>125</v>
      </c>
      <c r="E31" s="4" t="s">
        <v>67</v>
      </c>
      <c r="F31" s="3">
        <v>2.9758338673687733E-2</v>
      </c>
      <c r="G31" s="3">
        <v>2.911406686037922E-2</v>
      </c>
      <c r="H31" s="3">
        <v>3.2734961535117332E-2</v>
      </c>
      <c r="I31" s="3">
        <v>3.0716483633118977E-2</v>
      </c>
      <c r="J31" s="3">
        <v>3.3846367426793311E-2</v>
      </c>
      <c r="K31" s="3">
        <v>3.401048637147927E-2</v>
      </c>
      <c r="L31" s="3">
        <v>3.5665024302281877E-2</v>
      </c>
      <c r="M31" s="3">
        <v>3.5085829953676567E-2</v>
      </c>
      <c r="N31" s="3">
        <v>3.9100322924584062E-2</v>
      </c>
      <c r="O31" s="3">
        <v>3.5446438544002562E-2</v>
      </c>
      <c r="P31" s="3">
        <v>4.1887358319701071E-2</v>
      </c>
      <c r="Q31" s="3">
        <v>3.6705992518516542E-2</v>
      </c>
      <c r="R31" s="3">
        <v>4.4104972754014864E-2</v>
      </c>
      <c r="S31" s="3">
        <v>3.889079613635419E-2</v>
      </c>
      <c r="T31" s="3">
        <v>4.551730636008014E-2</v>
      </c>
      <c r="U31" s="3">
        <v>4.1481023873773615E-2</v>
      </c>
      <c r="V31" s="3">
        <v>4.7733842563750843E-2</v>
      </c>
      <c r="W31" s="3">
        <v>4.266993852793706E-2</v>
      </c>
      <c r="X31" s="3">
        <v>5.0875780282546468E-2</v>
      </c>
      <c r="Y31" s="3">
        <v>4.5260285664062858E-2</v>
      </c>
      <c r="Z31" s="3">
        <v>5.4447037965201672E-2</v>
      </c>
      <c r="AA31" s="3">
        <v>5.5681929848966048E-2</v>
      </c>
      <c r="AB31" s="3">
        <v>6.0820791014653326E-2</v>
      </c>
      <c r="AC31" s="3">
        <v>6.4225848263291696E-2</v>
      </c>
      <c r="AD31" s="3">
        <v>6.6575165230735006E-2</v>
      </c>
      <c r="AE31" s="3">
        <v>7.4305686528439108E-2</v>
      </c>
      <c r="AF31" s="3">
        <v>7.7233725413743876E-2</v>
      </c>
      <c r="AG31" s="3">
        <v>7.6482815954358518E-2</v>
      </c>
      <c r="AH31" s="3">
        <v>8.9849924185783414E-2</v>
      </c>
      <c r="AI31" s="3">
        <v>7.9643603818231323E-2</v>
      </c>
      <c r="AJ31" s="3">
        <v>0.11079284637867448</v>
      </c>
      <c r="AK31" s="3">
        <v>0.14463408093916622</v>
      </c>
      <c r="AL31" s="3">
        <v>0.11195296391268561</v>
      </c>
    </row>
    <row r="32" spans="1:38" x14ac:dyDescent="0.35">
      <c r="A32" s="7">
        <v>43101</v>
      </c>
      <c r="B32" s="7">
        <v>43190</v>
      </c>
      <c r="C32" t="s">
        <v>127</v>
      </c>
      <c r="D32" t="s">
        <v>125</v>
      </c>
      <c r="E32" s="4" t="s">
        <v>68</v>
      </c>
      <c r="F32" s="3">
        <v>3.0739197622021777E-2</v>
      </c>
      <c r="G32" s="3">
        <v>3.0040112383998872E-2</v>
      </c>
      <c r="H32" s="3">
        <v>3.3642241261176209E-2</v>
      </c>
      <c r="I32" s="3">
        <v>3.1708017045777727E-2</v>
      </c>
      <c r="J32" s="3">
        <v>3.4757571708418505E-2</v>
      </c>
      <c r="K32" s="3">
        <v>3.4966037413180703E-2</v>
      </c>
      <c r="L32" s="3">
        <v>3.665330704473331E-2</v>
      </c>
      <c r="M32" s="3">
        <v>3.6027658446906204E-2</v>
      </c>
      <c r="N32" s="3">
        <v>4.0007721087298886E-2</v>
      </c>
      <c r="O32" s="3">
        <v>3.6405401536441367E-2</v>
      </c>
      <c r="P32" s="3">
        <v>4.2876462331655485E-2</v>
      </c>
      <c r="Q32" s="3">
        <v>3.7671343263786905E-2</v>
      </c>
      <c r="R32" s="3">
        <v>4.5034383018163426E-2</v>
      </c>
      <c r="S32" s="3">
        <v>3.9820873196983936E-2</v>
      </c>
      <c r="T32" s="3">
        <v>4.6433727451292761E-2</v>
      </c>
      <c r="U32" s="3">
        <v>4.2477800013649862E-2</v>
      </c>
      <c r="V32" s="3">
        <v>4.8709102113335692E-2</v>
      </c>
      <c r="W32" s="3">
        <v>4.3657989214654483E-2</v>
      </c>
      <c r="X32" s="3">
        <v>5.1801267945788959E-2</v>
      </c>
      <c r="Y32" s="3">
        <v>4.6207699194427798E-2</v>
      </c>
      <c r="Z32" s="3">
        <v>5.539031245037454E-2</v>
      </c>
      <c r="AA32" s="3">
        <v>5.6653090535508349E-2</v>
      </c>
      <c r="AB32" s="3">
        <v>6.1781201174315112E-2</v>
      </c>
      <c r="AC32" s="3">
        <v>6.5188469893734446E-2</v>
      </c>
      <c r="AD32" s="3">
        <v>6.7480376542508602E-2</v>
      </c>
      <c r="AE32" s="3">
        <v>7.5223518133722272E-2</v>
      </c>
      <c r="AF32" s="3">
        <v>7.8186289388047003E-2</v>
      </c>
      <c r="AG32" s="3">
        <v>7.7406298040132632E-2</v>
      </c>
      <c r="AH32" s="3">
        <v>9.0754335980998135E-2</v>
      </c>
      <c r="AI32" s="3">
        <v>8.0604606311731983E-2</v>
      </c>
      <c r="AJ32" s="3">
        <v>0.11177346034366117</v>
      </c>
      <c r="AK32" s="3">
        <v>0.145582909636502</v>
      </c>
      <c r="AL32" s="3">
        <v>0.11290085140852593</v>
      </c>
    </row>
    <row r="33" spans="1:38" x14ac:dyDescent="0.35">
      <c r="A33" s="7">
        <v>43101</v>
      </c>
      <c r="B33" s="7">
        <v>43190</v>
      </c>
      <c r="C33" t="s">
        <v>127</v>
      </c>
      <c r="D33" t="s">
        <v>125</v>
      </c>
      <c r="E33" s="4">
        <v>4</v>
      </c>
      <c r="F33" s="3">
        <v>3.1687111852765119E-2</v>
      </c>
      <c r="G33" s="3">
        <v>3.0955135834473624E-2</v>
      </c>
      <c r="H33" s="3">
        <v>3.4574657158047514E-2</v>
      </c>
      <c r="I33" s="3">
        <v>3.264948859593711E-2</v>
      </c>
      <c r="J33" s="3">
        <v>3.5728649950114238E-2</v>
      </c>
      <c r="K33" s="3">
        <v>3.5933984380575962E-2</v>
      </c>
      <c r="L33" s="3">
        <v>3.7600776368188246E-2</v>
      </c>
      <c r="M33" s="3">
        <v>3.6930131542778522E-2</v>
      </c>
      <c r="N33" s="3">
        <v>4.0946966069131611E-2</v>
      </c>
      <c r="O33" s="3">
        <v>3.7338873967426633E-2</v>
      </c>
      <c r="P33" s="3">
        <v>4.3856967046642346E-2</v>
      </c>
      <c r="Q33" s="3">
        <v>3.8664872848888504E-2</v>
      </c>
      <c r="R33" s="3">
        <v>4.5977525764767102E-2</v>
      </c>
      <c r="S33" s="3">
        <v>4.0791025093767294E-2</v>
      </c>
      <c r="T33" s="3">
        <v>4.7378022305578263E-2</v>
      </c>
      <c r="U33" s="3">
        <v>4.3468649631014294E-2</v>
      </c>
      <c r="V33" s="3">
        <v>4.9666048141618874E-2</v>
      </c>
      <c r="W33" s="3">
        <v>4.4580033371126336E-2</v>
      </c>
      <c r="X33" s="3">
        <v>5.2741895793428757E-2</v>
      </c>
      <c r="Y33" s="3">
        <v>4.7140618258473627E-2</v>
      </c>
      <c r="Z33" s="3">
        <v>5.6390188726632123E-2</v>
      </c>
      <c r="AA33" s="3">
        <v>5.7575139555686147E-2</v>
      </c>
      <c r="AB33" s="3">
        <v>6.2705172164359751E-2</v>
      </c>
      <c r="AC33" s="3">
        <v>6.6171971954915601E-2</v>
      </c>
      <c r="AD33" s="3">
        <v>6.8385210637260108E-2</v>
      </c>
      <c r="AE33" s="3">
        <v>7.6193441864314981E-2</v>
      </c>
      <c r="AF33" s="3">
        <v>7.9117816364555241E-2</v>
      </c>
      <c r="AG33" s="3">
        <v>7.8348939251239008E-2</v>
      </c>
      <c r="AH33" s="3">
        <v>9.1749052053499314E-2</v>
      </c>
      <c r="AI33" s="3">
        <v>8.157193873236937E-2</v>
      </c>
      <c r="AJ33" s="3">
        <v>0.11271542279930774</v>
      </c>
      <c r="AK33" s="3">
        <v>0.14656655400287086</v>
      </c>
      <c r="AL33" s="3">
        <v>0.11381786190012677</v>
      </c>
    </row>
    <row r="34" spans="1:38" x14ac:dyDescent="0.35">
      <c r="A34" s="7">
        <v>43101</v>
      </c>
      <c r="B34" s="7">
        <v>43190</v>
      </c>
      <c r="C34" t="s">
        <v>127</v>
      </c>
      <c r="D34" t="s">
        <v>125</v>
      </c>
      <c r="E34" s="4" t="s">
        <v>69</v>
      </c>
      <c r="F34" s="3">
        <v>3.266334066424207E-2</v>
      </c>
      <c r="G34" s="3">
        <v>3.1856784187710131E-2</v>
      </c>
      <c r="H34" s="3">
        <v>3.5516670482588143E-2</v>
      </c>
      <c r="I34" s="3">
        <v>3.3613877354440144E-2</v>
      </c>
      <c r="J34" s="3">
        <v>3.6665005216227523E-2</v>
      </c>
      <c r="K34" s="3">
        <v>3.689698684478343E-2</v>
      </c>
      <c r="L34" s="3">
        <v>3.8517567647322296E-2</v>
      </c>
      <c r="M34" s="3">
        <v>3.791389821299445E-2</v>
      </c>
      <c r="N34" s="3">
        <v>4.190264094680117E-2</v>
      </c>
      <c r="O34" s="3">
        <v>3.8285534809126984E-2</v>
      </c>
      <c r="P34" s="3">
        <v>4.4782291759152264E-2</v>
      </c>
      <c r="Q34" s="3">
        <v>3.9628695589264143E-2</v>
      </c>
      <c r="R34" s="3">
        <v>4.691445965152484E-2</v>
      </c>
      <c r="S34" s="3">
        <v>4.1763060110870456E-2</v>
      </c>
      <c r="T34" s="3">
        <v>4.8316843693128622E-2</v>
      </c>
      <c r="U34" s="3">
        <v>4.4445309033417466E-2</v>
      </c>
      <c r="V34" s="3">
        <v>5.0583538133656125E-2</v>
      </c>
      <c r="W34" s="3">
        <v>4.5500495259273382E-2</v>
      </c>
      <c r="X34" s="3">
        <v>5.3730557773519358E-2</v>
      </c>
      <c r="Y34" s="3">
        <v>4.8049873203161494E-2</v>
      </c>
      <c r="Z34" s="3">
        <v>5.7380516132835013E-2</v>
      </c>
      <c r="AA34" s="3">
        <v>5.8536616039588887E-2</v>
      </c>
      <c r="AB34" s="3">
        <v>6.3674492333929994E-2</v>
      </c>
      <c r="AC34" s="3">
        <v>6.7144902683848123E-2</v>
      </c>
      <c r="AD34" s="3">
        <v>6.9289604606180166E-2</v>
      </c>
      <c r="AE34" s="3">
        <v>7.718096016562824E-2</v>
      </c>
      <c r="AF34" s="3">
        <v>8.0053919066883E-2</v>
      </c>
      <c r="AG34" s="3">
        <v>7.9257482062810913E-2</v>
      </c>
      <c r="AH34" s="3">
        <v>9.2699819231343877E-2</v>
      </c>
      <c r="AI34" s="3">
        <v>8.25627765454887E-2</v>
      </c>
      <c r="AJ34" s="3">
        <v>0.11370780016976628</v>
      </c>
      <c r="AK34" s="3">
        <v>0.14751313615786119</v>
      </c>
      <c r="AL34" s="3">
        <v>0.11473276764506546</v>
      </c>
    </row>
    <row r="35" spans="1:38" x14ac:dyDescent="0.35">
      <c r="A35" s="7">
        <v>43101</v>
      </c>
      <c r="B35" s="7">
        <v>43190</v>
      </c>
      <c r="C35" t="s">
        <v>127</v>
      </c>
      <c r="D35" t="s">
        <v>125</v>
      </c>
      <c r="E35" s="4" t="s">
        <v>70</v>
      </c>
      <c r="F35" s="3">
        <v>3.3615006950827517E-2</v>
      </c>
      <c r="G35" s="3">
        <v>3.2762917695688953E-2</v>
      </c>
      <c r="H35" s="3">
        <v>3.6502258168549954E-2</v>
      </c>
      <c r="I35" s="3">
        <v>3.4532143139689067E-2</v>
      </c>
      <c r="J35" s="3">
        <v>3.7610253000537969E-2</v>
      </c>
      <c r="K35" s="3">
        <v>3.7871243633954575E-2</v>
      </c>
      <c r="L35" s="3">
        <v>3.9506458227018357E-2</v>
      </c>
      <c r="M35" s="3">
        <v>3.8822139340595883E-2</v>
      </c>
      <c r="N35" s="3">
        <v>4.2879240678301116E-2</v>
      </c>
      <c r="O35" s="3">
        <v>3.9241603607676742E-2</v>
      </c>
      <c r="P35" s="3">
        <v>4.5699213581187004E-2</v>
      </c>
      <c r="Q35" s="3">
        <v>4.0624472251490892E-2</v>
      </c>
      <c r="R35" s="3">
        <v>4.7870656963362825E-2</v>
      </c>
      <c r="S35" s="3">
        <v>4.2729596604833865E-2</v>
      </c>
      <c r="T35" s="3">
        <v>4.9228818340475294E-2</v>
      </c>
      <c r="U35" s="3">
        <v>4.535246821018224E-2</v>
      </c>
      <c r="V35" s="3">
        <v>5.1513458477405225E-2</v>
      </c>
      <c r="W35" s="3">
        <v>4.6496463931347889E-2</v>
      </c>
      <c r="X35" s="3">
        <v>5.4710259660029049E-2</v>
      </c>
      <c r="Y35" s="3">
        <v>4.9007331566039355E-2</v>
      </c>
      <c r="Z35" s="3">
        <v>5.829873154372793E-2</v>
      </c>
      <c r="AA35" s="3">
        <v>5.946778808059016E-2</v>
      </c>
      <c r="AB35" s="3">
        <v>6.460944775868252E-2</v>
      </c>
      <c r="AC35" s="3">
        <v>6.8068521925419873E-2</v>
      </c>
      <c r="AD35" s="3">
        <v>7.0195598965229256E-2</v>
      </c>
      <c r="AE35" s="3">
        <v>7.8159910045503073E-2</v>
      </c>
      <c r="AF35" s="3">
        <v>8.1012610411531932E-2</v>
      </c>
      <c r="AG35" s="3">
        <v>8.0181077966933217E-2</v>
      </c>
      <c r="AH35" s="3">
        <v>9.3688238977401223E-2</v>
      </c>
      <c r="AI35" s="3">
        <v>8.347815920848603E-2</v>
      </c>
      <c r="AJ35" s="3">
        <v>0.11461490997768822</v>
      </c>
      <c r="AK35" s="3">
        <v>0.14843690456744629</v>
      </c>
      <c r="AL35" s="3">
        <v>0.11571679418624389</v>
      </c>
    </row>
    <row r="36" spans="1:38" x14ac:dyDescent="0.35">
      <c r="A36" s="7">
        <v>43101</v>
      </c>
      <c r="B36" s="7">
        <v>43190</v>
      </c>
      <c r="C36" t="s">
        <v>127</v>
      </c>
      <c r="D36" t="s">
        <v>125</v>
      </c>
      <c r="E36" s="4">
        <v>5</v>
      </c>
      <c r="F36" s="3">
        <v>3.4537034616341951E-2</v>
      </c>
      <c r="G36" s="3">
        <v>3.3701871493965599E-2</v>
      </c>
      <c r="H36" s="3">
        <v>3.7445141600718851E-2</v>
      </c>
      <c r="I36" s="3">
        <v>3.5501354570931676E-2</v>
      </c>
      <c r="J36" s="3">
        <v>3.8587162076532108E-2</v>
      </c>
      <c r="K36" s="3">
        <v>3.8857435763598305E-2</v>
      </c>
      <c r="L36" s="3">
        <v>4.0430411032710389E-2</v>
      </c>
      <c r="M36" s="3">
        <v>3.9758382469180051E-2</v>
      </c>
      <c r="N36" s="3">
        <v>4.3798630295579261E-2</v>
      </c>
      <c r="O36" s="3">
        <v>4.0204003559376603E-2</v>
      </c>
      <c r="P36" s="3">
        <v>4.6607872187442723E-2</v>
      </c>
      <c r="Q36" s="3">
        <v>4.1617434133182266E-2</v>
      </c>
      <c r="R36" s="3">
        <v>4.8787960327398794E-2</v>
      </c>
      <c r="S36" s="3">
        <v>4.3703405383414301E-2</v>
      </c>
      <c r="T36" s="3">
        <v>5.0149752994239301E-2</v>
      </c>
      <c r="U36" s="3">
        <v>4.6294855162885611E-2</v>
      </c>
      <c r="V36" s="3">
        <v>5.2445158938770949E-2</v>
      </c>
      <c r="W36" s="3">
        <v>4.7435172399565143E-2</v>
      </c>
      <c r="X36" s="3">
        <v>5.5687938236702893E-2</v>
      </c>
      <c r="Y36" s="3">
        <v>4.9914191192636459E-2</v>
      </c>
      <c r="Z36" s="3">
        <v>5.9274350429703734E-2</v>
      </c>
      <c r="AA36" s="3">
        <v>6.0416623636127195E-2</v>
      </c>
      <c r="AB36" s="3">
        <v>6.5529849427629183E-2</v>
      </c>
      <c r="AC36" s="3">
        <v>6.9045960511612783E-2</v>
      </c>
      <c r="AD36" s="3">
        <v>7.1128988861040549E-2</v>
      </c>
      <c r="AE36" s="3">
        <v>7.9095845061382758E-2</v>
      </c>
      <c r="AF36" s="3">
        <v>8.1952002646676111E-2</v>
      </c>
      <c r="AG36" s="3">
        <v>8.1096016217194394E-2</v>
      </c>
      <c r="AH36" s="3">
        <v>9.4637865264380838E-2</v>
      </c>
      <c r="AI36" s="3">
        <v>8.4439136470290402E-2</v>
      </c>
      <c r="AJ36" s="3">
        <v>0.11555517391392323</v>
      </c>
      <c r="AK36" s="3">
        <v>0.14937465627533181</v>
      </c>
      <c r="AL36" s="3">
        <v>0.11663023727481434</v>
      </c>
    </row>
    <row r="37" spans="1:38" x14ac:dyDescent="0.35">
      <c r="A37" s="7">
        <v>43101</v>
      </c>
      <c r="B37" s="7">
        <v>43190</v>
      </c>
      <c r="C37" t="s">
        <v>127</v>
      </c>
      <c r="D37" t="s">
        <v>125</v>
      </c>
      <c r="E37" s="4" t="s">
        <v>71</v>
      </c>
      <c r="F37" s="3">
        <v>3.545224753299351E-2</v>
      </c>
      <c r="G37" s="3">
        <v>3.4654426749807149E-2</v>
      </c>
      <c r="H37" s="3">
        <v>3.8363432166752955E-2</v>
      </c>
      <c r="I37" s="3">
        <v>3.6483817499054612E-2</v>
      </c>
      <c r="J37" s="3">
        <v>3.9515522119146912E-2</v>
      </c>
      <c r="K37" s="3">
        <v>3.9823752741559956E-2</v>
      </c>
      <c r="L37" s="3">
        <v>4.1378703526991807E-2</v>
      </c>
      <c r="M37" s="3">
        <v>4.0729505019661452E-2</v>
      </c>
      <c r="N37" s="3">
        <v>4.4743765763705465E-2</v>
      </c>
      <c r="O37" s="3">
        <v>4.1147549646481915E-2</v>
      </c>
      <c r="P37" s="3">
        <v>4.7550369849464022E-2</v>
      </c>
      <c r="Q37" s="3">
        <v>4.2553807159928722E-2</v>
      </c>
      <c r="R37" s="3">
        <v>4.9760856877947637E-2</v>
      </c>
      <c r="S37" s="3">
        <v>4.4632661459234696E-2</v>
      </c>
      <c r="T37" s="3">
        <v>5.1146085451574459E-2</v>
      </c>
      <c r="U37" s="3">
        <v>4.7256183992917526E-2</v>
      </c>
      <c r="V37" s="3">
        <v>5.3377722287246611E-2</v>
      </c>
      <c r="W37" s="3">
        <v>4.8363475537645861E-2</v>
      </c>
      <c r="X37" s="3">
        <v>5.6639852635564363E-2</v>
      </c>
      <c r="Y37" s="3">
        <v>5.0890286602368898E-2</v>
      </c>
      <c r="Z37" s="3">
        <v>6.0238787352116498E-2</v>
      </c>
      <c r="AA37" s="3">
        <v>6.1342734437073866E-2</v>
      </c>
      <c r="AB37" s="3">
        <v>6.6497644430090957E-2</v>
      </c>
      <c r="AC37" s="3">
        <v>6.9991828499182507E-2</v>
      </c>
      <c r="AD37" s="3">
        <v>7.2106986994260963E-2</v>
      </c>
      <c r="AE37" s="3">
        <v>7.9996109513219116E-2</v>
      </c>
      <c r="AF37" s="3">
        <v>8.2944347119404849E-2</v>
      </c>
      <c r="AG37" s="3">
        <v>8.2024576265395138E-2</v>
      </c>
      <c r="AH37" s="3">
        <v>9.5586131170948857E-2</v>
      </c>
      <c r="AI37" s="3">
        <v>8.5356007964590058E-2</v>
      </c>
      <c r="AJ37" s="3">
        <v>0.11649176413878909</v>
      </c>
      <c r="AK37" s="3">
        <v>0.15033627909692013</v>
      </c>
      <c r="AL37" s="3">
        <v>0.11762032111917292</v>
      </c>
    </row>
    <row r="38" spans="1:38" x14ac:dyDescent="0.35">
      <c r="A38" s="7">
        <v>43101</v>
      </c>
      <c r="B38" s="7">
        <v>43190</v>
      </c>
      <c r="C38" t="s">
        <v>127</v>
      </c>
      <c r="D38" t="s">
        <v>125</v>
      </c>
      <c r="E38" s="4" t="s">
        <v>72</v>
      </c>
      <c r="F38" s="3">
        <v>3.6450044671522949E-2</v>
      </c>
      <c r="G38" s="3">
        <v>3.5597382233771228E-2</v>
      </c>
      <c r="H38" s="3">
        <v>3.9342643582357915E-2</v>
      </c>
      <c r="I38" s="3">
        <v>3.7385083984993947E-2</v>
      </c>
      <c r="J38" s="3">
        <v>4.0439457241266824E-2</v>
      </c>
      <c r="K38" s="3">
        <v>4.0751167672111455E-2</v>
      </c>
      <c r="L38" s="3">
        <v>4.2302334066026029E-2</v>
      </c>
      <c r="M38" s="3">
        <v>4.1652328412065009E-2</v>
      </c>
      <c r="N38" s="3">
        <v>4.5725725299334885E-2</v>
      </c>
      <c r="O38" s="3">
        <v>4.214042390166306E-2</v>
      </c>
      <c r="P38" s="3">
        <v>4.8457192690454405E-2</v>
      </c>
      <c r="Q38" s="3">
        <v>4.3480456218301683E-2</v>
      </c>
      <c r="R38" s="3">
        <v>5.075911302697364E-2</v>
      </c>
      <c r="S38" s="3">
        <v>4.5599621500819393E-2</v>
      </c>
      <c r="T38" s="3">
        <v>5.2079397101071789E-2</v>
      </c>
      <c r="U38" s="3">
        <v>4.8217342664606345E-2</v>
      </c>
      <c r="V38" s="3">
        <v>5.4302257703269831E-2</v>
      </c>
      <c r="W38" s="3">
        <v>4.935788536724868E-2</v>
      </c>
      <c r="X38" s="3">
        <v>5.763615542369796E-2</v>
      </c>
      <c r="Y38" s="3">
        <v>5.1804233856917431E-2</v>
      </c>
      <c r="Z38" s="3">
        <v>6.1147907091145454E-2</v>
      </c>
      <c r="AA38" s="3">
        <v>6.2309724026127174E-2</v>
      </c>
      <c r="AB38" s="3">
        <v>6.7488798515799475E-2</v>
      </c>
      <c r="AC38" s="3">
        <v>7.092984619827844E-2</v>
      </c>
      <c r="AD38" s="3">
        <v>7.3088608205711059E-2</v>
      </c>
      <c r="AE38" s="3">
        <v>8.0913454609532254E-2</v>
      </c>
      <c r="AF38" s="3">
        <v>8.3888516304205157E-2</v>
      </c>
      <c r="AG38" s="3">
        <v>8.2967069472016527E-2</v>
      </c>
      <c r="AH38" s="3">
        <v>9.654876240944113E-2</v>
      </c>
      <c r="AI38" s="3">
        <v>8.6265720475586088E-2</v>
      </c>
      <c r="AJ38" s="3">
        <v>0.11742309530034586</v>
      </c>
      <c r="AK38" s="3">
        <v>0.15124715508668146</v>
      </c>
      <c r="AL38" s="3">
        <v>0.11859960676243339</v>
      </c>
    </row>
    <row r="39" spans="1:38" x14ac:dyDescent="0.35">
      <c r="A39" s="7">
        <v>43101</v>
      </c>
      <c r="B39" s="7">
        <v>43190</v>
      </c>
      <c r="C39" t="s">
        <v>127</v>
      </c>
      <c r="D39" t="s">
        <v>125</v>
      </c>
      <c r="E39" s="4">
        <v>6</v>
      </c>
      <c r="F39" s="3">
        <v>3.7354710843880236E-2</v>
      </c>
      <c r="G39" s="3">
        <v>3.6514300466315895E-2</v>
      </c>
      <c r="H39" s="3">
        <v>4.0340015876603172E-2</v>
      </c>
      <c r="I39" s="3">
        <v>3.8287553075633286E-2</v>
      </c>
      <c r="J39" s="3">
        <v>4.1343677994122682E-2</v>
      </c>
      <c r="K39" s="3">
        <v>4.1711866595613344E-2</v>
      </c>
      <c r="L39" s="3">
        <v>4.320510865471254E-2</v>
      </c>
      <c r="M39" s="3">
        <v>4.2600622392565027E-2</v>
      </c>
      <c r="N39" s="3">
        <v>4.6686311833625704E-2</v>
      </c>
      <c r="O39" s="3">
        <v>4.3132774067928759E-2</v>
      </c>
      <c r="P39" s="3">
        <v>4.9358899286446989E-2</v>
      </c>
      <c r="Q39" s="3">
        <v>4.4464201327189187E-2</v>
      </c>
      <c r="R39" s="3">
        <v>5.1697114376885581E-2</v>
      </c>
      <c r="S39" s="3">
        <v>4.6529621074183444E-2</v>
      </c>
      <c r="T39" s="3">
        <v>5.3015743625293946E-2</v>
      </c>
      <c r="U39" s="3">
        <v>4.9216862234903305E-2</v>
      </c>
      <c r="V39" s="3">
        <v>5.5300735763207459E-2</v>
      </c>
      <c r="W39" s="3">
        <v>5.0262787163677033E-2</v>
      </c>
      <c r="X39" s="3">
        <v>5.861369834049085E-2</v>
      </c>
      <c r="Y39" s="3">
        <v>5.273475792981161E-2</v>
      </c>
      <c r="Z39" s="3">
        <v>6.2087418767790732E-2</v>
      </c>
      <c r="AA39" s="3">
        <v>6.3306843346533054E-2</v>
      </c>
      <c r="AB39" s="3">
        <v>6.8420502837275465E-2</v>
      </c>
      <c r="AC39" s="3">
        <v>7.1884595950778493E-2</v>
      </c>
      <c r="AD39" s="3">
        <v>7.4050407256270184E-2</v>
      </c>
      <c r="AE39" s="3">
        <v>8.1893066680813281E-2</v>
      </c>
      <c r="AF39" s="3">
        <v>8.4864382115662565E-2</v>
      </c>
      <c r="AG39" s="3">
        <v>8.3938529481590474E-2</v>
      </c>
      <c r="AH39" s="3">
        <v>9.7491883015531883E-2</v>
      </c>
      <c r="AI39" s="3">
        <v>8.7234623648672849E-2</v>
      </c>
      <c r="AJ39" s="3">
        <v>0.11835782494668728</v>
      </c>
      <c r="AK39" s="3">
        <v>0.1521501469799699</v>
      </c>
      <c r="AL39" s="3">
        <v>0.11955080099179458</v>
      </c>
    </row>
    <row r="40" spans="1:38" x14ac:dyDescent="0.35">
      <c r="A40" s="7">
        <v>43101</v>
      </c>
      <c r="B40" s="7">
        <v>43190</v>
      </c>
      <c r="C40" t="s">
        <v>127</v>
      </c>
      <c r="D40" t="s">
        <v>125</v>
      </c>
      <c r="E40" s="4" t="s">
        <v>73</v>
      </c>
      <c r="F40" s="3">
        <v>3.831298237972007E-2</v>
      </c>
      <c r="G40" s="3">
        <v>3.7470863826427656E-2</v>
      </c>
      <c r="H40" s="3">
        <v>4.1272189463267363E-2</v>
      </c>
      <c r="I40" s="3">
        <v>3.9251364017709525E-2</v>
      </c>
      <c r="J40" s="3">
        <v>4.2343484503988227E-2</v>
      </c>
      <c r="K40" s="3">
        <v>4.2691342019618508E-2</v>
      </c>
      <c r="L40" s="3">
        <v>4.4162612339023008E-2</v>
      </c>
      <c r="M40" s="3">
        <v>4.3555545551511261E-2</v>
      </c>
      <c r="N40" s="3">
        <v>4.7618632179344741E-2</v>
      </c>
      <c r="O40" s="3">
        <v>4.4106025837637675E-2</v>
      </c>
      <c r="P40" s="3">
        <v>5.0346096550348662E-2</v>
      </c>
      <c r="Q40" s="3">
        <v>4.5377473187230705E-2</v>
      </c>
      <c r="R40" s="3">
        <v>5.2660540987732846E-2</v>
      </c>
      <c r="S40" s="3">
        <v>4.7450464703823914E-2</v>
      </c>
      <c r="T40" s="3">
        <v>5.3969993380739843E-2</v>
      </c>
      <c r="U40" s="3">
        <v>5.0159888659726592E-2</v>
      </c>
      <c r="V40" s="3">
        <v>5.6258205706464358E-2</v>
      </c>
      <c r="W40" s="3">
        <v>5.1245864887336609E-2</v>
      </c>
      <c r="X40" s="3">
        <v>5.9565189098086058E-2</v>
      </c>
      <c r="Y40" s="3">
        <v>5.3693615381737822E-2</v>
      </c>
      <c r="Z40" s="3">
        <v>6.3085669834437114E-2</v>
      </c>
      <c r="AA40" s="3">
        <v>6.4226053950022677E-2</v>
      </c>
      <c r="AB40" s="3">
        <v>6.9387327504087465E-2</v>
      </c>
      <c r="AC40" s="3">
        <v>7.2850499388342871E-2</v>
      </c>
      <c r="AD40" s="3">
        <v>7.4995541721114056E-2</v>
      </c>
      <c r="AE40" s="3">
        <v>8.2813620383519554E-2</v>
      </c>
      <c r="AF40" s="3">
        <v>8.5833211364047285E-2</v>
      </c>
      <c r="AG40" s="3">
        <v>8.4856344163987477E-2</v>
      </c>
      <c r="AH40" s="3">
        <v>9.8407203055284775E-2</v>
      </c>
      <c r="AI40" s="3">
        <v>8.816050350901436E-2</v>
      </c>
      <c r="AJ40" s="3">
        <v>0.11930359887892328</v>
      </c>
      <c r="AK40" s="3">
        <v>0.15311849031913038</v>
      </c>
      <c r="AL40" s="3">
        <v>0.12046881254756178</v>
      </c>
    </row>
    <row r="41" spans="1:38" x14ac:dyDescent="0.35">
      <c r="A41" s="7">
        <v>43101</v>
      </c>
      <c r="B41" s="7">
        <v>43190</v>
      </c>
      <c r="C41" t="s">
        <v>127</v>
      </c>
      <c r="D41" t="s">
        <v>125</v>
      </c>
      <c r="E41" s="4" t="s">
        <v>74</v>
      </c>
      <c r="F41" s="3">
        <v>3.9290655936053603E-2</v>
      </c>
      <c r="G41" s="3">
        <v>3.8415482453008583E-2</v>
      </c>
      <c r="H41" s="3">
        <v>4.219232752177425E-2</v>
      </c>
      <c r="I41" s="3">
        <v>4.0167024517393374E-2</v>
      </c>
      <c r="J41" s="3">
        <v>4.3298200600403264E-2</v>
      </c>
      <c r="K41" s="3">
        <v>4.3669033421348501E-2</v>
      </c>
      <c r="L41" s="3">
        <v>4.5106092157626926E-2</v>
      </c>
      <c r="M41" s="3">
        <v>4.454513055193747E-2</v>
      </c>
      <c r="N41" s="3">
        <v>4.8578105083387994E-2</v>
      </c>
      <c r="O41" s="3">
        <v>4.5041206075774276E-2</v>
      </c>
      <c r="P41" s="3">
        <v>5.1272222742774848E-2</v>
      </c>
      <c r="Q41" s="3">
        <v>4.6288973979576764E-2</v>
      </c>
      <c r="R41" s="3">
        <v>5.3609713962831179E-2</v>
      </c>
      <c r="S41" s="3">
        <v>4.8423367860062086E-2</v>
      </c>
      <c r="T41" s="3">
        <v>5.4900284765182827E-2</v>
      </c>
      <c r="U41" s="3">
        <v>5.1116043510631932E-2</v>
      </c>
      <c r="V41" s="3">
        <v>5.7186005067337314E-2</v>
      </c>
      <c r="W41" s="3">
        <v>5.2200134180994541E-2</v>
      </c>
      <c r="X41" s="3">
        <v>6.0472847689605307E-2</v>
      </c>
      <c r="Y41" s="3">
        <v>5.4598365149331154E-2</v>
      </c>
      <c r="Z41" s="3">
        <v>6.4011640450528096E-2</v>
      </c>
      <c r="AA41" s="3">
        <v>6.5220768312793526E-2</v>
      </c>
      <c r="AB41" s="3">
        <v>7.0295568211983767E-2</v>
      </c>
      <c r="AC41" s="3">
        <v>7.3817523142215125E-2</v>
      </c>
      <c r="AD41" s="3">
        <v>7.5934228027242784E-2</v>
      </c>
      <c r="AE41" s="3">
        <v>8.3742569693424418E-2</v>
      </c>
      <c r="AF41" s="3">
        <v>8.674641920399756E-2</v>
      </c>
      <c r="AG41" s="3">
        <v>8.5804327105100026E-2</v>
      </c>
      <c r="AH41" s="3">
        <v>9.9403550330891072E-2</v>
      </c>
      <c r="AI41" s="3">
        <v>8.9092727841256103E-2</v>
      </c>
      <c r="AJ41" s="3">
        <v>0.12022033076272837</v>
      </c>
      <c r="AK41" s="3">
        <v>0.15406721062121739</v>
      </c>
      <c r="AL41" s="3">
        <v>0.12142501005957787</v>
      </c>
    </row>
    <row r="42" spans="1:38" x14ac:dyDescent="0.35">
      <c r="A42" s="7">
        <v>43101</v>
      </c>
      <c r="B42" s="7">
        <v>43190</v>
      </c>
      <c r="C42" t="s">
        <v>127</v>
      </c>
      <c r="D42" t="s">
        <v>125</v>
      </c>
      <c r="E42" s="4">
        <v>7</v>
      </c>
      <c r="F42" s="3">
        <v>4.0278276553716283E-2</v>
      </c>
      <c r="G42" s="3">
        <v>3.9329177705657581E-2</v>
      </c>
      <c r="H42" s="3">
        <v>4.3099318153345834E-2</v>
      </c>
      <c r="I42" s="3">
        <v>4.1083811526251506E-2</v>
      </c>
      <c r="J42" s="3">
        <v>4.4213419842575458E-2</v>
      </c>
      <c r="K42" s="3">
        <v>4.4583800859561019E-2</v>
      </c>
      <c r="L42" s="3">
        <v>4.6092812186156275E-2</v>
      </c>
      <c r="M42" s="3">
        <v>4.5540381363158702E-2</v>
      </c>
      <c r="N42" s="3">
        <v>4.9541323345427747E-2</v>
      </c>
      <c r="O42" s="3">
        <v>4.599142163800695E-2</v>
      </c>
      <c r="P42" s="3">
        <v>5.2236981442763744E-2</v>
      </c>
      <c r="Q42" s="3">
        <v>4.7234541478731421E-2</v>
      </c>
      <c r="R42" s="3">
        <v>5.45593901111684E-2</v>
      </c>
      <c r="S42" s="3">
        <v>4.9346904198118623E-2</v>
      </c>
      <c r="T42" s="3">
        <v>5.5816080504292424E-2</v>
      </c>
      <c r="U42" s="3">
        <v>5.2027736685895595E-2</v>
      </c>
      <c r="V42" s="3">
        <v>5.8124858987900853E-2</v>
      </c>
      <c r="W42" s="3">
        <v>5.3144763825180408E-2</v>
      </c>
      <c r="X42" s="3">
        <v>6.1388336794213065E-2</v>
      </c>
      <c r="Y42" s="3">
        <v>5.559125705272968E-2</v>
      </c>
      <c r="Z42" s="3">
        <v>6.4977016347356198E-2</v>
      </c>
      <c r="AA42" s="3">
        <v>6.6209543585266664E-2</v>
      </c>
      <c r="AB42" s="3">
        <v>7.125812556861183E-2</v>
      </c>
      <c r="AC42" s="3">
        <v>7.4742287354191972E-2</v>
      </c>
      <c r="AD42" s="3">
        <v>7.6887157903794745E-2</v>
      </c>
      <c r="AE42" s="3">
        <v>8.4662762776687495E-2</v>
      </c>
      <c r="AF42" s="3">
        <v>8.7712813964452518E-2</v>
      </c>
      <c r="AG42" s="3">
        <v>8.6782994599508806E-2</v>
      </c>
      <c r="AH42" s="3">
        <v>0.10038231580665266</v>
      </c>
      <c r="AI42" s="3">
        <v>9.0077913935211584E-2</v>
      </c>
      <c r="AJ42" s="3">
        <v>0.12120598351307099</v>
      </c>
      <c r="AK42" s="3">
        <v>0.15497013151438968</v>
      </c>
      <c r="AL42" s="3">
        <v>0.12238501633574686</v>
      </c>
    </row>
    <row r="43" spans="1:38" x14ac:dyDescent="0.35">
      <c r="A43" s="7">
        <v>43101</v>
      </c>
      <c r="B43" s="7">
        <v>43190</v>
      </c>
      <c r="C43" t="s">
        <v>127</v>
      </c>
      <c r="D43" t="s">
        <v>125</v>
      </c>
      <c r="E43" s="4" t="s">
        <v>75</v>
      </c>
      <c r="F43" s="3">
        <v>4.1182488272635209E-2</v>
      </c>
      <c r="G43" s="3">
        <v>4.0301753966505142E-2</v>
      </c>
      <c r="H43" s="3">
        <v>4.4026838639232929E-2</v>
      </c>
      <c r="I43" s="3">
        <v>4.2067557852125029E-2</v>
      </c>
      <c r="J43" s="3">
        <v>4.520170932772348E-2</v>
      </c>
      <c r="K43" s="3">
        <v>4.5550622839863747E-2</v>
      </c>
      <c r="L43" s="3">
        <v>4.7066014601750958E-2</v>
      </c>
      <c r="M43" s="3">
        <v>4.6515759061131506E-2</v>
      </c>
      <c r="N43" s="3">
        <v>5.0527017636710615E-2</v>
      </c>
      <c r="O43" s="3">
        <v>4.69567489982212E-2</v>
      </c>
      <c r="P43" s="3">
        <v>5.3147315452805592E-2</v>
      </c>
      <c r="Q43" s="3">
        <v>4.8200116122030651E-2</v>
      </c>
      <c r="R43" s="3">
        <v>5.5524190394425521E-2</v>
      </c>
      <c r="S43" s="3">
        <v>5.0342902962852917E-2</v>
      </c>
      <c r="T43" s="3">
        <v>5.6756386656798406E-2</v>
      </c>
      <c r="U43" s="3">
        <v>5.3005559472231803E-2</v>
      </c>
      <c r="V43" s="3">
        <v>5.9047358524636863E-2</v>
      </c>
      <c r="W43" s="3">
        <v>5.4140598489951501E-2</v>
      </c>
      <c r="X43" s="3">
        <v>6.232880869907742E-2</v>
      </c>
      <c r="Y43" s="3">
        <v>5.6560360891625423E-2</v>
      </c>
      <c r="Z43" s="3">
        <v>6.5974746221220001E-2</v>
      </c>
      <c r="AA43" s="3">
        <v>6.7143034001964808E-2</v>
      </c>
      <c r="AB43" s="3">
        <v>7.2196010653543363E-2</v>
      </c>
      <c r="AC43" s="3">
        <v>7.5649617469505104E-2</v>
      </c>
      <c r="AD43" s="3">
        <v>7.7819400436061253E-2</v>
      </c>
      <c r="AE43" s="3">
        <v>8.5639145127280963E-2</v>
      </c>
      <c r="AF43" s="3">
        <v>8.8675499657925511E-2</v>
      </c>
      <c r="AG43" s="3">
        <v>8.7723641932776486E-2</v>
      </c>
      <c r="AH43" s="3">
        <v>0.1013130305129547</v>
      </c>
      <c r="AI43" s="3">
        <v>9.1039773112474742E-2</v>
      </c>
      <c r="AJ43" s="3">
        <v>0.12216032095937948</v>
      </c>
      <c r="AK43" s="3">
        <v>0.15592404775594543</v>
      </c>
      <c r="AL43" s="3">
        <v>0.12332571407201984</v>
      </c>
    </row>
    <row r="44" spans="1:38" x14ac:dyDescent="0.35">
      <c r="A44" s="7">
        <v>43101</v>
      </c>
      <c r="B44" s="7">
        <v>43190</v>
      </c>
      <c r="C44" t="s">
        <v>126</v>
      </c>
      <c r="D44" t="s">
        <v>125</v>
      </c>
      <c r="E44" s="4">
        <v>1</v>
      </c>
      <c r="F44" s="3">
        <v>2.4987235415080068E-2</v>
      </c>
      <c r="G44" s="3">
        <v>2.4522336342949563E-2</v>
      </c>
      <c r="H44" s="3">
        <v>2.7904631230141239E-2</v>
      </c>
      <c r="I44" s="3">
        <v>2.6059051771753751E-2</v>
      </c>
      <c r="J44" s="3">
        <v>2.9214931408311058E-2</v>
      </c>
      <c r="K44" s="3">
        <v>2.9265446267055656E-2</v>
      </c>
      <c r="L44" s="3">
        <v>3.0982197143763188E-2</v>
      </c>
      <c r="M44" s="3">
        <v>3.0375022539147159E-2</v>
      </c>
      <c r="N44" s="3">
        <v>3.4507892750587854E-2</v>
      </c>
      <c r="O44" s="3">
        <v>3.0706515013046779E-2</v>
      </c>
      <c r="P44" s="3">
        <v>3.7154611745470946E-2</v>
      </c>
      <c r="Q44" s="3">
        <v>3.2068234094442878E-2</v>
      </c>
      <c r="R44" s="3">
        <v>3.9456126253836606E-2</v>
      </c>
      <c r="S44" s="3">
        <v>3.4142726163996981E-2</v>
      </c>
      <c r="T44" s="3">
        <v>4.0907674061615849E-2</v>
      </c>
      <c r="U44" s="3">
        <v>3.6823319048479054E-2</v>
      </c>
      <c r="V44" s="3">
        <v>4.304753562160251E-2</v>
      </c>
      <c r="W44" s="3">
        <v>3.7978029939151656E-2</v>
      </c>
      <c r="X44" s="3">
        <v>4.6194112106792327E-2</v>
      </c>
      <c r="Y44" s="3">
        <v>4.0541921398612769E-2</v>
      </c>
      <c r="Z44" s="3">
        <v>4.9720350031989595E-2</v>
      </c>
      <c r="AA44" s="3">
        <v>5.0938659601285304E-2</v>
      </c>
      <c r="AB44" s="3">
        <v>5.62208891354583E-2</v>
      </c>
      <c r="AC44" s="3">
        <v>5.9598276343003583E-2</v>
      </c>
      <c r="AD44" s="3">
        <v>6.1975244868088718E-2</v>
      </c>
      <c r="AE44" s="3">
        <v>6.9630307613935211E-2</v>
      </c>
      <c r="AF44" s="3">
        <v>7.2530260528803764E-2</v>
      </c>
      <c r="AG44" s="3">
        <v>7.1821994417673785E-2</v>
      </c>
      <c r="AH44" s="3">
        <v>8.5201092314036608E-2</v>
      </c>
      <c r="AI44" s="3">
        <v>7.4923580014799818E-2</v>
      </c>
      <c r="AJ44" s="3">
        <v>0.10618899962977327</v>
      </c>
      <c r="AK44" s="3">
        <v>0.13988203667397348</v>
      </c>
      <c r="AL44" s="3">
        <v>0.10738283042429544</v>
      </c>
    </row>
    <row r="45" spans="1:38" x14ac:dyDescent="0.35">
      <c r="A45" s="7">
        <v>43101</v>
      </c>
      <c r="B45" s="7">
        <v>43190</v>
      </c>
      <c r="C45" t="s">
        <v>126</v>
      </c>
      <c r="D45" t="s">
        <v>125</v>
      </c>
      <c r="E45" s="4" t="s">
        <v>64</v>
      </c>
      <c r="F45" s="3">
        <v>2.5955504628306671E-2</v>
      </c>
      <c r="G45" s="3">
        <v>2.5444481773370751E-2</v>
      </c>
      <c r="H45" s="3">
        <v>2.8850626606074733E-2</v>
      </c>
      <c r="I45" s="3">
        <v>2.6968925101185339E-2</v>
      </c>
      <c r="J45" s="3">
        <v>3.0133283155749986E-2</v>
      </c>
      <c r="K45" s="3">
        <v>3.0223062002444338E-2</v>
      </c>
      <c r="L45" s="3">
        <v>3.1934115932132967E-2</v>
      </c>
      <c r="M45" s="3">
        <v>3.1280819977680507E-2</v>
      </c>
      <c r="N45" s="3">
        <v>3.5450059642861693E-2</v>
      </c>
      <c r="O45" s="3">
        <v>3.1642785468758393E-2</v>
      </c>
      <c r="P45" s="3">
        <v>3.8118841964526536E-2</v>
      </c>
      <c r="Q45" s="3">
        <v>3.2979868013520541E-2</v>
      </c>
      <c r="R45" s="3">
        <v>4.0439336595061631E-2</v>
      </c>
      <c r="S45" s="3">
        <v>3.5073364823084353E-2</v>
      </c>
      <c r="T45" s="3">
        <v>4.18816179777355E-2</v>
      </c>
      <c r="U45" s="3">
        <v>3.7738906253639445E-2</v>
      </c>
      <c r="V45" s="3">
        <v>4.4018330733574293E-2</v>
      </c>
      <c r="W45" s="3">
        <v>3.892466822714076E-2</v>
      </c>
      <c r="X45" s="3">
        <v>4.717329250434478E-2</v>
      </c>
      <c r="Y45" s="3">
        <v>4.1464646138943566E-2</v>
      </c>
      <c r="Z45" s="3">
        <v>5.0663966833701071E-2</v>
      </c>
      <c r="AA45" s="3">
        <v>5.1893391600233457E-2</v>
      </c>
      <c r="AB45" s="3">
        <v>5.7139843977245197E-2</v>
      </c>
      <c r="AC45" s="3">
        <v>6.0548496431847794E-2</v>
      </c>
      <c r="AD45" s="3">
        <v>6.2929948312430664E-2</v>
      </c>
      <c r="AE45" s="3">
        <v>7.0537761203292318E-2</v>
      </c>
      <c r="AF45" s="3">
        <v>7.3498060155195499E-2</v>
      </c>
      <c r="AG45" s="3">
        <v>7.2743308851667146E-2</v>
      </c>
      <c r="AH45" s="3">
        <v>8.6159836721572541E-2</v>
      </c>
      <c r="AI45" s="3">
        <v>7.5836736383455006E-2</v>
      </c>
      <c r="AJ45" s="3">
        <v>0.10711874012266376</v>
      </c>
      <c r="AK45" s="3">
        <v>0.1408205734558888</v>
      </c>
      <c r="AL45" s="3">
        <v>0.10828480850509567</v>
      </c>
    </row>
    <row r="46" spans="1:38" x14ac:dyDescent="0.35">
      <c r="A46" s="7">
        <v>43101</v>
      </c>
      <c r="B46" s="7">
        <v>43190</v>
      </c>
      <c r="C46" t="s">
        <v>126</v>
      </c>
      <c r="D46" t="s">
        <v>125</v>
      </c>
      <c r="E46" s="4">
        <v>2</v>
      </c>
      <c r="F46" s="3">
        <v>2.6897021899625215E-2</v>
      </c>
      <c r="G46" s="3">
        <v>2.6368915274916437E-2</v>
      </c>
      <c r="H46" s="3">
        <v>2.9848451892030357E-2</v>
      </c>
      <c r="I46" s="3">
        <v>2.7955691162124076E-2</v>
      </c>
      <c r="J46" s="3">
        <v>3.1060131064313004E-2</v>
      </c>
      <c r="K46" s="3">
        <v>3.1198106227038336E-2</v>
      </c>
      <c r="L46" s="3">
        <v>3.2845044629501122E-2</v>
      </c>
      <c r="M46" s="3">
        <v>3.2234643248477843E-2</v>
      </c>
      <c r="N46" s="3">
        <v>3.638232419933108E-2</v>
      </c>
      <c r="O46" s="3">
        <v>3.2594684077558833E-2</v>
      </c>
      <c r="P46" s="3">
        <v>3.9040547019358746E-2</v>
      </c>
      <c r="Q46" s="3">
        <v>3.3919219200209516E-2</v>
      </c>
      <c r="R46" s="3">
        <v>4.1371166603959772E-2</v>
      </c>
      <c r="S46" s="3">
        <v>3.6041012010300827E-2</v>
      </c>
      <c r="T46" s="3">
        <v>4.2831479692354041E-2</v>
      </c>
      <c r="U46" s="3">
        <v>3.8687198648127537E-2</v>
      </c>
      <c r="V46" s="3">
        <v>4.4993338675699428E-2</v>
      </c>
      <c r="W46" s="3">
        <v>3.9890880083179661E-2</v>
      </c>
      <c r="X46" s="3">
        <v>4.8140754596639787E-2</v>
      </c>
      <c r="Y46" s="3">
        <v>4.2458963417643242E-2</v>
      </c>
      <c r="Z46" s="3">
        <v>5.1599887843882988E-2</v>
      </c>
      <c r="AA46" s="3">
        <v>5.286719807845551E-2</v>
      </c>
      <c r="AB46" s="3">
        <v>5.8078492929563477E-2</v>
      </c>
      <c r="AC46" s="3">
        <v>6.1451398081860634E-2</v>
      </c>
      <c r="AD46" s="3">
        <v>6.384576144832034E-2</v>
      </c>
      <c r="AE46" s="3">
        <v>7.144267502963543E-2</v>
      </c>
      <c r="AF46" s="3">
        <v>7.4471262341356134E-2</v>
      </c>
      <c r="AG46" s="3">
        <v>7.3721406261892219E-2</v>
      </c>
      <c r="AH46" s="3">
        <v>8.7088969605302602E-2</v>
      </c>
      <c r="AI46" s="3">
        <v>7.6827014311840927E-2</v>
      </c>
      <c r="AJ46" s="3">
        <v>0.10805082647783992</v>
      </c>
      <c r="AK46" s="3">
        <v>0.14176338686442322</v>
      </c>
      <c r="AL46" s="3">
        <v>0.10918762445336724</v>
      </c>
    </row>
    <row r="47" spans="1:38" x14ac:dyDescent="0.35">
      <c r="A47" s="7">
        <v>43101</v>
      </c>
      <c r="B47" s="7">
        <v>43190</v>
      </c>
      <c r="C47" t="s">
        <v>126</v>
      </c>
      <c r="D47" t="s">
        <v>125</v>
      </c>
      <c r="E47" s="4" t="s">
        <v>65</v>
      </c>
      <c r="F47" s="3">
        <v>2.7892588043602628E-2</v>
      </c>
      <c r="G47" s="3">
        <v>2.7329308788466757E-2</v>
      </c>
      <c r="H47" s="3">
        <v>3.0819656371274408E-2</v>
      </c>
      <c r="I47" s="3">
        <v>2.8893208213903409E-2</v>
      </c>
      <c r="J47" s="3">
        <v>3.2013264636733277E-2</v>
      </c>
      <c r="K47" s="3">
        <v>3.2135830795126871E-2</v>
      </c>
      <c r="L47" s="3">
        <v>3.3774662475232566E-2</v>
      </c>
      <c r="M47" s="3">
        <v>3.3179747392975009E-2</v>
      </c>
      <c r="N47" s="3">
        <v>3.7293207543458287E-2</v>
      </c>
      <c r="O47" s="3">
        <v>3.3544866915647203E-2</v>
      </c>
      <c r="P47" s="3">
        <v>4.0028482383182129E-2</v>
      </c>
      <c r="Q47" s="3">
        <v>3.4902780731733959E-2</v>
      </c>
      <c r="R47" s="3">
        <v>4.2290724980076223E-2</v>
      </c>
      <c r="S47" s="3">
        <v>3.6959929011024781E-2</v>
      </c>
      <c r="T47" s="3">
        <v>4.374441799494759E-2</v>
      </c>
      <c r="U47" s="3">
        <v>3.9652317576269622E-2</v>
      </c>
      <c r="V47" s="3">
        <v>4.5913480248590571E-2</v>
      </c>
      <c r="W47" s="3">
        <v>4.085025179167466E-2</v>
      </c>
      <c r="X47" s="3">
        <v>4.9122262773781386E-2</v>
      </c>
      <c r="Y47" s="3">
        <v>4.3373228437165706E-2</v>
      </c>
      <c r="Z47" s="3">
        <v>5.2590145397651653E-2</v>
      </c>
      <c r="AA47" s="3">
        <v>5.3820686831295171E-2</v>
      </c>
      <c r="AB47" s="3">
        <v>5.9042504808221867E-2</v>
      </c>
      <c r="AC47" s="3">
        <v>6.2366638261812719E-2</v>
      </c>
      <c r="AD47" s="3">
        <v>6.4762272908770124E-2</v>
      </c>
      <c r="AE47" s="3">
        <v>7.2423160064546077E-2</v>
      </c>
      <c r="AF47" s="3">
        <v>7.5429679229339922E-2</v>
      </c>
      <c r="AG47" s="3">
        <v>7.4661021251319487E-2</v>
      </c>
      <c r="AH47" s="3">
        <v>8.8006290793609943E-2</v>
      </c>
      <c r="AI47" s="3">
        <v>7.7762463089604772E-2</v>
      </c>
      <c r="AJ47" s="3">
        <v>0.10899967860014292</v>
      </c>
      <c r="AK47" s="3">
        <v>0.1426933785039842</v>
      </c>
      <c r="AL47" s="3">
        <v>0.11017059404382648</v>
      </c>
    </row>
    <row r="48" spans="1:38" x14ac:dyDescent="0.35">
      <c r="A48" s="7">
        <v>43101</v>
      </c>
      <c r="B48" s="7">
        <v>43190</v>
      </c>
      <c r="C48" t="s">
        <v>126</v>
      </c>
      <c r="D48" t="s">
        <v>125</v>
      </c>
      <c r="E48" s="4" t="s">
        <v>66</v>
      </c>
      <c r="F48" s="3">
        <v>2.8816431623965195E-2</v>
      </c>
      <c r="G48" s="3">
        <v>2.8279758919457922E-2</v>
      </c>
      <c r="H48" s="3">
        <v>3.1808105309173162E-2</v>
      </c>
      <c r="I48" s="3">
        <v>2.9867113852875982E-2</v>
      </c>
      <c r="J48" s="3">
        <v>3.2985287884005621E-2</v>
      </c>
      <c r="K48" s="3">
        <v>3.3083926756475458E-2</v>
      </c>
      <c r="L48" s="3">
        <v>3.4760408681570015E-2</v>
      </c>
      <c r="M48" s="3">
        <v>3.4139345117331521E-2</v>
      </c>
      <c r="N48" s="3">
        <v>3.8274630476066412E-2</v>
      </c>
      <c r="O48" s="3">
        <v>3.4495680412953485E-2</v>
      </c>
      <c r="P48" s="3">
        <v>4.0990447680038122E-2</v>
      </c>
      <c r="Q48" s="3">
        <v>3.5867473360407805E-2</v>
      </c>
      <c r="R48" s="3">
        <v>4.3253792917843314E-2</v>
      </c>
      <c r="S48" s="3">
        <v>3.7932087503310355E-2</v>
      </c>
      <c r="T48" s="3">
        <v>4.4668036280152659E-2</v>
      </c>
      <c r="U48" s="3">
        <v>4.0594488698087419E-2</v>
      </c>
      <c r="V48" s="3">
        <v>4.6858979945907139E-2</v>
      </c>
      <c r="W48" s="3">
        <v>4.184196346279144E-2</v>
      </c>
      <c r="X48" s="3">
        <v>5.0025110373458442E-2</v>
      </c>
      <c r="Y48" s="3">
        <v>4.4349523078769729E-2</v>
      </c>
      <c r="Z48" s="3">
        <v>5.3543861718213043E-2</v>
      </c>
      <c r="AA48" s="3">
        <v>5.4733705693309473E-2</v>
      </c>
      <c r="AB48" s="3">
        <v>5.9989763352759906E-2</v>
      </c>
      <c r="AC48" s="3">
        <v>6.3327036642431694E-2</v>
      </c>
      <c r="AD48" s="3">
        <v>6.5690749612420912E-2</v>
      </c>
      <c r="AE48" s="3">
        <v>7.3419860058073882E-2</v>
      </c>
      <c r="AF48" s="3">
        <v>7.6365926051764177E-2</v>
      </c>
      <c r="AG48" s="3">
        <v>7.5587901413566957E-2</v>
      </c>
      <c r="AH48" s="3">
        <v>8.8992861093754622E-2</v>
      </c>
      <c r="AI48" s="3">
        <v>7.8738964897950098E-2</v>
      </c>
      <c r="AJ48" s="3">
        <v>0.10992708483544281</v>
      </c>
      <c r="AK48" s="3">
        <v>0.14369048553650632</v>
      </c>
      <c r="AL48" s="3">
        <v>0.11108402769059558</v>
      </c>
    </row>
    <row r="49" spans="1:38" x14ac:dyDescent="0.35">
      <c r="A49" s="7">
        <v>43101</v>
      </c>
      <c r="B49" s="7">
        <v>43190</v>
      </c>
      <c r="C49" t="s">
        <v>126</v>
      </c>
      <c r="D49" t="s">
        <v>125</v>
      </c>
      <c r="E49" s="4">
        <v>3</v>
      </c>
      <c r="F49" s="3">
        <v>2.9809313229369593E-2</v>
      </c>
      <c r="G49" s="3">
        <v>2.9205970811349711E-2</v>
      </c>
      <c r="H49" s="3">
        <v>3.2799404111945873E-2</v>
      </c>
      <c r="I49" s="3">
        <v>3.0780618839001902E-2</v>
      </c>
      <c r="J49" s="3">
        <v>3.3927313185709303E-2</v>
      </c>
      <c r="K49" s="3">
        <v>3.4058551719849631E-2</v>
      </c>
      <c r="L49" s="3">
        <v>3.5707387777530492E-2</v>
      </c>
      <c r="M49" s="3">
        <v>3.5118831932959116E-2</v>
      </c>
      <c r="N49" s="3">
        <v>3.9197139208795251E-2</v>
      </c>
      <c r="O49" s="3">
        <v>3.547917077439474E-2</v>
      </c>
      <c r="P49" s="3">
        <v>4.1981297683726243E-2</v>
      </c>
      <c r="Q49" s="3">
        <v>3.6781588451177516E-2</v>
      </c>
      <c r="R49" s="3">
        <v>4.41922687927385E-2</v>
      </c>
      <c r="S49" s="3">
        <v>3.8930679296247286E-2</v>
      </c>
      <c r="T49" s="3">
        <v>4.5601194914300654E-2</v>
      </c>
      <c r="U49" s="3">
        <v>4.1497633796527711E-2</v>
      </c>
      <c r="V49" s="3">
        <v>4.7767134065234196E-2</v>
      </c>
      <c r="W49" s="3">
        <v>4.2762297852789871E-2</v>
      </c>
      <c r="X49" s="3">
        <v>5.0956300324280598E-2</v>
      </c>
      <c r="Y49" s="3">
        <v>4.529224629278198E-2</v>
      </c>
      <c r="Z49" s="3">
        <v>5.4504517540770236E-2</v>
      </c>
      <c r="AA49" s="3">
        <v>5.573032040789113E-2</v>
      </c>
      <c r="AB49" s="3">
        <v>6.0903407085099337E-2</v>
      </c>
      <c r="AC49" s="3">
        <v>6.4289714971796502E-2</v>
      </c>
      <c r="AD49" s="3">
        <v>6.6671491768077573E-2</v>
      </c>
      <c r="AE49" s="3">
        <v>7.4325299562678429E-2</v>
      </c>
      <c r="AF49" s="3">
        <v>7.7270462377958912E-2</v>
      </c>
      <c r="AG49" s="3">
        <v>7.6507018551669831E-2</v>
      </c>
      <c r="AH49" s="3">
        <v>8.9920201824883389E-2</v>
      </c>
      <c r="AI49" s="3">
        <v>7.9656346334527173E-2</v>
      </c>
      <c r="AJ49" s="3">
        <v>0.11083415501933933</v>
      </c>
      <c r="AK49" s="3">
        <v>0.14463667660339871</v>
      </c>
      <c r="AL49" s="3">
        <v>0.11198752626621516</v>
      </c>
    </row>
    <row r="50" spans="1:38" x14ac:dyDescent="0.35">
      <c r="A50" s="7">
        <v>43101</v>
      </c>
      <c r="B50" s="7">
        <v>43190</v>
      </c>
      <c r="C50" t="s">
        <v>126</v>
      </c>
      <c r="D50" t="s">
        <v>125</v>
      </c>
      <c r="E50" s="4" t="s">
        <v>67</v>
      </c>
      <c r="F50" s="3">
        <v>3.0758338673687734E-2</v>
      </c>
      <c r="G50" s="3">
        <v>3.0114066860379218E-2</v>
      </c>
      <c r="H50" s="3">
        <v>3.3734961535117333E-2</v>
      </c>
      <c r="I50" s="3">
        <v>3.1716483633118978E-2</v>
      </c>
      <c r="J50" s="3">
        <v>3.4846367426793312E-2</v>
      </c>
      <c r="K50" s="3">
        <v>3.5010486371479271E-2</v>
      </c>
      <c r="L50" s="3">
        <v>3.6665024302281878E-2</v>
      </c>
      <c r="M50" s="3">
        <v>3.6085829953676568E-2</v>
      </c>
      <c r="N50" s="3">
        <v>4.0100322924584063E-2</v>
      </c>
      <c r="O50" s="3">
        <v>3.6446438544002563E-2</v>
      </c>
      <c r="P50" s="3">
        <v>4.2887358319701072E-2</v>
      </c>
      <c r="Q50" s="3">
        <v>3.7705992518516543E-2</v>
      </c>
      <c r="R50" s="3">
        <v>4.5104972754014865E-2</v>
      </c>
      <c r="S50" s="3">
        <v>3.9890796136354191E-2</v>
      </c>
      <c r="T50" s="3">
        <v>4.6517306360080141E-2</v>
      </c>
      <c r="U50" s="3">
        <v>4.2481023873773616E-2</v>
      </c>
      <c r="V50" s="3">
        <v>4.8733842563750844E-2</v>
      </c>
      <c r="W50" s="3">
        <v>4.3669938527937061E-2</v>
      </c>
      <c r="X50" s="3">
        <v>5.1875780282546469E-2</v>
      </c>
      <c r="Y50" s="3">
        <v>4.6260285664062858E-2</v>
      </c>
      <c r="Z50" s="3">
        <v>5.5447037965201673E-2</v>
      </c>
      <c r="AA50" s="3">
        <v>5.6681929848966049E-2</v>
      </c>
      <c r="AB50" s="3">
        <v>6.1820791014653327E-2</v>
      </c>
      <c r="AC50" s="3">
        <v>6.5225848263291697E-2</v>
      </c>
      <c r="AD50" s="3">
        <v>6.7575165230735007E-2</v>
      </c>
      <c r="AE50" s="3">
        <v>7.5305686528439109E-2</v>
      </c>
      <c r="AF50" s="3">
        <v>7.8233725413743876E-2</v>
      </c>
      <c r="AG50" s="3">
        <v>7.7482815954358519E-2</v>
      </c>
      <c r="AH50" s="3">
        <v>9.0849924185783415E-2</v>
      </c>
      <c r="AI50" s="3">
        <v>8.0643603818231324E-2</v>
      </c>
      <c r="AJ50" s="3">
        <v>0.11179284637867448</v>
      </c>
      <c r="AK50" s="3">
        <v>0.14563408093916622</v>
      </c>
      <c r="AL50" s="3">
        <v>0.11295296391268561</v>
      </c>
    </row>
    <row r="51" spans="1:38" x14ac:dyDescent="0.35">
      <c r="A51" s="7">
        <v>43101</v>
      </c>
      <c r="B51" s="7">
        <v>43190</v>
      </c>
      <c r="C51" t="s">
        <v>126</v>
      </c>
      <c r="D51" t="s">
        <v>125</v>
      </c>
      <c r="E51" s="4" t="s">
        <v>68</v>
      </c>
      <c r="F51" s="3">
        <v>3.1739197622021778E-2</v>
      </c>
      <c r="G51" s="3">
        <v>3.1040112383998873E-2</v>
      </c>
      <c r="H51" s="3">
        <v>3.464224126117621E-2</v>
      </c>
      <c r="I51" s="3">
        <v>3.2708017045777728E-2</v>
      </c>
      <c r="J51" s="3">
        <v>3.5757571708418506E-2</v>
      </c>
      <c r="K51" s="3">
        <v>3.5966037413180704E-2</v>
      </c>
      <c r="L51" s="3">
        <v>3.7653307044733311E-2</v>
      </c>
      <c r="M51" s="3">
        <v>3.7027658446906205E-2</v>
      </c>
      <c r="N51" s="3">
        <v>4.1007721087298887E-2</v>
      </c>
      <c r="O51" s="3">
        <v>3.7405401536441368E-2</v>
      </c>
      <c r="P51" s="3">
        <v>4.3876462331655486E-2</v>
      </c>
      <c r="Q51" s="3">
        <v>3.8671343263786906E-2</v>
      </c>
      <c r="R51" s="3">
        <v>4.6034383018163427E-2</v>
      </c>
      <c r="S51" s="3">
        <v>4.0820873196983937E-2</v>
      </c>
      <c r="T51" s="3">
        <v>4.7433727451292762E-2</v>
      </c>
      <c r="U51" s="3">
        <v>4.3477800013649863E-2</v>
      </c>
      <c r="V51" s="3">
        <v>4.9709102113335693E-2</v>
      </c>
      <c r="W51" s="3">
        <v>4.4657989214654484E-2</v>
      </c>
      <c r="X51" s="3">
        <v>5.280126794578896E-2</v>
      </c>
      <c r="Y51" s="3">
        <v>4.7207699194427799E-2</v>
      </c>
      <c r="Z51" s="3">
        <v>5.6390312450374541E-2</v>
      </c>
      <c r="AA51" s="3">
        <v>5.765309053550835E-2</v>
      </c>
      <c r="AB51" s="3">
        <v>6.2781201174315113E-2</v>
      </c>
      <c r="AC51" s="3">
        <v>6.6188469893734447E-2</v>
      </c>
      <c r="AD51" s="3">
        <v>6.8480376542508603E-2</v>
      </c>
      <c r="AE51" s="3">
        <v>7.6223518133722273E-2</v>
      </c>
      <c r="AF51" s="3">
        <v>7.9186289388047004E-2</v>
      </c>
      <c r="AG51" s="3">
        <v>7.8406298040132633E-2</v>
      </c>
      <c r="AH51" s="3">
        <v>9.1754335980998136E-2</v>
      </c>
      <c r="AI51" s="3">
        <v>8.1604606311731984E-2</v>
      </c>
      <c r="AJ51" s="3">
        <v>0.11277346034366117</v>
      </c>
      <c r="AK51" s="3">
        <v>0.146582909636502</v>
      </c>
      <c r="AL51" s="3">
        <v>0.11390085140852593</v>
      </c>
    </row>
    <row r="52" spans="1:38" x14ac:dyDescent="0.35">
      <c r="A52" s="7">
        <v>43101</v>
      </c>
      <c r="B52" s="7">
        <v>43190</v>
      </c>
      <c r="C52" t="s">
        <v>126</v>
      </c>
      <c r="D52" t="s">
        <v>125</v>
      </c>
      <c r="E52" s="4">
        <v>4</v>
      </c>
      <c r="F52" s="3">
        <v>3.268711185276512E-2</v>
      </c>
      <c r="G52" s="3">
        <v>3.1955135834473625E-2</v>
      </c>
      <c r="H52" s="3">
        <v>3.5574657158047515E-2</v>
      </c>
      <c r="I52" s="3">
        <v>3.364948859593711E-2</v>
      </c>
      <c r="J52" s="3">
        <v>3.6728649950114239E-2</v>
      </c>
      <c r="K52" s="3">
        <v>3.6933984380575963E-2</v>
      </c>
      <c r="L52" s="3">
        <v>3.8600776368188247E-2</v>
      </c>
      <c r="M52" s="3">
        <v>3.7930131542778522E-2</v>
      </c>
      <c r="N52" s="3">
        <v>4.1946966069131612E-2</v>
      </c>
      <c r="O52" s="3">
        <v>3.8338873967426634E-2</v>
      </c>
      <c r="P52" s="3">
        <v>4.4856967046642347E-2</v>
      </c>
      <c r="Q52" s="3">
        <v>3.9664872848888505E-2</v>
      </c>
      <c r="R52" s="3">
        <v>4.6977525764767103E-2</v>
      </c>
      <c r="S52" s="3">
        <v>4.1791025093767295E-2</v>
      </c>
      <c r="T52" s="3">
        <v>4.8378022305578264E-2</v>
      </c>
      <c r="U52" s="3">
        <v>4.4468649631014295E-2</v>
      </c>
      <c r="V52" s="3">
        <v>5.0666048141618875E-2</v>
      </c>
      <c r="W52" s="3">
        <v>4.5580033371126337E-2</v>
      </c>
      <c r="X52" s="3">
        <v>5.3741895793428758E-2</v>
      </c>
      <c r="Y52" s="3">
        <v>4.8140618258473628E-2</v>
      </c>
      <c r="Z52" s="3">
        <v>5.7390188726632124E-2</v>
      </c>
      <c r="AA52" s="3">
        <v>5.8575139555686148E-2</v>
      </c>
      <c r="AB52" s="3">
        <v>6.3705172164359752E-2</v>
      </c>
      <c r="AC52" s="3">
        <v>6.7171971954915602E-2</v>
      </c>
      <c r="AD52" s="3">
        <v>6.9385210637260109E-2</v>
      </c>
      <c r="AE52" s="3">
        <v>7.7193441864314982E-2</v>
      </c>
      <c r="AF52" s="3">
        <v>8.0117816364555242E-2</v>
      </c>
      <c r="AG52" s="3">
        <v>7.9348939251239009E-2</v>
      </c>
      <c r="AH52" s="3">
        <v>9.2749052053499315E-2</v>
      </c>
      <c r="AI52" s="3">
        <v>8.2571938732369371E-2</v>
      </c>
      <c r="AJ52" s="3">
        <v>0.11371542279930774</v>
      </c>
      <c r="AK52" s="3">
        <v>0.14756655400287086</v>
      </c>
      <c r="AL52" s="3">
        <v>0.11481786190012677</v>
      </c>
    </row>
    <row r="53" spans="1:38" x14ac:dyDescent="0.35">
      <c r="A53" s="7">
        <v>43101</v>
      </c>
      <c r="B53" s="7">
        <v>43190</v>
      </c>
      <c r="C53" t="s">
        <v>126</v>
      </c>
      <c r="D53" t="s">
        <v>125</v>
      </c>
      <c r="E53" s="4" t="s">
        <v>69</v>
      </c>
      <c r="F53" s="3">
        <v>3.3663340664242071E-2</v>
      </c>
      <c r="G53" s="3">
        <v>3.2856784187710132E-2</v>
      </c>
      <c r="H53" s="3">
        <v>3.6516670482588144E-2</v>
      </c>
      <c r="I53" s="3">
        <v>3.4613877354440145E-2</v>
      </c>
      <c r="J53" s="3">
        <v>3.7665005216227523E-2</v>
      </c>
      <c r="K53" s="3">
        <v>3.7896986844783431E-2</v>
      </c>
      <c r="L53" s="3">
        <v>3.9517567647322296E-2</v>
      </c>
      <c r="M53" s="3">
        <v>3.8913898212994444E-2</v>
      </c>
      <c r="N53" s="3">
        <v>4.2902640946801171E-2</v>
      </c>
      <c r="O53" s="3">
        <v>3.9285534809126985E-2</v>
      </c>
      <c r="P53" s="3">
        <v>4.5782291759152265E-2</v>
      </c>
      <c r="Q53" s="3">
        <v>4.0628695589264144E-2</v>
      </c>
      <c r="R53" s="3">
        <v>4.7914459651524841E-2</v>
      </c>
      <c r="S53" s="3">
        <v>4.2763060110870457E-2</v>
      </c>
      <c r="T53" s="3">
        <v>4.9316843693128623E-2</v>
      </c>
      <c r="U53" s="3">
        <v>4.5445309033417466E-2</v>
      </c>
      <c r="V53" s="3">
        <v>5.1583538133656126E-2</v>
      </c>
      <c r="W53" s="3">
        <v>4.6500495259273383E-2</v>
      </c>
      <c r="X53" s="3">
        <v>5.4730557773519359E-2</v>
      </c>
      <c r="Y53" s="3">
        <v>4.9049873203161495E-2</v>
      </c>
      <c r="Z53" s="3">
        <v>5.8380516132835014E-2</v>
      </c>
      <c r="AA53" s="3">
        <v>5.9536616039588888E-2</v>
      </c>
      <c r="AB53" s="3">
        <v>6.4674492333929995E-2</v>
      </c>
      <c r="AC53" s="3">
        <v>6.8144902683848124E-2</v>
      </c>
      <c r="AD53" s="3">
        <v>7.0289604606180167E-2</v>
      </c>
      <c r="AE53" s="3">
        <v>7.8180960165628241E-2</v>
      </c>
      <c r="AF53" s="3">
        <v>8.1053919066883001E-2</v>
      </c>
      <c r="AG53" s="3">
        <v>8.0257482062810914E-2</v>
      </c>
      <c r="AH53" s="3">
        <v>9.3699819231343878E-2</v>
      </c>
      <c r="AI53" s="3">
        <v>8.3562776545488701E-2</v>
      </c>
      <c r="AJ53" s="3">
        <v>0.11470780016976628</v>
      </c>
      <c r="AK53" s="3">
        <v>0.14851313615786119</v>
      </c>
      <c r="AL53" s="3">
        <v>0.11573276764506546</v>
      </c>
    </row>
    <row r="54" spans="1:38" x14ac:dyDescent="0.35">
      <c r="A54" s="7">
        <v>43101</v>
      </c>
      <c r="B54" s="7">
        <v>43190</v>
      </c>
      <c r="C54" t="s">
        <v>126</v>
      </c>
      <c r="D54" t="s">
        <v>125</v>
      </c>
      <c r="E54" s="4" t="s">
        <v>70</v>
      </c>
      <c r="F54" s="3">
        <v>3.4615006950827518E-2</v>
      </c>
      <c r="G54" s="3">
        <v>3.3762917695688954E-2</v>
      </c>
      <c r="H54" s="3">
        <v>3.7502258168549955E-2</v>
      </c>
      <c r="I54" s="3">
        <v>3.5532143139689068E-2</v>
      </c>
      <c r="J54" s="3">
        <v>3.861025300053797E-2</v>
      </c>
      <c r="K54" s="3">
        <v>3.8871243633954569E-2</v>
      </c>
      <c r="L54" s="3">
        <v>4.0506458227018358E-2</v>
      </c>
      <c r="M54" s="3">
        <v>3.9822139340595884E-2</v>
      </c>
      <c r="N54" s="3">
        <v>4.3879240678301117E-2</v>
      </c>
      <c r="O54" s="3">
        <v>4.0241603607676743E-2</v>
      </c>
      <c r="P54" s="3">
        <v>4.6699213581187005E-2</v>
      </c>
      <c r="Q54" s="3">
        <v>4.1624472251490893E-2</v>
      </c>
      <c r="R54" s="3">
        <v>4.8870656963362825E-2</v>
      </c>
      <c r="S54" s="3">
        <v>4.3729596604833866E-2</v>
      </c>
      <c r="T54" s="3">
        <v>5.0228818340475295E-2</v>
      </c>
      <c r="U54" s="3">
        <v>4.6352468210182241E-2</v>
      </c>
      <c r="V54" s="3">
        <v>5.2513458477405225E-2</v>
      </c>
      <c r="W54" s="3">
        <v>4.749646393134789E-2</v>
      </c>
      <c r="X54" s="3">
        <v>5.571025966002905E-2</v>
      </c>
      <c r="Y54" s="3">
        <v>5.0007331566039356E-2</v>
      </c>
      <c r="Z54" s="3">
        <v>5.9298731543727931E-2</v>
      </c>
      <c r="AA54" s="3">
        <v>6.0467788080590161E-2</v>
      </c>
      <c r="AB54" s="3">
        <v>6.5609447758682521E-2</v>
      </c>
      <c r="AC54" s="3">
        <v>6.9068521925419873E-2</v>
      </c>
      <c r="AD54" s="3">
        <v>7.1195598965229256E-2</v>
      </c>
      <c r="AE54" s="3">
        <v>7.9159910045503074E-2</v>
      </c>
      <c r="AF54" s="3">
        <v>8.2012610411531933E-2</v>
      </c>
      <c r="AG54" s="3">
        <v>8.1181077966933218E-2</v>
      </c>
      <c r="AH54" s="3">
        <v>9.4688238977401223E-2</v>
      </c>
      <c r="AI54" s="3">
        <v>8.4478159208486031E-2</v>
      </c>
      <c r="AJ54" s="3">
        <v>0.11561490997768822</v>
      </c>
      <c r="AK54" s="3">
        <v>0.14943690456744629</v>
      </c>
      <c r="AL54" s="3">
        <v>0.11671679418624389</v>
      </c>
    </row>
    <row r="55" spans="1:38" x14ac:dyDescent="0.35">
      <c r="A55" s="7">
        <v>43101</v>
      </c>
      <c r="B55" s="7">
        <v>43190</v>
      </c>
      <c r="C55" t="s">
        <v>126</v>
      </c>
      <c r="D55" t="s">
        <v>125</v>
      </c>
      <c r="E55" s="4">
        <v>5</v>
      </c>
      <c r="F55" s="3">
        <v>3.5537034616341945E-2</v>
      </c>
      <c r="G55" s="3">
        <v>3.47018714939656E-2</v>
      </c>
      <c r="H55" s="3">
        <v>3.8445141600718852E-2</v>
      </c>
      <c r="I55" s="3">
        <v>3.6501354570931677E-2</v>
      </c>
      <c r="J55" s="3">
        <v>3.9587162076532109E-2</v>
      </c>
      <c r="K55" s="3">
        <v>3.9857435763598306E-2</v>
      </c>
      <c r="L55" s="3">
        <v>4.143041103271039E-2</v>
      </c>
      <c r="M55" s="3">
        <v>4.0758382469180052E-2</v>
      </c>
      <c r="N55" s="3">
        <v>4.4798630295579261E-2</v>
      </c>
      <c r="O55" s="3">
        <v>4.1204003559376604E-2</v>
      </c>
      <c r="P55" s="3">
        <v>4.7607872187442724E-2</v>
      </c>
      <c r="Q55" s="3">
        <v>4.2617434133182266E-2</v>
      </c>
      <c r="R55" s="3">
        <v>4.9787960327398795E-2</v>
      </c>
      <c r="S55" s="3">
        <v>4.4703405383414302E-2</v>
      </c>
      <c r="T55" s="3">
        <v>5.1149752994239302E-2</v>
      </c>
      <c r="U55" s="3">
        <v>4.7294855162885611E-2</v>
      </c>
      <c r="V55" s="3">
        <v>5.3445158938770949E-2</v>
      </c>
      <c r="W55" s="3">
        <v>4.8435172399565143E-2</v>
      </c>
      <c r="X55" s="3">
        <v>5.6687938236702894E-2</v>
      </c>
      <c r="Y55" s="3">
        <v>5.091419119263646E-2</v>
      </c>
      <c r="Z55" s="3">
        <v>6.0274350429703735E-2</v>
      </c>
      <c r="AA55" s="3">
        <v>6.1416623636127196E-2</v>
      </c>
      <c r="AB55" s="3">
        <v>6.6529849427629184E-2</v>
      </c>
      <c r="AC55" s="3">
        <v>7.0045960511612784E-2</v>
      </c>
      <c r="AD55" s="3">
        <v>7.2128988861040549E-2</v>
      </c>
      <c r="AE55" s="3">
        <v>8.0095845061382759E-2</v>
      </c>
      <c r="AF55" s="3">
        <v>8.2952002646676112E-2</v>
      </c>
      <c r="AG55" s="3">
        <v>8.2096016217194395E-2</v>
      </c>
      <c r="AH55" s="3">
        <v>9.5637865264380839E-2</v>
      </c>
      <c r="AI55" s="3">
        <v>8.5439136470290403E-2</v>
      </c>
      <c r="AJ55" s="3">
        <v>0.11655517391392323</v>
      </c>
      <c r="AK55" s="3">
        <v>0.15037465627533181</v>
      </c>
      <c r="AL55" s="3">
        <v>0.11763023727481434</v>
      </c>
    </row>
    <row r="56" spans="1:38" x14ac:dyDescent="0.35">
      <c r="A56" s="7">
        <v>43101</v>
      </c>
      <c r="B56" s="7">
        <v>43190</v>
      </c>
      <c r="C56" t="s">
        <v>126</v>
      </c>
      <c r="D56" t="s">
        <v>125</v>
      </c>
      <c r="E56" s="4" t="s">
        <v>71</v>
      </c>
      <c r="F56" s="3">
        <v>3.6452247532993511E-2</v>
      </c>
      <c r="G56" s="3">
        <v>3.565442674980715E-2</v>
      </c>
      <c r="H56" s="3">
        <v>3.9363432166752955E-2</v>
      </c>
      <c r="I56" s="3">
        <v>3.7483817499054613E-2</v>
      </c>
      <c r="J56" s="3">
        <v>4.0515522119146913E-2</v>
      </c>
      <c r="K56" s="3">
        <v>4.0823752741559957E-2</v>
      </c>
      <c r="L56" s="3">
        <v>4.2378703526991808E-2</v>
      </c>
      <c r="M56" s="3">
        <v>4.1729505019661453E-2</v>
      </c>
      <c r="N56" s="3">
        <v>4.5743765763705466E-2</v>
      </c>
      <c r="O56" s="3">
        <v>4.2147549646481916E-2</v>
      </c>
      <c r="P56" s="3">
        <v>4.8550369849464023E-2</v>
      </c>
      <c r="Q56" s="3">
        <v>4.3553807159928723E-2</v>
      </c>
      <c r="R56" s="3">
        <v>5.0760856877947638E-2</v>
      </c>
      <c r="S56" s="3">
        <v>4.5632661459234697E-2</v>
      </c>
      <c r="T56" s="3">
        <v>5.214608545157446E-2</v>
      </c>
      <c r="U56" s="3">
        <v>4.8256183992917527E-2</v>
      </c>
      <c r="V56" s="3">
        <v>5.4377722287246612E-2</v>
      </c>
      <c r="W56" s="3">
        <v>4.9363475537645862E-2</v>
      </c>
      <c r="X56" s="3">
        <v>5.7639852635564363E-2</v>
      </c>
      <c r="Y56" s="3">
        <v>5.1890286602368899E-2</v>
      </c>
      <c r="Z56" s="3">
        <v>6.1238787352116499E-2</v>
      </c>
      <c r="AA56" s="3">
        <v>6.2342734437073867E-2</v>
      </c>
      <c r="AB56" s="3">
        <v>6.7497644430090958E-2</v>
      </c>
      <c r="AC56" s="3">
        <v>7.0991828499182508E-2</v>
      </c>
      <c r="AD56" s="3">
        <v>7.3106986994260964E-2</v>
      </c>
      <c r="AE56" s="3">
        <v>8.0996109513219117E-2</v>
      </c>
      <c r="AF56" s="3">
        <v>8.394434711940485E-2</v>
      </c>
      <c r="AG56" s="3">
        <v>8.3024576265395139E-2</v>
      </c>
      <c r="AH56" s="3">
        <v>9.6586131170948858E-2</v>
      </c>
      <c r="AI56" s="3">
        <v>8.6356007964590059E-2</v>
      </c>
      <c r="AJ56" s="3">
        <v>0.11749176413878909</v>
      </c>
      <c r="AK56" s="3">
        <v>0.15133627909692013</v>
      </c>
      <c r="AL56" s="3">
        <v>0.11862032111917292</v>
      </c>
    </row>
    <row r="57" spans="1:38" x14ac:dyDescent="0.35">
      <c r="A57" s="7">
        <v>43101</v>
      </c>
      <c r="B57" s="7">
        <v>43190</v>
      </c>
      <c r="C57" t="s">
        <v>126</v>
      </c>
      <c r="D57" t="s">
        <v>125</v>
      </c>
      <c r="E57" s="4" t="s">
        <v>72</v>
      </c>
      <c r="F57" s="3">
        <v>3.745004467152295E-2</v>
      </c>
      <c r="G57" s="3">
        <v>3.6597382233771229E-2</v>
      </c>
      <c r="H57" s="3">
        <v>4.0342643582357916E-2</v>
      </c>
      <c r="I57" s="3">
        <v>3.8385083984993948E-2</v>
      </c>
      <c r="J57" s="3">
        <v>4.1439457241266825E-2</v>
      </c>
      <c r="K57" s="3">
        <v>4.1751167672111456E-2</v>
      </c>
      <c r="L57" s="3">
        <v>4.330233406602603E-2</v>
      </c>
      <c r="M57" s="3">
        <v>4.265232841206501E-2</v>
      </c>
      <c r="N57" s="3">
        <v>4.6725725299334886E-2</v>
      </c>
      <c r="O57" s="3">
        <v>4.3140423901663061E-2</v>
      </c>
      <c r="P57" s="3">
        <v>4.9457192690454406E-2</v>
      </c>
      <c r="Q57" s="3">
        <v>4.4480456218301684E-2</v>
      </c>
      <c r="R57" s="3">
        <v>5.1759113026973641E-2</v>
      </c>
      <c r="S57" s="3">
        <v>4.6599621500819394E-2</v>
      </c>
      <c r="T57" s="3">
        <v>5.307939710107179E-2</v>
      </c>
      <c r="U57" s="3">
        <v>4.9217342664606346E-2</v>
      </c>
      <c r="V57" s="3">
        <v>5.5302257703269832E-2</v>
      </c>
      <c r="W57" s="3">
        <v>5.0357885367248681E-2</v>
      </c>
      <c r="X57" s="3">
        <v>5.8636155423697961E-2</v>
      </c>
      <c r="Y57" s="3">
        <v>5.2804233856917432E-2</v>
      </c>
      <c r="Z57" s="3">
        <v>6.2147907091145455E-2</v>
      </c>
      <c r="AA57" s="3">
        <v>6.3309724026127168E-2</v>
      </c>
      <c r="AB57" s="3">
        <v>6.8488798515799476E-2</v>
      </c>
      <c r="AC57" s="3">
        <v>7.1929846198278441E-2</v>
      </c>
      <c r="AD57" s="3">
        <v>7.408860820571106E-2</v>
      </c>
      <c r="AE57" s="3">
        <v>8.1913454609532255E-2</v>
      </c>
      <c r="AF57" s="3">
        <v>8.4888516304205158E-2</v>
      </c>
      <c r="AG57" s="3">
        <v>8.3967069472016528E-2</v>
      </c>
      <c r="AH57" s="3">
        <v>9.7548762409441131E-2</v>
      </c>
      <c r="AI57" s="3">
        <v>8.7265720475586089E-2</v>
      </c>
      <c r="AJ57" s="3">
        <v>0.11842309530034587</v>
      </c>
      <c r="AK57" s="3">
        <v>0.15224715508668146</v>
      </c>
      <c r="AL57" s="3">
        <v>0.11959960676243339</v>
      </c>
    </row>
    <row r="58" spans="1:38" x14ac:dyDescent="0.35">
      <c r="A58" s="7">
        <v>43101</v>
      </c>
      <c r="B58" s="7">
        <v>43190</v>
      </c>
      <c r="C58" t="s">
        <v>126</v>
      </c>
      <c r="D58" t="s">
        <v>125</v>
      </c>
      <c r="E58" s="4">
        <v>6</v>
      </c>
      <c r="F58" s="3">
        <v>3.8354710843880237E-2</v>
      </c>
      <c r="G58" s="3">
        <v>3.7514300466315889E-2</v>
      </c>
      <c r="H58" s="3">
        <v>4.1340015876603173E-2</v>
      </c>
      <c r="I58" s="3">
        <v>3.9287553075633287E-2</v>
      </c>
      <c r="J58" s="3">
        <v>4.2343677994122683E-2</v>
      </c>
      <c r="K58" s="3">
        <v>4.2711866595613344E-2</v>
      </c>
      <c r="L58" s="3">
        <v>4.4205108654712541E-2</v>
      </c>
      <c r="M58" s="3">
        <v>4.3600622392565028E-2</v>
      </c>
      <c r="N58" s="3">
        <v>4.7686311833625705E-2</v>
      </c>
      <c r="O58" s="3">
        <v>4.4132774067928759E-2</v>
      </c>
      <c r="P58" s="3">
        <v>5.035889928644699E-2</v>
      </c>
      <c r="Q58" s="3">
        <v>4.5464201327189188E-2</v>
      </c>
      <c r="R58" s="3">
        <v>5.2697114376885582E-2</v>
      </c>
      <c r="S58" s="3">
        <v>4.7529621074183445E-2</v>
      </c>
      <c r="T58" s="3">
        <v>5.4015743625293947E-2</v>
      </c>
      <c r="U58" s="3">
        <v>5.0216862234903306E-2</v>
      </c>
      <c r="V58" s="3">
        <v>5.630073576320746E-2</v>
      </c>
      <c r="W58" s="3">
        <v>5.1262787163677034E-2</v>
      </c>
      <c r="X58" s="3">
        <v>5.961369834049085E-2</v>
      </c>
      <c r="Y58" s="3">
        <v>5.3734757929811611E-2</v>
      </c>
      <c r="Z58" s="3">
        <v>6.3087418767790726E-2</v>
      </c>
      <c r="AA58" s="3">
        <v>6.4306843346533055E-2</v>
      </c>
      <c r="AB58" s="3">
        <v>6.9420502837275466E-2</v>
      </c>
      <c r="AC58" s="3">
        <v>7.2884595950778494E-2</v>
      </c>
      <c r="AD58" s="3">
        <v>7.5050407256270185E-2</v>
      </c>
      <c r="AE58" s="3">
        <v>8.2893066680813282E-2</v>
      </c>
      <c r="AF58" s="3">
        <v>8.5864382115662552E-2</v>
      </c>
      <c r="AG58" s="3">
        <v>8.4938529481590475E-2</v>
      </c>
      <c r="AH58" s="3">
        <v>9.8491883015531884E-2</v>
      </c>
      <c r="AI58" s="3">
        <v>8.823462364867285E-2</v>
      </c>
      <c r="AJ58" s="3">
        <v>0.11935782494668729</v>
      </c>
      <c r="AK58" s="3">
        <v>0.1531501469799699</v>
      </c>
      <c r="AL58" s="3">
        <v>0.12055080099179458</v>
      </c>
    </row>
    <row r="59" spans="1:38" x14ac:dyDescent="0.35">
      <c r="A59" s="7">
        <v>43101</v>
      </c>
      <c r="B59" s="7">
        <v>43190</v>
      </c>
      <c r="C59" t="s">
        <v>126</v>
      </c>
      <c r="D59" t="s">
        <v>125</v>
      </c>
      <c r="E59" s="4" t="s">
        <v>73</v>
      </c>
      <c r="F59" s="3">
        <v>3.9312982379720071E-2</v>
      </c>
      <c r="G59" s="3">
        <v>3.8470863826427656E-2</v>
      </c>
      <c r="H59" s="3">
        <v>4.2272189463267364E-2</v>
      </c>
      <c r="I59" s="3">
        <v>4.0251364017709526E-2</v>
      </c>
      <c r="J59" s="3">
        <v>4.3343484503988228E-2</v>
      </c>
      <c r="K59" s="3">
        <v>4.3691342019618509E-2</v>
      </c>
      <c r="L59" s="3">
        <v>4.5162612339023009E-2</v>
      </c>
      <c r="M59" s="3">
        <v>4.4555545551511262E-2</v>
      </c>
      <c r="N59" s="3">
        <v>4.8618632179344742E-2</v>
      </c>
      <c r="O59" s="3">
        <v>4.5106025837637675E-2</v>
      </c>
      <c r="P59" s="3">
        <v>5.1346096550348663E-2</v>
      </c>
      <c r="Q59" s="3">
        <v>4.6377473187230706E-2</v>
      </c>
      <c r="R59" s="3">
        <v>5.3660540987732847E-2</v>
      </c>
      <c r="S59" s="3">
        <v>4.8450464703823914E-2</v>
      </c>
      <c r="T59" s="3">
        <v>5.4969993380739844E-2</v>
      </c>
      <c r="U59" s="3">
        <v>5.1159888659726593E-2</v>
      </c>
      <c r="V59" s="3">
        <v>5.7258205706464359E-2</v>
      </c>
      <c r="W59" s="3">
        <v>5.224586488733661E-2</v>
      </c>
      <c r="X59" s="3">
        <v>6.0565189098086059E-2</v>
      </c>
      <c r="Y59" s="3">
        <v>5.4693615381737823E-2</v>
      </c>
      <c r="Z59" s="3">
        <v>6.4085669834437115E-2</v>
      </c>
      <c r="AA59" s="3">
        <v>6.5226053950022678E-2</v>
      </c>
      <c r="AB59" s="3">
        <v>7.0387327504087466E-2</v>
      </c>
      <c r="AC59" s="3">
        <v>7.3850499388342872E-2</v>
      </c>
      <c r="AD59" s="3">
        <v>7.5995541721114057E-2</v>
      </c>
      <c r="AE59" s="3">
        <v>8.3813620383519555E-2</v>
      </c>
      <c r="AF59" s="3">
        <v>8.6833211364047286E-2</v>
      </c>
      <c r="AG59" s="3">
        <v>8.5856344163987464E-2</v>
      </c>
      <c r="AH59" s="3">
        <v>9.9407203055284776E-2</v>
      </c>
      <c r="AI59" s="3">
        <v>8.9160503509014361E-2</v>
      </c>
      <c r="AJ59" s="3">
        <v>0.12030359887892328</v>
      </c>
      <c r="AK59" s="3">
        <v>0.15411849031913039</v>
      </c>
      <c r="AL59" s="3">
        <v>0.12146881254756178</v>
      </c>
    </row>
    <row r="60" spans="1:38" x14ac:dyDescent="0.35">
      <c r="A60" s="7">
        <v>43101</v>
      </c>
      <c r="B60" s="7">
        <v>43190</v>
      </c>
      <c r="C60" t="s">
        <v>126</v>
      </c>
      <c r="D60" t="s">
        <v>125</v>
      </c>
      <c r="E60" s="4" t="s">
        <v>74</v>
      </c>
      <c r="F60" s="3">
        <v>4.0290655936053604E-2</v>
      </c>
      <c r="G60" s="3">
        <v>3.9415482453008577E-2</v>
      </c>
      <c r="H60" s="3">
        <v>4.3192327521774251E-2</v>
      </c>
      <c r="I60" s="3">
        <v>4.1167024517393375E-2</v>
      </c>
      <c r="J60" s="3">
        <v>4.4298200600403265E-2</v>
      </c>
      <c r="K60" s="3">
        <v>4.4669033421348502E-2</v>
      </c>
      <c r="L60" s="3">
        <v>4.6106092157626927E-2</v>
      </c>
      <c r="M60" s="3">
        <v>4.5545130551937471E-2</v>
      </c>
      <c r="N60" s="3">
        <v>4.9578105083387995E-2</v>
      </c>
      <c r="O60" s="3">
        <v>4.6041206075774277E-2</v>
      </c>
      <c r="P60" s="3">
        <v>5.2272222742774849E-2</v>
      </c>
      <c r="Q60" s="3">
        <v>4.7288973979576765E-2</v>
      </c>
      <c r="R60" s="3">
        <v>5.460971396283118E-2</v>
      </c>
      <c r="S60" s="3">
        <v>4.9423367860062087E-2</v>
      </c>
      <c r="T60" s="3">
        <v>5.5900284765182828E-2</v>
      </c>
      <c r="U60" s="3">
        <v>5.2116043510631933E-2</v>
      </c>
      <c r="V60" s="3">
        <v>5.8186005067337315E-2</v>
      </c>
      <c r="W60" s="3">
        <v>5.3200134180994542E-2</v>
      </c>
      <c r="X60" s="3">
        <v>6.1472847689605307E-2</v>
      </c>
      <c r="Y60" s="3">
        <v>5.5598365149331155E-2</v>
      </c>
      <c r="Z60" s="3">
        <v>6.5011640450528096E-2</v>
      </c>
      <c r="AA60" s="3">
        <v>6.6220768312793526E-2</v>
      </c>
      <c r="AB60" s="3">
        <v>7.1295568211983767E-2</v>
      </c>
      <c r="AC60" s="3">
        <v>7.4817523142215125E-2</v>
      </c>
      <c r="AD60" s="3">
        <v>7.6934228027242785E-2</v>
      </c>
      <c r="AE60" s="3">
        <v>8.4742569693424419E-2</v>
      </c>
      <c r="AF60" s="3">
        <v>8.7746419203997561E-2</v>
      </c>
      <c r="AG60" s="3">
        <v>8.6804327105100026E-2</v>
      </c>
      <c r="AH60" s="3">
        <v>0.10040355033089107</v>
      </c>
      <c r="AI60" s="3">
        <v>9.0092727841256104E-2</v>
      </c>
      <c r="AJ60" s="3">
        <v>0.12122033076272837</v>
      </c>
      <c r="AK60" s="3">
        <v>0.15506721062121739</v>
      </c>
      <c r="AL60" s="3">
        <v>0.12242501005957787</v>
      </c>
    </row>
    <row r="61" spans="1:38" x14ac:dyDescent="0.35">
      <c r="A61" s="7">
        <v>43101</v>
      </c>
      <c r="B61" s="7">
        <v>43190</v>
      </c>
      <c r="C61" t="s">
        <v>126</v>
      </c>
      <c r="D61" t="s">
        <v>125</v>
      </c>
      <c r="E61" s="4">
        <v>7</v>
      </c>
      <c r="F61" s="3">
        <v>4.1278276553716284E-2</v>
      </c>
      <c r="G61" s="3">
        <v>4.0329177705657582E-2</v>
      </c>
      <c r="H61" s="3">
        <v>4.4099318153345834E-2</v>
      </c>
      <c r="I61" s="3">
        <v>4.2083811526251506E-2</v>
      </c>
      <c r="J61" s="3">
        <v>4.5213419842575459E-2</v>
      </c>
      <c r="K61" s="3">
        <v>4.558380085956102E-2</v>
      </c>
      <c r="L61" s="3">
        <v>4.7092812186156276E-2</v>
      </c>
      <c r="M61" s="3">
        <v>4.6540381363158703E-2</v>
      </c>
      <c r="N61" s="3">
        <v>5.0541323345427748E-2</v>
      </c>
      <c r="O61" s="3">
        <v>4.6991421638006951E-2</v>
      </c>
      <c r="P61" s="3">
        <v>5.3236981442763745E-2</v>
      </c>
      <c r="Q61" s="3">
        <v>4.8234541478731421E-2</v>
      </c>
      <c r="R61" s="3">
        <v>5.5559390111168401E-2</v>
      </c>
      <c r="S61" s="3">
        <v>5.0346904198118624E-2</v>
      </c>
      <c r="T61" s="3">
        <v>5.6816080504292425E-2</v>
      </c>
      <c r="U61" s="3">
        <v>5.3027736685895596E-2</v>
      </c>
      <c r="V61" s="3">
        <v>5.9124858987900854E-2</v>
      </c>
      <c r="W61" s="3">
        <v>5.4144763825180409E-2</v>
      </c>
      <c r="X61" s="3">
        <v>6.2388336794213066E-2</v>
      </c>
      <c r="Y61" s="3">
        <v>5.6591257052729681E-2</v>
      </c>
      <c r="Z61" s="3">
        <v>6.5977016347356199E-2</v>
      </c>
      <c r="AA61" s="3">
        <v>6.7209543585266665E-2</v>
      </c>
      <c r="AB61" s="3">
        <v>7.2258125568611831E-2</v>
      </c>
      <c r="AC61" s="3">
        <v>7.5742287354191973E-2</v>
      </c>
      <c r="AD61" s="3">
        <v>7.7887157903794746E-2</v>
      </c>
      <c r="AE61" s="3">
        <v>8.5662762776687496E-2</v>
      </c>
      <c r="AF61" s="3">
        <v>8.8712813964452519E-2</v>
      </c>
      <c r="AG61" s="3">
        <v>8.7782994599508807E-2</v>
      </c>
      <c r="AH61" s="3">
        <v>0.10138231580665266</v>
      </c>
      <c r="AI61" s="3">
        <v>9.1077913935211585E-2</v>
      </c>
      <c r="AJ61" s="3">
        <v>0.12220598351307099</v>
      </c>
      <c r="AK61" s="3">
        <v>0.15597013151438968</v>
      </c>
      <c r="AL61" s="3">
        <v>0.12338501633574686</v>
      </c>
    </row>
    <row r="62" spans="1:38" x14ac:dyDescent="0.35">
      <c r="A62" s="7">
        <v>43101</v>
      </c>
      <c r="B62" s="7">
        <v>43190</v>
      </c>
      <c r="C62" t="s">
        <v>126</v>
      </c>
      <c r="D62" t="s">
        <v>125</v>
      </c>
      <c r="E62" s="4" t="s">
        <v>75</v>
      </c>
      <c r="F62" s="3">
        <v>4.218248827263521E-2</v>
      </c>
      <c r="G62" s="3">
        <v>4.1301753966505143E-2</v>
      </c>
      <c r="H62" s="3">
        <v>4.502683863923293E-2</v>
      </c>
      <c r="I62" s="3">
        <v>4.306755785212503E-2</v>
      </c>
      <c r="J62" s="3">
        <v>4.6201709327723481E-2</v>
      </c>
      <c r="K62" s="3">
        <v>4.6550622839863748E-2</v>
      </c>
      <c r="L62" s="3">
        <v>4.8066014601750959E-2</v>
      </c>
      <c r="M62" s="3">
        <v>4.7515759061131507E-2</v>
      </c>
      <c r="N62" s="3">
        <v>5.1527017636710616E-2</v>
      </c>
      <c r="O62" s="3">
        <v>4.7956748998221201E-2</v>
      </c>
      <c r="P62" s="3">
        <v>5.4147315452805593E-2</v>
      </c>
      <c r="Q62" s="3">
        <v>4.9200116122030652E-2</v>
      </c>
      <c r="R62" s="3">
        <v>5.6524190394425522E-2</v>
      </c>
      <c r="S62" s="3">
        <v>5.1342902962852918E-2</v>
      </c>
      <c r="T62" s="3">
        <v>5.7756386656798407E-2</v>
      </c>
      <c r="U62" s="3">
        <v>5.4005559472231804E-2</v>
      </c>
      <c r="V62" s="3">
        <v>6.0047358524636864E-2</v>
      </c>
      <c r="W62" s="3">
        <v>5.5140598489951502E-2</v>
      </c>
      <c r="X62" s="3">
        <v>6.3328808699077421E-2</v>
      </c>
      <c r="Y62" s="3">
        <v>5.7560360891625424E-2</v>
      </c>
      <c r="Z62" s="3">
        <v>6.6974746221220002E-2</v>
      </c>
      <c r="AA62" s="3">
        <v>6.8143034001964808E-2</v>
      </c>
      <c r="AB62" s="3">
        <v>7.3196010653543364E-2</v>
      </c>
      <c r="AC62" s="3">
        <v>7.6649617469505105E-2</v>
      </c>
      <c r="AD62" s="3">
        <v>7.8819400436061254E-2</v>
      </c>
      <c r="AE62" s="3">
        <v>8.6639145127280964E-2</v>
      </c>
      <c r="AF62" s="3">
        <v>8.9675499657925511E-2</v>
      </c>
      <c r="AG62" s="3">
        <v>8.8723641932776487E-2</v>
      </c>
      <c r="AH62" s="3">
        <v>0.10231303051295471</v>
      </c>
      <c r="AI62" s="3">
        <v>9.2039773112474743E-2</v>
      </c>
      <c r="AJ62" s="3">
        <v>0.12316032095937948</v>
      </c>
      <c r="AK62" s="3">
        <v>0.15692404775594543</v>
      </c>
      <c r="AL62" s="3">
        <v>0.12432571407201984</v>
      </c>
    </row>
    <row r="63" spans="1:38" x14ac:dyDescent="0.35">
      <c r="A63" s="7">
        <v>43101</v>
      </c>
      <c r="B63" s="7">
        <v>43190</v>
      </c>
      <c r="C63" t="s">
        <v>128</v>
      </c>
      <c r="D63" t="s">
        <v>125</v>
      </c>
      <c r="E63" s="4">
        <v>1</v>
      </c>
      <c r="F63" s="3">
        <v>2.5987235415080065E-2</v>
      </c>
      <c r="G63" s="3">
        <v>2.5522336342949561E-2</v>
      </c>
      <c r="H63" s="3">
        <v>2.8904631230141239E-2</v>
      </c>
      <c r="I63" s="3">
        <v>2.7059051771753752E-2</v>
      </c>
      <c r="J63" s="3">
        <v>3.0214931408311059E-2</v>
      </c>
      <c r="K63" s="3">
        <v>3.0265446267055657E-2</v>
      </c>
      <c r="L63" s="3">
        <v>3.1982197143763186E-2</v>
      </c>
      <c r="M63" s="3">
        <v>3.137502253914716E-2</v>
      </c>
      <c r="N63" s="3">
        <v>3.5507892750587855E-2</v>
      </c>
      <c r="O63" s="3">
        <v>3.1706515013046777E-2</v>
      </c>
      <c r="P63" s="3">
        <v>3.8154611745470947E-2</v>
      </c>
      <c r="Q63" s="3">
        <v>3.3068234094442879E-2</v>
      </c>
      <c r="R63" s="3">
        <v>4.0456126253836606E-2</v>
      </c>
      <c r="S63" s="3">
        <v>3.5142726163996982E-2</v>
      </c>
      <c r="T63" s="3">
        <v>4.190767406161585E-2</v>
      </c>
      <c r="U63" s="3">
        <v>3.7823319048479055E-2</v>
      </c>
      <c r="V63" s="3">
        <v>4.4047535621602511E-2</v>
      </c>
      <c r="W63" s="3">
        <v>3.8978029939151657E-2</v>
      </c>
      <c r="X63" s="3">
        <v>4.7194112106792328E-2</v>
      </c>
      <c r="Y63" s="3">
        <v>4.154192139861277E-2</v>
      </c>
      <c r="Z63" s="3">
        <v>5.0720350031989596E-2</v>
      </c>
      <c r="AA63" s="3">
        <v>5.1938659601285304E-2</v>
      </c>
      <c r="AB63" s="3">
        <v>5.7220889135458301E-2</v>
      </c>
      <c r="AC63" s="3">
        <v>6.0598276343003583E-2</v>
      </c>
      <c r="AD63" s="3">
        <v>6.2975244868088726E-2</v>
      </c>
      <c r="AE63" s="3">
        <v>7.0630307613935212E-2</v>
      </c>
      <c r="AF63" s="3">
        <v>7.3530260528803765E-2</v>
      </c>
      <c r="AG63" s="3">
        <v>7.2821994417673785E-2</v>
      </c>
      <c r="AH63" s="3">
        <v>8.6201092314036609E-2</v>
      </c>
      <c r="AI63" s="3">
        <v>7.5923580014799819E-2</v>
      </c>
      <c r="AJ63" s="3">
        <v>0.10718899962977327</v>
      </c>
      <c r="AK63" s="3">
        <v>0.14088203667397348</v>
      </c>
      <c r="AL63" s="3">
        <v>0.10838283042429545</v>
      </c>
    </row>
    <row r="64" spans="1:38" x14ac:dyDescent="0.35">
      <c r="A64" s="7">
        <v>43101</v>
      </c>
      <c r="B64" s="7">
        <v>43190</v>
      </c>
      <c r="C64" t="s">
        <v>128</v>
      </c>
      <c r="D64" t="s">
        <v>125</v>
      </c>
      <c r="E64" s="4" t="s">
        <v>64</v>
      </c>
      <c r="F64" s="3">
        <v>2.6955504628306672E-2</v>
      </c>
      <c r="G64" s="3">
        <v>2.6444481773370748E-2</v>
      </c>
      <c r="H64" s="3">
        <v>2.985062660607473E-2</v>
      </c>
      <c r="I64" s="3">
        <v>2.7968925101185337E-2</v>
      </c>
      <c r="J64" s="3">
        <v>3.1133283155749987E-2</v>
      </c>
      <c r="K64" s="3">
        <v>3.1223062002444339E-2</v>
      </c>
      <c r="L64" s="3">
        <v>3.2934115932132968E-2</v>
      </c>
      <c r="M64" s="3">
        <v>3.2280819977680508E-2</v>
      </c>
      <c r="N64" s="3">
        <v>3.6450059642861694E-2</v>
      </c>
      <c r="O64" s="3">
        <v>3.2642785468758394E-2</v>
      </c>
      <c r="P64" s="3">
        <v>3.9118841964526536E-2</v>
      </c>
      <c r="Q64" s="3">
        <v>3.3979868013520542E-2</v>
      </c>
      <c r="R64" s="3">
        <v>4.1439336595061632E-2</v>
      </c>
      <c r="S64" s="3">
        <v>3.6073364823084354E-2</v>
      </c>
      <c r="T64" s="3">
        <v>4.2881617977735501E-2</v>
      </c>
      <c r="U64" s="3">
        <v>3.8738906253639446E-2</v>
      </c>
      <c r="V64" s="3">
        <v>4.5018330733574294E-2</v>
      </c>
      <c r="W64" s="3">
        <v>3.9924668227140761E-2</v>
      </c>
      <c r="X64" s="3">
        <v>4.8173292504344781E-2</v>
      </c>
      <c r="Y64" s="3">
        <v>4.2464646138943567E-2</v>
      </c>
      <c r="Z64" s="3">
        <v>5.1663966833701072E-2</v>
      </c>
      <c r="AA64" s="3">
        <v>5.2893391600233458E-2</v>
      </c>
      <c r="AB64" s="3">
        <v>5.8139843977245198E-2</v>
      </c>
      <c r="AC64" s="3">
        <v>6.1548496431847795E-2</v>
      </c>
      <c r="AD64" s="3">
        <v>6.3929948312430665E-2</v>
      </c>
      <c r="AE64" s="3">
        <v>7.1537761203292319E-2</v>
      </c>
      <c r="AF64" s="3">
        <v>7.44980601551955E-2</v>
      </c>
      <c r="AG64" s="3">
        <v>7.3743308851667147E-2</v>
      </c>
      <c r="AH64" s="3">
        <v>8.7159836721572542E-2</v>
      </c>
      <c r="AI64" s="3">
        <v>7.6836736383455007E-2</v>
      </c>
      <c r="AJ64" s="3">
        <v>0.10811874012266376</v>
      </c>
      <c r="AK64" s="3">
        <v>0.1418205734558888</v>
      </c>
      <c r="AL64" s="3">
        <v>0.10928480850509567</v>
      </c>
    </row>
    <row r="65" spans="1:38" x14ac:dyDescent="0.35">
      <c r="A65" s="7">
        <v>43101</v>
      </c>
      <c r="B65" s="7">
        <v>43190</v>
      </c>
      <c r="C65" t="s">
        <v>128</v>
      </c>
      <c r="D65" t="s">
        <v>125</v>
      </c>
      <c r="E65" s="4">
        <v>2</v>
      </c>
      <c r="F65" s="3">
        <v>2.7897021899625216E-2</v>
      </c>
      <c r="G65" s="3">
        <v>2.7368915274916437E-2</v>
      </c>
      <c r="H65" s="3">
        <v>3.0848451892030358E-2</v>
      </c>
      <c r="I65" s="3">
        <v>2.8955691162124077E-2</v>
      </c>
      <c r="J65" s="3">
        <v>3.2060131064313005E-2</v>
      </c>
      <c r="K65" s="3">
        <v>3.2198106227038337E-2</v>
      </c>
      <c r="L65" s="3">
        <v>3.3845044629501123E-2</v>
      </c>
      <c r="M65" s="3">
        <v>3.3234643248477844E-2</v>
      </c>
      <c r="N65" s="3">
        <v>3.7382324199331081E-2</v>
      </c>
      <c r="O65" s="3">
        <v>3.3594684077558834E-2</v>
      </c>
      <c r="P65" s="3">
        <v>4.0040547019358746E-2</v>
      </c>
      <c r="Q65" s="3">
        <v>3.4919219200209517E-2</v>
      </c>
      <c r="R65" s="3">
        <v>4.2371166603959773E-2</v>
      </c>
      <c r="S65" s="3">
        <v>3.7041012010300828E-2</v>
      </c>
      <c r="T65" s="3">
        <v>4.3831479692354042E-2</v>
      </c>
      <c r="U65" s="3">
        <v>3.9687198648127538E-2</v>
      </c>
      <c r="V65" s="3">
        <v>4.5993338675699429E-2</v>
      </c>
      <c r="W65" s="3">
        <v>4.0890880083179662E-2</v>
      </c>
      <c r="X65" s="3">
        <v>4.9140754596639788E-2</v>
      </c>
      <c r="Y65" s="3">
        <v>4.3458963417643243E-2</v>
      </c>
      <c r="Z65" s="3">
        <v>5.2599887843882989E-2</v>
      </c>
      <c r="AA65" s="3">
        <v>5.3867198078455511E-2</v>
      </c>
      <c r="AB65" s="3">
        <v>5.9078492929563478E-2</v>
      </c>
      <c r="AC65" s="3">
        <v>6.2451398081860635E-2</v>
      </c>
      <c r="AD65" s="3">
        <v>6.4845761448320341E-2</v>
      </c>
      <c r="AE65" s="3">
        <v>7.2442675029635431E-2</v>
      </c>
      <c r="AF65" s="3">
        <v>7.5471262341356135E-2</v>
      </c>
      <c r="AG65" s="3">
        <v>7.472140626189222E-2</v>
      </c>
      <c r="AH65" s="3">
        <v>8.8088969605302603E-2</v>
      </c>
      <c r="AI65" s="3">
        <v>7.7827014311840928E-2</v>
      </c>
      <c r="AJ65" s="3">
        <v>0.10905082647783992</v>
      </c>
      <c r="AK65" s="3">
        <v>0.14276338686442322</v>
      </c>
      <c r="AL65" s="3">
        <v>0.11018762445336724</v>
      </c>
    </row>
    <row r="66" spans="1:38" x14ac:dyDescent="0.35">
      <c r="A66" s="7">
        <v>43101</v>
      </c>
      <c r="B66" s="7">
        <v>43190</v>
      </c>
      <c r="C66" t="s">
        <v>128</v>
      </c>
      <c r="D66" t="s">
        <v>125</v>
      </c>
      <c r="E66" s="4" t="s">
        <v>65</v>
      </c>
      <c r="F66" s="3">
        <v>2.8892588043602629E-2</v>
      </c>
      <c r="G66" s="3">
        <v>2.8329308788466755E-2</v>
      </c>
      <c r="H66" s="3">
        <v>3.1819656371274409E-2</v>
      </c>
      <c r="I66" s="3">
        <v>2.989320821390341E-2</v>
      </c>
      <c r="J66" s="3">
        <v>3.3013264636733278E-2</v>
      </c>
      <c r="K66" s="3">
        <v>3.3135830795126872E-2</v>
      </c>
      <c r="L66" s="3">
        <v>3.4774662475232566E-2</v>
      </c>
      <c r="M66" s="3">
        <v>3.417974739297501E-2</v>
      </c>
      <c r="N66" s="3">
        <v>3.8293207543458288E-2</v>
      </c>
      <c r="O66" s="3">
        <v>3.4544866915647204E-2</v>
      </c>
      <c r="P66" s="3">
        <v>4.102848238318213E-2</v>
      </c>
      <c r="Q66" s="3">
        <v>3.590278073173396E-2</v>
      </c>
      <c r="R66" s="3">
        <v>4.3290724980076224E-2</v>
      </c>
      <c r="S66" s="3">
        <v>3.7959929011024782E-2</v>
      </c>
      <c r="T66" s="3">
        <v>4.4744417994947591E-2</v>
      </c>
      <c r="U66" s="3">
        <v>4.0652317576269623E-2</v>
      </c>
      <c r="V66" s="3">
        <v>4.6913480248590572E-2</v>
      </c>
      <c r="W66" s="3">
        <v>4.1850251791674661E-2</v>
      </c>
      <c r="X66" s="3">
        <v>5.0122262773781387E-2</v>
      </c>
      <c r="Y66" s="3">
        <v>4.4373228437165707E-2</v>
      </c>
      <c r="Z66" s="3">
        <v>5.3590145397651653E-2</v>
      </c>
      <c r="AA66" s="3">
        <v>5.4820686831295172E-2</v>
      </c>
      <c r="AB66" s="3">
        <v>6.0042504808221868E-2</v>
      </c>
      <c r="AC66" s="3">
        <v>6.3366638261812713E-2</v>
      </c>
      <c r="AD66" s="3">
        <v>6.5762272908770125E-2</v>
      </c>
      <c r="AE66" s="3">
        <v>7.3423160064546078E-2</v>
      </c>
      <c r="AF66" s="3">
        <v>7.6429679229339922E-2</v>
      </c>
      <c r="AG66" s="3">
        <v>7.5661021251319488E-2</v>
      </c>
      <c r="AH66" s="3">
        <v>8.9006290793609943E-2</v>
      </c>
      <c r="AI66" s="3">
        <v>7.8762463089604773E-2</v>
      </c>
      <c r="AJ66" s="3">
        <v>0.10999967860014292</v>
      </c>
      <c r="AK66" s="3">
        <v>0.1436933785039842</v>
      </c>
      <c r="AL66" s="3">
        <v>0.11117059404382648</v>
      </c>
    </row>
    <row r="67" spans="1:38" x14ac:dyDescent="0.35">
      <c r="A67" s="7">
        <v>43101</v>
      </c>
      <c r="B67" s="7">
        <v>43190</v>
      </c>
      <c r="C67" t="s">
        <v>128</v>
      </c>
      <c r="D67" t="s">
        <v>125</v>
      </c>
      <c r="E67" s="4" t="s">
        <v>66</v>
      </c>
      <c r="F67" s="3">
        <v>2.9816431623965196E-2</v>
      </c>
      <c r="G67" s="3">
        <v>2.9279758919457922E-2</v>
      </c>
      <c r="H67" s="3">
        <v>3.2808105309173163E-2</v>
      </c>
      <c r="I67" s="3">
        <v>3.0867113852875983E-2</v>
      </c>
      <c r="J67" s="3">
        <v>3.3985287884005622E-2</v>
      </c>
      <c r="K67" s="3">
        <v>3.4083926756475459E-2</v>
      </c>
      <c r="L67" s="3">
        <v>3.5760408681570016E-2</v>
      </c>
      <c r="M67" s="3">
        <v>3.5139345117331522E-2</v>
      </c>
      <c r="N67" s="3">
        <v>3.9274630476066413E-2</v>
      </c>
      <c r="O67" s="3">
        <v>3.5495680412953486E-2</v>
      </c>
      <c r="P67" s="3">
        <v>4.1990447680038123E-2</v>
      </c>
      <c r="Q67" s="3">
        <v>3.6867473360407806E-2</v>
      </c>
      <c r="R67" s="3">
        <v>4.4253792917843315E-2</v>
      </c>
      <c r="S67" s="3">
        <v>3.8932087503310356E-2</v>
      </c>
      <c r="T67" s="3">
        <v>4.566803628015266E-2</v>
      </c>
      <c r="U67" s="3">
        <v>4.159448869808742E-2</v>
      </c>
      <c r="V67" s="3">
        <v>4.785897994590714E-2</v>
      </c>
      <c r="W67" s="3">
        <v>4.2841963462791441E-2</v>
      </c>
      <c r="X67" s="3">
        <v>5.1025110373458443E-2</v>
      </c>
      <c r="Y67" s="3">
        <v>4.534952307876973E-2</v>
      </c>
      <c r="Z67" s="3">
        <v>5.4543861718213044E-2</v>
      </c>
      <c r="AA67" s="3">
        <v>5.5733705693309474E-2</v>
      </c>
      <c r="AB67" s="3">
        <v>6.0989763352759907E-2</v>
      </c>
      <c r="AC67" s="3">
        <v>6.4327036642431695E-2</v>
      </c>
      <c r="AD67" s="3">
        <v>6.6690749612420913E-2</v>
      </c>
      <c r="AE67" s="3">
        <v>7.4419860058073883E-2</v>
      </c>
      <c r="AF67" s="3">
        <v>7.7365926051764178E-2</v>
      </c>
      <c r="AG67" s="3">
        <v>7.6587901413566958E-2</v>
      </c>
      <c r="AH67" s="3">
        <v>8.9992861093754623E-2</v>
      </c>
      <c r="AI67" s="3">
        <v>7.9738964897950099E-2</v>
      </c>
      <c r="AJ67" s="3">
        <v>0.11092708483544281</v>
      </c>
      <c r="AK67" s="3">
        <v>0.14469048553650632</v>
      </c>
      <c r="AL67" s="3">
        <v>0.11208402769059558</v>
      </c>
    </row>
    <row r="68" spans="1:38" x14ac:dyDescent="0.35">
      <c r="A68" s="7">
        <v>43101</v>
      </c>
      <c r="B68" s="7">
        <v>43190</v>
      </c>
      <c r="C68" t="s">
        <v>128</v>
      </c>
      <c r="D68" t="s">
        <v>125</v>
      </c>
      <c r="E68" s="4">
        <v>3</v>
      </c>
      <c r="F68" s="3">
        <v>3.0809313229369591E-2</v>
      </c>
      <c r="G68" s="3">
        <v>3.0205970811349712E-2</v>
      </c>
      <c r="H68" s="3">
        <v>3.3799404111945874E-2</v>
      </c>
      <c r="I68" s="3">
        <v>3.1780618839001906E-2</v>
      </c>
      <c r="J68" s="3">
        <v>3.4927313185709304E-2</v>
      </c>
      <c r="K68" s="3">
        <v>3.5058551719849632E-2</v>
      </c>
      <c r="L68" s="3">
        <v>3.6707387777530492E-2</v>
      </c>
      <c r="M68" s="3">
        <v>3.6118831932959117E-2</v>
      </c>
      <c r="N68" s="3">
        <v>4.0197139208795252E-2</v>
      </c>
      <c r="O68" s="3">
        <v>3.6479170774394741E-2</v>
      </c>
      <c r="P68" s="3">
        <v>4.2981297683726244E-2</v>
      </c>
      <c r="Q68" s="3">
        <v>3.7781588451177517E-2</v>
      </c>
      <c r="R68" s="3">
        <v>4.5192268792738501E-2</v>
      </c>
      <c r="S68" s="3">
        <v>3.9930679296247287E-2</v>
      </c>
      <c r="T68" s="3">
        <v>4.6601194914300655E-2</v>
      </c>
      <c r="U68" s="3">
        <v>4.2497633796527712E-2</v>
      </c>
      <c r="V68" s="3">
        <v>4.8767134065234197E-2</v>
      </c>
      <c r="W68" s="3">
        <v>4.3762297852789872E-2</v>
      </c>
      <c r="X68" s="3">
        <v>5.1956300324280599E-2</v>
      </c>
      <c r="Y68" s="3">
        <v>4.6292246292781981E-2</v>
      </c>
      <c r="Z68" s="3">
        <v>5.5504517540770237E-2</v>
      </c>
      <c r="AA68" s="3">
        <v>5.6730320407891131E-2</v>
      </c>
      <c r="AB68" s="3">
        <v>6.1903407085099338E-2</v>
      </c>
      <c r="AC68" s="3">
        <v>6.5289714971796503E-2</v>
      </c>
      <c r="AD68" s="3">
        <v>6.7671491768077574E-2</v>
      </c>
      <c r="AE68" s="3">
        <v>7.532529956267843E-2</v>
      </c>
      <c r="AF68" s="3">
        <v>7.8270462377958913E-2</v>
      </c>
      <c r="AG68" s="3">
        <v>7.7507018551669832E-2</v>
      </c>
      <c r="AH68" s="3">
        <v>9.092020182488339E-2</v>
      </c>
      <c r="AI68" s="3">
        <v>8.0656346334527174E-2</v>
      </c>
      <c r="AJ68" s="3">
        <v>0.11183415501933933</v>
      </c>
      <c r="AK68" s="3">
        <v>0.14563667660339871</v>
      </c>
      <c r="AL68" s="3">
        <v>0.11298752626621517</v>
      </c>
    </row>
    <row r="69" spans="1:38" x14ac:dyDescent="0.35">
      <c r="A69" s="7">
        <v>43101</v>
      </c>
      <c r="B69" s="7">
        <v>43190</v>
      </c>
      <c r="C69" t="s">
        <v>128</v>
      </c>
      <c r="D69" t="s">
        <v>125</v>
      </c>
      <c r="E69" s="4" t="s">
        <v>67</v>
      </c>
      <c r="F69" s="3">
        <v>3.1758338673687735E-2</v>
      </c>
      <c r="G69" s="3">
        <v>3.1114066860379219E-2</v>
      </c>
      <c r="H69" s="3">
        <v>3.4734961535117334E-2</v>
      </c>
      <c r="I69" s="3">
        <v>3.2716483633118978E-2</v>
      </c>
      <c r="J69" s="3">
        <v>3.5846367426793313E-2</v>
      </c>
      <c r="K69" s="3">
        <v>3.6010486371479272E-2</v>
      </c>
      <c r="L69" s="3">
        <v>3.7665024302281878E-2</v>
      </c>
      <c r="M69" s="3">
        <v>3.7085829953676569E-2</v>
      </c>
      <c r="N69" s="3">
        <v>4.1100322924584064E-2</v>
      </c>
      <c r="O69" s="3">
        <v>3.7446438544002564E-2</v>
      </c>
      <c r="P69" s="3">
        <v>4.3887358319701072E-2</v>
      </c>
      <c r="Q69" s="3">
        <v>3.8705992518516544E-2</v>
      </c>
      <c r="R69" s="3">
        <v>4.6104972754014865E-2</v>
      </c>
      <c r="S69" s="3">
        <v>4.0890796136354192E-2</v>
      </c>
      <c r="T69" s="3">
        <v>4.7517306360080142E-2</v>
      </c>
      <c r="U69" s="3">
        <v>4.3481023873773617E-2</v>
      </c>
      <c r="V69" s="3">
        <v>4.9733842563750845E-2</v>
      </c>
      <c r="W69" s="3">
        <v>4.4669938527937061E-2</v>
      </c>
      <c r="X69" s="3">
        <v>5.287578028254647E-2</v>
      </c>
      <c r="Y69" s="3">
        <v>4.7260285664062859E-2</v>
      </c>
      <c r="Z69" s="3">
        <v>5.6447037965201674E-2</v>
      </c>
      <c r="AA69" s="3">
        <v>5.768192984896605E-2</v>
      </c>
      <c r="AB69" s="3">
        <v>6.2820791014653321E-2</v>
      </c>
      <c r="AC69" s="3">
        <v>6.6225848263291698E-2</v>
      </c>
      <c r="AD69" s="3">
        <v>6.8575165230735008E-2</v>
      </c>
      <c r="AE69" s="3">
        <v>7.6305686528439109E-2</v>
      </c>
      <c r="AF69" s="3">
        <v>7.9233725413743877E-2</v>
      </c>
      <c r="AG69" s="3">
        <v>7.848281595435852E-2</v>
      </c>
      <c r="AH69" s="3">
        <v>9.1849924185783416E-2</v>
      </c>
      <c r="AI69" s="3">
        <v>8.1643603818231325E-2</v>
      </c>
      <c r="AJ69" s="3">
        <v>0.11279284637867448</v>
      </c>
      <c r="AK69" s="3">
        <v>0.14663408093916622</v>
      </c>
      <c r="AL69" s="3">
        <v>0.11395296391268561</v>
      </c>
    </row>
    <row r="70" spans="1:38" x14ac:dyDescent="0.35">
      <c r="A70" s="7">
        <v>43101</v>
      </c>
      <c r="B70" s="7">
        <v>43190</v>
      </c>
      <c r="C70" t="s">
        <v>128</v>
      </c>
      <c r="D70" t="s">
        <v>125</v>
      </c>
      <c r="E70" s="4" t="s">
        <v>68</v>
      </c>
      <c r="F70" s="3">
        <v>3.2739197622021779E-2</v>
      </c>
      <c r="G70" s="3">
        <v>3.204011238399887E-2</v>
      </c>
      <c r="H70" s="3">
        <v>3.5642241261176211E-2</v>
      </c>
      <c r="I70" s="3">
        <v>3.3708017045777729E-2</v>
      </c>
      <c r="J70" s="3">
        <v>3.6757571708418507E-2</v>
      </c>
      <c r="K70" s="3">
        <v>3.6966037413180705E-2</v>
      </c>
      <c r="L70" s="3">
        <v>3.8653307044733312E-2</v>
      </c>
      <c r="M70" s="3">
        <v>3.8027658446906205E-2</v>
      </c>
      <c r="N70" s="3">
        <v>4.2007721087298888E-2</v>
      </c>
      <c r="O70" s="3">
        <v>3.8405401536441369E-2</v>
      </c>
      <c r="P70" s="3">
        <v>4.4876462331655487E-2</v>
      </c>
      <c r="Q70" s="3">
        <v>3.9671343263786907E-2</v>
      </c>
      <c r="R70" s="3">
        <v>4.7034383018163428E-2</v>
      </c>
      <c r="S70" s="3">
        <v>4.1820873196983938E-2</v>
      </c>
      <c r="T70" s="3">
        <v>4.8433727451292763E-2</v>
      </c>
      <c r="U70" s="3">
        <v>4.4477800013649864E-2</v>
      </c>
      <c r="V70" s="3">
        <v>5.0709102113335694E-2</v>
      </c>
      <c r="W70" s="3">
        <v>4.5657989214654485E-2</v>
      </c>
      <c r="X70" s="3">
        <v>5.3801267945788961E-2</v>
      </c>
      <c r="Y70" s="3">
        <v>4.82076991944278E-2</v>
      </c>
      <c r="Z70" s="3">
        <v>5.7390312450374542E-2</v>
      </c>
      <c r="AA70" s="3">
        <v>5.8653090535508351E-2</v>
      </c>
      <c r="AB70" s="3">
        <v>6.3781201174315114E-2</v>
      </c>
      <c r="AC70" s="3">
        <v>6.7188469893734448E-2</v>
      </c>
      <c r="AD70" s="3">
        <v>6.9480376542508604E-2</v>
      </c>
      <c r="AE70" s="3">
        <v>7.7223518133722274E-2</v>
      </c>
      <c r="AF70" s="3">
        <v>8.0186289388047005E-2</v>
      </c>
      <c r="AG70" s="3">
        <v>7.9406298040132633E-2</v>
      </c>
      <c r="AH70" s="3">
        <v>9.2754335980998137E-2</v>
      </c>
      <c r="AI70" s="3">
        <v>8.2604606311731985E-2</v>
      </c>
      <c r="AJ70" s="3">
        <v>0.11377346034366118</v>
      </c>
      <c r="AK70" s="3">
        <v>0.147582909636502</v>
      </c>
      <c r="AL70" s="3">
        <v>0.11490085140852593</v>
      </c>
    </row>
    <row r="71" spans="1:38" x14ac:dyDescent="0.35">
      <c r="A71" s="7">
        <v>43101</v>
      </c>
      <c r="B71" s="7">
        <v>43190</v>
      </c>
      <c r="C71" t="s">
        <v>128</v>
      </c>
      <c r="D71" t="s">
        <v>125</v>
      </c>
      <c r="E71" s="4">
        <v>4</v>
      </c>
      <c r="F71" s="3">
        <v>3.3687111852765121E-2</v>
      </c>
      <c r="G71" s="3">
        <v>3.2955135834473626E-2</v>
      </c>
      <c r="H71" s="3">
        <v>3.6574657158047516E-2</v>
      </c>
      <c r="I71" s="3">
        <v>3.4649488595937111E-2</v>
      </c>
      <c r="J71" s="3">
        <v>3.772864995011424E-2</v>
      </c>
      <c r="K71" s="3">
        <v>3.7933984380575964E-2</v>
      </c>
      <c r="L71" s="3">
        <v>3.9600776368188248E-2</v>
      </c>
      <c r="M71" s="3">
        <v>3.8930131542778523E-2</v>
      </c>
      <c r="N71" s="3">
        <v>4.2946966069131613E-2</v>
      </c>
      <c r="O71" s="3">
        <v>3.9338873967426635E-2</v>
      </c>
      <c r="P71" s="3">
        <v>4.5856967046642348E-2</v>
      </c>
      <c r="Q71" s="3">
        <v>4.0664872848888506E-2</v>
      </c>
      <c r="R71" s="3">
        <v>4.7977525764767104E-2</v>
      </c>
      <c r="S71" s="3">
        <v>4.2791025093767296E-2</v>
      </c>
      <c r="T71" s="3">
        <v>4.9378022305578265E-2</v>
      </c>
      <c r="U71" s="3">
        <v>4.5468649631014296E-2</v>
      </c>
      <c r="V71" s="3">
        <v>5.1666048141618875E-2</v>
      </c>
      <c r="W71" s="3">
        <v>4.6580033371126338E-2</v>
      </c>
      <c r="X71" s="3">
        <v>5.4741895793428759E-2</v>
      </c>
      <c r="Y71" s="3">
        <v>4.9140618258473628E-2</v>
      </c>
      <c r="Z71" s="3">
        <v>5.8390188726632125E-2</v>
      </c>
      <c r="AA71" s="3">
        <v>5.9575139555686149E-2</v>
      </c>
      <c r="AB71" s="3">
        <v>6.4705172164359753E-2</v>
      </c>
      <c r="AC71" s="3">
        <v>6.8171971954915603E-2</v>
      </c>
      <c r="AD71" s="3">
        <v>7.0385210637260109E-2</v>
      </c>
      <c r="AE71" s="3">
        <v>7.8193441864314983E-2</v>
      </c>
      <c r="AF71" s="3">
        <v>8.1117816364555242E-2</v>
      </c>
      <c r="AG71" s="3">
        <v>8.034893925123901E-2</v>
      </c>
      <c r="AH71" s="3">
        <v>9.3749052053499315E-2</v>
      </c>
      <c r="AI71" s="3">
        <v>8.3571938732369372E-2</v>
      </c>
      <c r="AJ71" s="3">
        <v>0.11471542279930774</v>
      </c>
      <c r="AK71" s="3">
        <v>0.14856655400287083</v>
      </c>
      <c r="AL71" s="3">
        <v>0.11581786190012677</v>
      </c>
    </row>
    <row r="72" spans="1:38" x14ac:dyDescent="0.35">
      <c r="A72" s="7">
        <v>43101</v>
      </c>
      <c r="B72" s="7">
        <v>43190</v>
      </c>
      <c r="C72" t="s">
        <v>128</v>
      </c>
      <c r="D72" t="s">
        <v>125</v>
      </c>
      <c r="E72" s="4" t="s">
        <v>69</v>
      </c>
      <c r="F72" s="3">
        <v>3.4663340664242072E-2</v>
      </c>
      <c r="G72" s="3">
        <v>3.3856784187710133E-2</v>
      </c>
      <c r="H72" s="3">
        <v>3.7516670482588145E-2</v>
      </c>
      <c r="I72" s="3">
        <v>3.5613877354440146E-2</v>
      </c>
      <c r="J72" s="3">
        <v>3.8665005216227524E-2</v>
      </c>
      <c r="K72" s="3">
        <v>3.8896986844783432E-2</v>
      </c>
      <c r="L72" s="3">
        <v>4.0517567647322297E-2</v>
      </c>
      <c r="M72" s="3">
        <v>3.9913898212994445E-2</v>
      </c>
      <c r="N72" s="3">
        <v>4.3902640946801172E-2</v>
      </c>
      <c r="O72" s="3">
        <v>4.0285534809126985E-2</v>
      </c>
      <c r="P72" s="3">
        <v>4.6782291759152266E-2</v>
      </c>
      <c r="Q72" s="3">
        <v>4.1628695589264145E-2</v>
      </c>
      <c r="R72" s="3">
        <v>4.8914459651524841E-2</v>
      </c>
      <c r="S72" s="3">
        <v>4.3763060110870458E-2</v>
      </c>
      <c r="T72" s="3">
        <v>5.0316843693128624E-2</v>
      </c>
      <c r="U72" s="3">
        <v>4.6445309033417467E-2</v>
      </c>
      <c r="V72" s="3">
        <v>5.2583538133656127E-2</v>
      </c>
      <c r="W72" s="3">
        <v>4.7500495259273384E-2</v>
      </c>
      <c r="X72" s="3">
        <v>5.573055777351936E-2</v>
      </c>
      <c r="Y72" s="3">
        <v>5.0049873203161496E-2</v>
      </c>
      <c r="Z72" s="3">
        <v>5.9380516132835015E-2</v>
      </c>
      <c r="AA72" s="3">
        <v>6.0536616039588889E-2</v>
      </c>
      <c r="AB72" s="3">
        <v>6.5674492333929996E-2</v>
      </c>
      <c r="AC72" s="3">
        <v>6.9144902683848125E-2</v>
      </c>
      <c r="AD72" s="3">
        <v>7.1289604606180168E-2</v>
      </c>
      <c r="AE72" s="3">
        <v>7.9180960165628242E-2</v>
      </c>
      <c r="AF72" s="3">
        <v>8.2053919066883002E-2</v>
      </c>
      <c r="AG72" s="3">
        <v>8.1257482062810915E-2</v>
      </c>
      <c r="AH72" s="3">
        <v>9.4699819231343879E-2</v>
      </c>
      <c r="AI72" s="3">
        <v>8.4562776545488702E-2</v>
      </c>
      <c r="AJ72" s="3">
        <v>0.11570780016976628</v>
      </c>
      <c r="AK72" s="3">
        <v>0.14951313615786119</v>
      </c>
      <c r="AL72" s="3">
        <v>0.11673276764506546</v>
      </c>
    </row>
    <row r="73" spans="1:38" x14ac:dyDescent="0.35">
      <c r="A73" s="7">
        <v>43101</v>
      </c>
      <c r="B73" s="7">
        <v>43190</v>
      </c>
      <c r="C73" t="s">
        <v>128</v>
      </c>
      <c r="D73" t="s">
        <v>125</v>
      </c>
      <c r="E73" s="4" t="s">
        <v>70</v>
      </c>
      <c r="F73" s="3">
        <v>3.5615006950827519E-2</v>
      </c>
      <c r="G73" s="3">
        <v>3.4762917695688955E-2</v>
      </c>
      <c r="H73" s="3">
        <v>3.8502258168549956E-2</v>
      </c>
      <c r="I73" s="3">
        <v>3.6532143139689069E-2</v>
      </c>
      <c r="J73" s="3">
        <v>3.961025300053797E-2</v>
      </c>
      <c r="K73" s="3">
        <v>3.987124363395457E-2</v>
      </c>
      <c r="L73" s="3">
        <v>4.1506458227018359E-2</v>
      </c>
      <c r="M73" s="3">
        <v>4.0822139340595885E-2</v>
      </c>
      <c r="N73" s="3">
        <v>4.4879240678301117E-2</v>
      </c>
      <c r="O73" s="3">
        <v>4.1241603607676744E-2</v>
      </c>
      <c r="P73" s="3">
        <v>4.7699213581187005E-2</v>
      </c>
      <c r="Q73" s="3">
        <v>4.2624472251490894E-2</v>
      </c>
      <c r="R73" s="3">
        <v>4.9870656963362826E-2</v>
      </c>
      <c r="S73" s="3">
        <v>4.4729596604833867E-2</v>
      </c>
      <c r="T73" s="3">
        <v>5.1228818340475296E-2</v>
      </c>
      <c r="U73" s="3">
        <v>4.7352468210182241E-2</v>
      </c>
      <c r="V73" s="3">
        <v>5.3513458477405226E-2</v>
      </c>
      <c r="W73" s="3">
        <v>4.8496463931347891E-2</v>
      </c>
      <c r="X73" s="3">
        <v>5.6710259660029051E-2</v>
      </c>
      <c r="Y73" s="3">
        <v>5.1007331566039357E-2</v>
      </c>
      <c r="Z73" s="3">
        <v>6.0298731543727932E-2</v>
      </c>
      <c r="AA73" s="3">
        <v>6.1467788080590162E-2</v>
      </c>
      <c r="AB73" s="3">
        <v>6.6609447758682522E-2</v>
      </c>
      <c r="AC73" s="3">
        <v>7.0068521925419874E-2</v>
      </c>
      <c r="AD73" s="3">
        <v>7.2195598965229257E-2</v>
      </c>
      <c r="AE73" s="3">
        <v>8.0159910045503074E-2</v>
      </c>
      <c r="AF73" s="3">
        <v>8.3012610411531934E-2</v>
      </c>
      <c r="AG73" s="3">
        <v>8.2181077966933219E-2</v>
      </c>
      <c r="AH73" s="3">
        <v>9.5688238977401224E-2</v>
      </c>
      <c r="AI73" s="3">
        <v>8.5478159208486032E-2</v>
      </c>
      <c r="AJ73" s="3">
        <v>0.11661490997768822</v>
      </c>
      <c r="AK73" s="3">
        <v>0.15043690456744629</v>
      </c>
      <c r="AL73" s="3">
        <v>0.11771679418624389</v>
      </c>
    </row>
    <row r="74" spans="1:38" x14ac:dyDescent="0.35">
      <c r="A74" s="7">
        <v>43101</v>
      </c>
      <c r="B74" s="7">
        <v>43190</v>
      </c>
      <c r="C74" t="s">
        <v>128</v>
      </c>
      <c r="D74" t="s">
        <v>125</v>
      </c>
      <c r="E74" s="4">
        <v>5</v>
      </c>
      <c r="F74" s="3">
        <v>3.6537034616341946E-2</v>
      </c>
      <c r="G74" s="3">
        <v>3.5701871493965601E-2</v>
      </c>
      <c r="H74" s="3">
        <v>3.9445141600718853E-2</v>
      </c>
      <c r="I74" s="3">
        <v>3.7501354570931678E-2</v>
      </c>
      <c r="J74" s="3">
        <v>4.058716207653211E-2</v>
      </c>
      <c r="K74" s="3">
        <v>4.0857435763598307E-2</v>
      </c>
      <c r="L74" s="3">
        <v>4.2430411032710391E-2</v>
      </c>
      <c r="M74" s="3">
        <v>4.1758382469180053E-2</v>
      </c>
      <c r="N74" s="3">
        <v>4.5798630295579262E-2</v>
      </c>
      <c r="O74" s="3">
        <v>4.2204003559376604E-2</v>
      </c>
      <c r="P74" s="3">
        <v>4.8607872187442724E-2</v>
      </c>
      <c r="Q74" s="3">
        <v>4.3617434133182267E-2</v>
      </c>
      <c r="R74" s="3">
        <v>5.0787960327398796E-2</v>
      </c>
      <c r="S74" s="3">
        <v>4.5703405383414303E-2</v>
      </c>
      <c r="T74" s="3">
        <v>5.2149752994239303E-2</v>
      </c>
      <c r="U74" s="3">
        <v>4.8294855162885612E-2</v>
      </c>
      <c r="V74" s="3">
        <v>5.444515893877095E-2</v>
      </c>
      <c r="W74" s="3">
        <v>4.9435172399565144E-2</v>
      </c>
      <c r="X74" s="3">
        <v>5.7687938236702895E-2</v>
      </c>
      <c r="Y74" s="3">
        <v>5.1914191192636461E-2</v>
      </c>
      <c r="Z74" s="3">
        <v>6.1274350429703736E-2</v>
      </c>
      <c r="AA74" s="3">
        <v>6.2416623636127197E-2</v>
      </c>
      <c r="AB74" s="3">
        <v>6.7529849427629185E-2</v>
      </c>
      <c r="AC74" s="3">
        <v>7.1045960511612785E-2</v>
      </c>
      <c r="AD74" s="3">
        <v>7.312898886104055E-2</v>
      </c>
      <c r="AE74" s="3">
        <v>8.109584506138276E-2</v>
      </c>
      <c r="AF74" s="3">
        <v>8.3952002646676113E-2</v>
      </c>
      <c r="AG74" s="3">
        <v>8.3096016217194396E-2</v>
      </c>
      <c r="AH74" s="3">
        <v>9.663786526438084E-2</v>
      </c>
      <c r="AI74" s="3">
        <v>8.643913647029039E-2</v>
      </c>
      <c r="AJ74" s="3">
        <v>0.11755517391392323</v>
      </c>
      <c r="AK74" s="3">
        <v>0.15137465627533181</v>
      </c>
      <c r="AL74" s="3">
        <v>0.11863023727481434</v>
      </c>
    </row>
    <row r="75" spans="1:38" x14ac:dyDescent="0.35">
      <c r="A75" s="7">
        <v>43101</v>
      </c>
      <c r="B75" s="7">
        <v>43190</v>
      </c>
      <c r="C75" t="s">
        <v>128</v>
      </c>
      <c r="D75" t="s">
        <v>125</v>
      </c>
      <c r="E75" s="4" t="s">
        <v>71</v>
      </c>
      <c r="F75" s="3">
        <v>3.7452247532993511E-2</v>
      </c>
      <c r="G75" s="3">
        <v>3.6654426749807151E-2</v>
      </c>
      <c r="H75" s="3">
        <v>4.0363432166752956E-2</v>
      </c>
      <c r="I75" s="3">
        <v>3.8483817499054614E-2</v>
      </c>
      <c r="J75" s="3">
        <v>4.1515522119146914E-2</v>
      </c>
      <c r="K75" s="3">
        <v>4.1823752741559958E-2</v>
      </c>
      <c r="L75" s="3">
        <v>4.3378703526991809E-2</v>
      </c>
      <c r="M75" s="3">
        <v>4.2729505019661454E-2</v>
      </c>
      <c r="N75" s="3">
        <v>4.6743765763705467E-2</v>
      </c>
      <c r="O75" s="3">
        <v>4.3147549646481917E-2</v>
      </c>
      <c r="P75" s="3">
        <v>4.9550369849464024E-2</v>
      </c>
      <c r="Q75" s="3">
        <v>4.4553807159928724E-2</v>
      </c>
      <c r="R75" s="3">
        <v>5.1760856877947639E-2</v>
      </c>
      <c r="S75" s="3">
        <v>4.6632661459234698E-2</v>
      </c>
      <c r="T75" s="3">
        <v>5.3146085451574461E-2</v>
      </c>
      <c r="U75" s="3">
        <v>4.9256183992917528E-2</v>
      </c>
      <c r="V75" s="3">
        <v>5.5377722287246613E-2</v>
      </c>
      <c r="W75" s="3">
        <v>5.0363475537645863E-2</v>
      </c>
      <c r="X75" s="3">
        <v>5.8639852635564364E-2</v>
      </c>
      <c r="Y75" s="3">
        <v>5.2890286602368899E-2</v>
      </c>
      <c r="Z75" s="3">
        <v>6.2238787352116499E-2</v>
      </c>
      <c r="AA75" s="3">
        <v>6.3342734437073861E-2</v>
      </c>
      <c r="AB75" s="3">
        <v>6.8497644430090959E-2</v>
      </c>
      <c r="AC75" s="3">
        <v>7.1991828499182509E-2</v>
      </c>
      <c r="AD75" s="3">
        <v>7.4106986994260965E-2</v>
      </c>
      <c r="AE75" s="3">
        <v>8.1996109513219118E-2</v>
      </c>
      <c r="AF75" s="3">
        <v>8.494434711940485E-2</v>
      </c>
      <c r="AG75" s="3">
        <v>8.402457626539514E-2</v>
      </c>
      <c r="AH75" s="3">
        <v>9.7586131170948859E-2</v>
      </c>
      <c r="AI75" s="3">
        <v>8.735600796459006E-2</v>
      </c>
      <c r="AJ75" s="3">
        <v>0.11849176413878909</v>
      </c>
      <c r="AK75" s="3">
        <v>0.15233627909692013</v>
      </c>
      <c r="AL75" s="3">
        <v>0.11962032111917292</v>
      </c>
    </row>
    <row r="76" spans="1:38" x14ac:dyDescent="0.35">
      <c r="A76" s="7">
        <v>43101</v>
      </c>
      <c r="B76" s="7">
        <v>43190</v>
      </c>
      <c r="C76" t="s">
        <v>128</v>
      </c>
      <c r="D76" t="s">
        <v>125</v>
      </c>
      <c r="E76" s="4" t="s">
        <v>72</v>
      </c>
      <c r="F76" s="3">
        <v>3.8450044671522951E-2</v>
      </c>
      <c r="G76" s="3">
        <v>3.759738223377123E-2</v>
      </c>
      <c r="H76" s="3">
        <v>4.1342643582357917E-2</v>
      </c>
      <c r="I76" s="3">
        <v>3.9385083984993949E-2</v>
      </c>
      <c r="J76" s="3">
        <v>4.2439457241266826E-2</v>
      </c>
      <c r="K76" s="3">
        <v>4.2751167672111456E-2</v>
      </c>
      <c r="L76" s="3">
        <v>4.4302334066026031E-2</v>
      </c>
      <c r="M76" s="3">
        <v>4.3652328412065011E-2</v>
      </c>
      <c r="N76" s="3">
        <v>4.7725725299334887E-2</v>
      </c>
      <c r="O76" s="3">
        <v>4.4140423901663062E-2</v>
      </c>
      <c r="P76" s="3">
        <v>5.0457192690454407E-2</v>
      </c>
      <c r="Q76" s="3">
        <v>4.5480456218301685E-2</v>
      </c>
      <c r="R76" s="3">
        <v>5.2759113026973642E-2</v>
      </c>
      <c r="S76" s="3">
        <v>4.7599621500819395E-2</v>
      </c>
      <c r="T76" s="3">
        <v>5.4079397101071791E-2</v>
      </c>
      <c r="U76" s="3">
        <v>5.0217342664606347E-2</v>
      </c>
      <c r="V76" s="3">
        <v>5.6302257703269833E-2</v>
      </c>
      <c r="W76" s="3">
        <v>5.1357885367248682E-2</v>
      </c>
      <c r="X76" s="3">
        <v>5.9636155423697962E-2</v>
      </c>
      <c r="Y76" s="3">
        <v>5.3804233856917433E-2</v>
      </c>
      <c r="Z76" s="3">
        <v>6.3147907091145455E-2</v>
      </c>
      <c r="AA76" s="3">
        <v>6.4309724026127169E-2</v>
      </c>
      <c r="AB76" s="3">
        <v>6.9488798515799477E-2</v>
      </c>
      <c r="AC76" s="3">
        <v>7.2929846198278442E-2</v>
      </c>
      <c r="AD76" s="3">
        <v>7.508860820571106E-2</v>
      </c>
      <c r="AE76" s="3">
        <v>8.2913454609532256E-2</v>
      </c>
      <c r="AF76" s="3">
        <v>8.5888516304205159E-2</v>
      </c>
      <c r="AG76" s="3">
        <v>8.4967069472016529E-2</v>
      </c>
      <c r="AH76" s="3">
        <v>9.8548762409441132E-2</v>
      </c>
      <c r="AI76" s="3">
        <v>8.826572047558609E-2</v>
      </c>
      <c r="AJ76" s="3">
        <v>0.11942309530034587</v>
      </c>
      <c r="AK76" s="3">
        <v>0.15324715508668146</v>
      </c>
      <c r="AL76" s="3">
        <v>0.12059960676243339</v>
      </c>
    </row>
    <row r="77" spans="1:38" x14ac:dyDescent="0.35">
      <c r="A77" s="7">
        <v>43101</v>
      </c>
      <c r="B77" s="7">
        <v>43190</v>
      </c>
      <c r="C77" t="s">
        <v>128</v>
      </c>
      <c r="D77" t="s">
        <v>125</v>
      </c>
      <c r="E77" s="4">
        <v>6</v>
      </c>
      <c r="F77" s="3">
        <v>3.9354710843880238E-2</v>
      </c>
      <c r="G77" s="3">
        <v>3.851430046631589E-2</v>
      </c>
      <c r="H77" s="3">
        <v>4.2340015876603174E-2</v>
      </c>
      <c r="I77" s="3">
        <v>4.0287553075633288E-2</v>
      </c>
      <c r="J77" s="3">
        <v>4.3343677994122684E-2</v>
      </c>
      <c r="K77" s="3">
        <v>4.3711866595613345E-2</v>
      </c>
      <c r="L77" s="3">
        <v>4.5205108654712542E-2</v>
      </c>
      <c r="M77" s="3">
        <v>4.4600622392565029E-2</v>
      </c>
      <c r="N77" s="3">
        <v>4.8686311833625706E-2</v>
      </c>
      <c r="O77" s="3">
        <v>4.513277406792876E-2</v>
      </c>
      <c r="P77" s="3">
        <v>5.1358899286446991E-2</v>
      </c>
      <c r="Q77" s="3">
        <v>4.6464201327189189E-2</v>
      </c>
      <c r="R77" s="3">
        <v>5.3697114376885582E-2</v>
      </c>
      <c r="S77" s="3">
        <v>4.8529621074183446E-2</v>
      </c>
      <c r="T77" s="3">
        <v>5.5015743625293941E-2</v>
      </c>
      <c r="U77" s="3">
        <v>5.1216862234903307E-2</v>
      </c>
      <c r="V77" s="3">
        <v>5.7300735763207461E-2</v>
      </c>
      <c r="W77" s="3">
        <v>5.2262787163677035E-2</v>
      </c>
      <c r="X77" s="3">
        <v>6.0613698340490851E-2</v>
      </c>
      <c r="Y77" s="3">
        <v>5.4734757929811612E-2</v>
      </c>
      <c r="Z77" s="3">
        <v>6.4087418767790727E-2</v>
      </c>
      <c r="AA77" s="3">
        <v>6.5306843346533056E-2</v>
      </c>
      <c r="AB77" s="3">
        <v>7.0420502837275467E-2</v>
      </c>
      <c r="AC77" s="3">
        <v>7.3884595950778495E-2</v>
      </c>
      <c r="AD77" s="3">
        <v>7.6050407256270186E-2</v>
      </c>
      <c r="AE77" s="3">
        <v>8.3893066680813283E-2</v>
      </c>
      <c r="AF77" s="3">
        <v>8.6864382115662553E-2</v>
      </c>
      <c r="AG77" s="3">
        <v>8.5938529481590475E-2</v>
      </c>
      <c r="AH77" s="3">
        <v>9.9491883015531885E-2</v>
      </c>
      <c r="AI77" s="3">
        <v>8.9234623648672851E-2</v>
      </c>
      <c r="AJ77" s="3">
        <v>0.12035782494668729</v>
      </c>
      <c r="AK77" s="3">
        <v>0.1541501469799699</v>
      </c>
      <c r="AL77" s="3">
        <v>0.12155080099179458</v>
      </c>
    </row>
    <row r="78" spans="1:38" x14ac:dyDescent="0.35">
      <c r="A78" s="7">
        <v>43101</v>
      </c>
      <c r="B78" s="7">
        <v>43190</v>
      </c>
      <c r="C78" t="s">
        <v>128</v>
      </c>
      <c r="D78" t="s">
        <v>125</v>
      </c>
      <c r="E78" s="4" t="s">
        <v>73</v>
      </c>
      <c r="F78" s="3">
        <v>4.0312982379720072E-2</v>
      </c>
      <c r="G78" s="3">
        <v>3.9470863826427657E-2</v>
      </c>
      <c r="H78" s="3">
        <v>4.3272189463267365E-2</v>
      </c>
      <c r="I78" s="3">
        <v>4.1251364017709527E-2</v>
      </c>
      <c r="J78" s="3">
        <v>4.4343484503988229E-2</v>
      </c>
      <c r="K78" s="3">
        <v>4.469134201961851E-2</v>
      </c>
      <c r="L78" s="3">
        <v>4.616261233902301E-2</v>
      </c>
      <c r="M78" s="3">
        <v>4.5555545551511263E-2</v>
      </c>
      <c r="N78" s="3">
        <v>4.9618632179344743E-2</v>
      </c>
      <c r="O78" s="3">
        <v>4.6106025837637676E-2</v>
      </c>
      <c r="P78" s="3">
        <v>5.2346096550348664E-2</v>
      </c>
      <c r="Q78" s="3">
        <v>4.7377473187230706E-2</v>
      </c>
      <c r="R78" s="3">
        <v>5.4660540987732847E-2</v>
      </c>
      <c r="S78" s="3">
        <v>4.9450464703823915E-2</v>
      </c>
      <c r="T78" s="3">
        <v>5.5969993380739845E-2</v>
      </c>
      <c r="U78" s="3">
        <v>5.2159888659726594E-2</v>
      </c>
      <c r="V78" s="3">
        <v>5.825820570646436E-2</v>
      </c>
      <c r="W78" s="3">
        <v>5.3245864887336611E-2</v>
      </c>
      <c r="X78" s="3">
        <v>6.1565189098086059E-2</v>
      </c>
      <c r="Y78" s="3">
        <v>5.5693615381737824E-2</v>
      </c>
      <c r="Z78" s="3">
        <v>6.5085669834437115E-2</v>
      </c>
      <c r="AA78" s="3">
        <v>6.6226053950022679E-2</v>
      </c>
      <c r="AB78" s="3">
        <v>7.1387327504087467E-2</v>
      </c>
      <c r="AC78" s="3">
        <v>7.4850499388342873E-2</v>
      </c>
      <c r="AD78" s="3">
        <v>7.6995541721114058E-2</v>
      </c>
      <c r="AE78" s="3">
        <v>8.4813620383519556E-2</v>
      </c>
      <c r="AF78" s="3">
        <v>8.7833211364047287E-2</v>
      </c>
      <c r="AG78" s="3">
        <v>8.6856344163987464E-2</v>
      </c>
      <c r="AH78" s="3">
        <v>0.10040720305528478</v>
      </c>
      <c r="AI78" s="3">
        <v>9.0160503509014361E-2</v>
      </c>
      <c r="AJ78" s="3">
        <v>0.12130359887892328</v>
      </c>
      <c r="AK78" s="3">
        <v>0.15511849031913039</v>
      </c>
      <c r="AL78" s="3">
        <v>0.12246881254756178</v>
      </c>
    </row>
    <row r="79" spans="1:38" x14ac:dyDescent="0.35">
      <c r="A79" s="7">
        <v>43101</v>
      </c>
      <c r="B79" s="7">
        <v>43190</v>
      </c>
      <c r="C79" t="s">
        <v>128</v>
      </c>
      <c r="D79" t="s">
        <v>125</v>
      </c>
      <c r="E79" s="4" t="s">
        <v>74</v>
      </c>
      <c r="F79" s="3">
        <v>4.1290655936053605E-2</v>
      </c>
      <c r="G79" s="3">
        <v>4.0415482453008578E-2</v>
      </c>
      <c r="H79" s="3">
        <v>4.4192327521774252E-2</v>
      </c>
      <c r="I79" s="3">
        <v>4.2167024517393376E-2</v>
      </c>
      <c r="J79" s="3">
        <v>4.5298200600403266E-2</v>
      </c>
      <c r="K79" s="3">
        <v>4.5669033421348502E-2</v>
      </c>
      <c r="L79" s="3">
        <v>4.7106092157626928E-2</v>
      </c>
      <c r="M79" s="3">
        <v>4.6545130551937472E-2</v>
      </c>
      <c r="N79" s="3">
        <v>5.0578105083387996E-2</v>
      </c>
      <c r="O79" s="3">
        <v>4.7041206075774278E-2</v>
      </c>
      <c r="P79" s="3">
        <v>5.327222274277485E-2</v>
      </c>
      <c r="Q79" s="3">
        <v>4.8288973979576766E-2</v>
      </c>
      <c r="R79" s="3">
        <v>5.5609713962831181E-2</v>
      </c>
      <c r="S79" s="3">
        <v>5.0423367860062088E-2</v>
      </c>
      <c r="T79" s="3">
        <v>5.6900284765182829E-2</v>
      </c>
      <c r="U79" s="3">
        <v>5.3116043510631934E-2</v>
      </c>
      <c r="V79" s="3">
        <v>5.9186005067337316E-2</v>
      </c>
      <c r="W79" s="3">
        <v>5.4200134180994543E-2</v>
      </c>
      <c r="X79" s="3">
        <v>6.2472847689605308E-2</v>
      </c>
      <c r="Y79" s="3">
        <v>5.6598365149331156E-2</v>
      </c>
      <c r="Z79" s="3">
        <v>6.6011640450528097E-2</v>
      </c>
      <c r="AA79" s="3">
        <v>6.7220768312793527E-2</v>
      </c>
      <c r="AB79" s="3">
        <v>7.2295568211983768E-2</v>
      </c>
      <c r="AC79" s="3">
        <v>7.5817523142215126E-2</v>
      </c>
      <c r="AD79" s="3">
        <v>7.7934228027242786E-2</v>
      </c>
      <c r="AE79" s="3">
        <v>8.574256969342442E-2</v>
      </c>
      <c r="AF79" s="3">
        <v>8.8746419203997562E-2</v>
      </c>
      <c r="AG79" s="3">
        <v>8.7804327105100027E-2</v>
      </c>
      <c r="AH79" s="3">
        <v>0.10140355033089107</v>
      </c>
      <c r="AI79" s="3">
        <v>9.1092727841256105E-2</v>
      </c>
      <c r="AJ79" s="3">
        <v>0.12222033076272837</v>
      </c>
      <c r="AK79" s="3">
        <v>0.15606721062121739</v>
      </c>
      <c r="AL79" s="3">
        <v>0.12342501005957787</v>
      </c>
    </row>
    <row r="80" spans="1:38" x14ac:dyDescent="0.35">
      <c r="A80" s="7">
        <v>43101</v>
      </c>
      <c r="B80" s="7">
        <v>43190</v>
      </c>
      <c r="C80" t="s">
        <v>128</v>
      </c>
      <c r="D80" t="s">
        <v>125</v>
      </c>
      <c r="E80" s="4">
        <v>7</v>
      </c>
      <c r="F80" s="3">
        <v>4.2278276553716285E-2</v>
      </c>
      <c r="G80" s="3">
        <v>4.1329177705657583E-2</v>
      </c>
      <c r="H80" s="3">
        <v>4.5099318153345835E-2</v>
      </c>
      <c r="I80" s="3">
        <v>4.3083811526251507E-2</v>
      </c>
      <c r="J80" s="3">
        <v>4.6213419842575459E-2</v>
      </c>
      <c r="K80" s="3">
        <v>4.6583800859561021E-2</v>
      </c>
      <c r="L80" s="3">
        <v>4.8092812186156277E-2</v>
      </c>
      <c r="M80" s="3">
        <v>4.7540381363158704E-2</v>
      </c>
      <c r="N80" s="3">
        <v>5.1541323345427749E-2</v>
      </c>
      <c r="O80" s="3">
        <v>4.7991421638006952E-2</v>
      </c>
      <c r="P80" s="3">
        <v>5.4236981442763746E-2</v>
      </c>
      <c r="Q80" s="3">
        <v>4.9234541478731422E-2</v>
      </c>
      <c r="R80" s="3">
        <v>5.6559390111168402E-2</v>
      </c>
      <c r="S80" s="3">
        <v>5.1346904198118624E-2</v>
      </c>
      <c r="T80" s="3">
        <v>5.7816080504292426E-2</v>
      </c>
      <c r="U80" s="3">
        <v>5.4027736685895597E-2</v>
      </c>
      <c r="V80" s="3">
        <v>6.0124858987900855E-2</v>
      </c>
      <c r="W80" s="3">
        <v>5.5144763825180403E-2</v>
      </c>
      <c r="X80" s="3">
        <v>6.3388336794213074E-2</v>
      </c>
      <c r="Y80" s="3">
        <v>5.7591257052729682E-2</v>
      </c>
      <c r="Z80" s="3">
        <v>6.69770163473562E-2</v>
      </c>
      <c r="AA80" s="3">
        <v>6.8209543585266666E-2</v>
      </c>
      <c r="AB80" s="3">
        <v>7.3258125568611832E-2</v>
      </c>
      <c r="AC80" s="3">
        <v>7.6742287354191974E-2</v>
      </c>
      <c r="AD80" s="3">
        <v>7.8887157903794747E-2</v>
      </c>
      <c r="AE80" s="3">
        <v>8.6662762776687496E-2</v>
      </c>
      <c r="AF80" s="3">
        <v>8.971281396445252E-2</v>
      </c>
      <c r="AG80" s="3">
        <v>8.8782994599508808E-2</v>
      </c>
      <c r="AH80" s="3">
        <v>0.10238231580665266</v>
      </c>
      <c r="AI80" s="3">
        <v>9.2077913935211586E-2</v>
      </c>
      <c r="AJ80" s="3">
        <v>0.12320598351307099</v>
      </c>
      <c r="AK80" s="3">
        <v>0.15697013151438968</v>
      </c>
      <c r="AL80" s="3">
        <v>0.12438501633574686</v>
      </c>
    </row>
    <row r="81" spans="1:38" x14ac:dyDescent="0.35">
      <c r="A81" s="7">
        <v>43101</v>
      </c>
      <c r="B81" s="7">
        <v>43190</v>
      </c>
      <c r="C81" t="s">
        <v>128</v>
      </c>
      <c r="D81" t="s">
        <v>125</v>
      </c>
      <c r="E81" s="4" t="s">
        <v>75</v>
      </c>
      <c r="F81" s="3">
        <v>4.3182488272635211E-2</v>
      </c>
      <c r="G81" s="3">
        <v>4.2301753966505144E-2</v>
      </c>
      <c r="H81" s="3">
        <v>4.6026838639232931E-2</v>
      </c>
      <c r="I81" s="3">
        <v>4.4067557852125031E-2</v>
      </c>
      <c r="J81" s="3">
        <v>4.7201709327723482E-2</v>
      </c>
      <c r="K81" s="3">
        <v>4.7550622839863749E-2</v>
      </c>
      <c r="L81" s="3">
        <v>4.906601460175096E-2</v>
      </c>
      <c r="M81" s="3">
        <v>4.8515759061131508E-2</v>
      </c>
      <c r="N81" s="3">
        <v>5.2527017636710617E-2</v>
      </c>
      <c r="O81" s="3">
        <v>4.8956748998221201E-2</v>
      </c>
      <c r="P81" s="3">
        <v>5.5147315452805594E-2</v>
      </c>
      <c r="Q81" s="3">
        <v>5.0200116122030652E-2</v>
      </c>
      <c r="R81" s="3">
        <v>5.7524190394425523E-2</v>
      </c>
      <c r="S81" s="3">
        <v>5.2342902962852919E-2</v>
      </c>
      <c r="T81" s="3">
        <v>5.8756386656798408E-2</v>
      </c>
      <c r="U81" s="3">
        <v>5.5005559472231805E-2</v>
      </c>
      <c r="V81" s="3">
        <v>6.1047358524636865E-2</v>
      </c>
      <c r="W81" s="3">
        <v>5.6140598489951503E-2</v>
      </c>
      <c r="X81" s="3">
        <v>6.4328808699077422E-2</v>
      </c>
      <c r="Y81" s="3">
        <v>5.8560360891625425E-2</v>
      </c>
      <c r="Z81" s="3">
        <v>6.7974746221220003E-2</v>
      </c>
      <c r="AA81" s="3">
        <v>6.9143034001964809E-2</v>
      </c>
      <c r="AB81" s="3">
        <v>7.4196010653543365E-2</v>
      </c>
      <c r="AC81" s="3">
        <v>7.7649617469505106E-2</v>
      </c>
      <c r="AD81" s="3">
        <v>7.9819400436061255E-2</v>
      </c>
      <c r="AE81" s="3">
        <v>8.7639145127280965E-2</v>
      </c>
      <c r="AF81" s="3">
        <v>9.0675499657925512E-2</v>
      </c>
      <c r="AG81" s="3">
        <v>8.9723641932776488E-2</v>
      </c>
      <c r="AH81" s="3">
        <v>0.10331303051295471</v>
      </c>
      <c r="AI81" s="3">
        <v>9.3039773112474744E-2</v>
      </c>
      <c r="AJ81" s="3">
        <v>0.12416032095937948</v>
      </c>
      <c r="AK81" s="3">
        <v>0.15792404775594543</v>
      </c>
      <c r="AL81" s="3">
        <v>0.12532571407201984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1"/>
  <sheetViews>
    <sheetView workbookViewId="0">
      <selection activeCell="I15" sqref="I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sheetPr>
    <tabColor theme="4"/>
  </sheetPr>
  <dimension ref="A1:AJ119"/>
  <sheetViews>
    <sheetView topLeftCell="Q1" zoomScale="70" zoomScaleNormal="70" workbookViewId="0">
      <selection activeCell="D5" sqref="D5:AJ5"/>
    </sheetView>
  </sheetViews>
  <sheetFormatPr baseColWidth="10" defaultRowHeight="14.5" x14ac:dyDescent="0.35"/>
  <cols>
    <col min="1" max="1" width="16.453125" bestFit="1" customWidth="1"/>
    <col min="35" max="36" width="12.26953125" bestFit="1" customWidth="1"/>
  </cols>
  <sheetData>
    <row r="1" spans="1:36" x14ac:dyDescent="0.35">
      <c r="A1" t="s">
        <v>107</v>
      </c>
    </row>
    <row r="2" spans="1:36" x14ac:dyDescent="0.35">
      <c r="A2" t="s">
        <v>108</v>
      </c>
    </row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A4" t="s">
        <v>109</v>
      </c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s="2" t="s">
        <v>140</v>
      </c>
      <c r="B5" s="2" t="s">
        <v>26</v>
      </c>
      <c r="C5" s="2" t="s">
        <v>27</v>
      </c>
      <c r="D5" s="2" t="s">
        <v>141</v>
      </c>
      <c r="E5" s="2" t="s">
        <v>142</v>
      </c>
      <c r="F5" s="2" t="s">
        <v>143</v>
      </c>
      <c r="G5" s="2" t="s">
        <v>144</v>
      </c>
      <c r="H5" s="2" t="s">
        <v>145</v>
      </c>
      <c r="I5" s="2" t="s">
        <v>146</v>
      </c>
      <c r="J5" s="2" t="s">
        <v>147</v>
      </c>
      <c r="K5" s="2" t="s">
        <v>148</v>
      </c>
      <c r="L5" s="2" t="s">
        <v>149</v>
      </c>
      <c r="M5" s="2" t="s">
        <v>150</v>
      </c>
      <c r="N5" s="2" t="s">
        <v>151</v>
      </c>
      <c r="O5" s="2" t="s">
        <v>152</v>
      </c>
      <c r="P5" s="2" t="s">
        <v>153</v>
      </c>
      <c r="Q5" s="2" t="s">
        <v>154</v>
      </c>
      <c r="R5" s="2" t="s">
        <v>155</v>
      </c>
      <c r="S5" s="2" t="s">
        <v>156</v>
      </c>
      <c r="T5" s="2" t="s">
        <v>157</v>
      </c>
      <c r="U5" s="2" t="s">
        <v>158</v>
      </c>
      <c r="V5" s="2" t="s">
        <v>159</v>
      </c>
      <c r="W5" s="2" t="s">
        <v>160</v>
      </c>
      <c r="X5" s="2" t="s">
        <v>161</v>
      </c>
      <c r="Y5" s="2" t="s">
        <v>162</v>
      </c>
      <c r="Z5" s="2" t="s">
        <v>163</v>
      </c>
      <c r="AA5" s="2" t="s">
        <v>164</v>
      </c>
      <c r="AB5" s="2" t="s">
        <v>165</v>
      </c>
      <c r="AC5" s="2" t="s">
        <v>166</v>
      </c>
      <c r="AD5" s="2" t="s">
        <v>167</v>
      </c>
      <c r="AE5" s="2" t="s">
        <v>168</v>
      </c>
      <c r="AF5" s="2" t="s">
        <v>169</v>
      </c>
      <c r="AG5" s="2" t="s">
        <v>170</v>
      </c>
      <c r="AH5" s="2" t="s">
        <v>171</v>
      </c>
      <c r="AI5" s="2" t="s">
        <v>172</v>
      </c>
      <c r="AJ5" s="2" t="s">
        <v>173</v>
      </c>
    </row>
    <row r="6" spans="1:36" x14ac:dyDescent="0.35">
      <c r="A6" t="s">
        <v>63</v>
      </c>
      <c r="B6" t="s">
        <v>76</v>
      </c>
      <c r="C6" s="4">
        <v>1</v>
      </c>
      <c r="D6" s="3">
        <f ca="1">RAND()*(D$3-C$3)+C$3</f>
        <v>9.0873004048900566E-4</v>
      </c>
      <c r="E6" s="3">
        <f ca="1">RAND()*(E$3-D$3)+D$3-D6</f>
        <v>6.92759589344979E-4</v>
      </c>
      <c r="F6" s="3">
        <f t="shared" ref="F6:AJ6" ca="1" si="2">RAND()*(F$3-E$3)+E$3-E6</f>
        <v>4.0652540237142761E-3</v>
      </c>
      <c r="G6" s="3">
        <f t="shared" ca="1" si="2"/>
        <v>2.5276413712607675E-3</v>
      </c>
      <c r="H6" s="3">
        <f t="shared" ca="1" si="2"/>
        <v>5.3545960795522984E-3</v>
      </c>
      <c r="I6" s="3">
        <f t="shared" ca="1" si="2"/>
        <v>3.9972985202008215E-3</v>
      </c>
      <c r="J6" s="3">
        <f t="shared" ca="1" si="2"/>
        <v>8.6006021368547278E-3</v>
      </c>
      <c r="K6" s="3">
        <f t="shared" ca="1" si="2"/>
        <v>4.7361214868178476E-3</v>
      </c>
      <c r="L6" s="3">
        <f t="shared" ca="1" si="2"/>
        <v>1.1033100746591135E-2</v>
      </c>
      <c r="M6" s="3">
        <f t="shared" ca="1" si="2"/>
        <v>6.6912997874203333E-3</v>
      </c>
      <c r="N6" s="3">
        <f t="shared" ca="1" si="2"/>
        <v>1.2352141769093232E-2</v>
      </c>
      <c r="O6" s="3">
        <f t="shared" ca="1" si="2"/>
        <v>8.971978322727921E-3</v>
      </c>
      <c r="P6" s="3">
        <f t="shared" ca="1" si="2"/>
        <v>1.4558639327613131E-2</v>
      </c>
      <c r="Q6" s="3">
        <f t="shared" ca="1" si="2"/>
        <v>1.1890840096464657E-2</v>
      </c>
      <c r="R6" s="3">
        <f t="shared" ca="1" si="2"/>
        <v>1.5149829134986843E-2</v>
      </c>
      <c r="S6" s="3">
        <f t="shared" ca="1" si="2"/>
        <v>1.4256767413286851E-2</v>
      </c>
      <c r="T6" s="3">
        <f t="shared" ca="1" si="2"/>
        <v>1.7955356432827183E-2</v>
      </c>
      <c r="U6" s="3">
        <f t="shared" ca="1" si="2"/>
        <v>1.5548173535937557E-2</v>
      </c>
      <c r="V6" s="3">
        <f t="shared" ca="1" si="2"/>
        <v>2.1237186900709817E-2</v>
      </c>
      <c r="W6" s="3">
        <f t="shared" ca="1" si="2"/>
        <v>1.5813908283122687E-2</v>
      </c>
      <c r="X6" s="3">
        <f t="shared" ca="1" si="2"/>
        <v>2.5555517609274631E-2</v>
      </c>
      <c r="Y6" s="3">
        <f t="shared" ca="1" si="2"/>
        <v>2.3032981014679273E-2</v>
      </c>
      <c r="Z6" s="3">
        <f t="shared" ca="1" si="2"/>
        <v>3.9024006264654375E-2</v>
      </c>
      <c r="AA6" s="3">
        <f t="shared" ca="1" si="2"/>
        <v>2.5051025377003398E-2</v>
      </c>
      <c r="AB6" s="3">
        <f t="shared" ca="1" si="2"/>
        <v>4.7531951163118653E-2</v>
      </c>
      <c r="AC6" s="3">
        <f t="shared" ca="1" si="2"/>
        <v>3.4828239336492449E-2</v>
      </c>
      <c r="AD6" s="3">
        <f t="shared" ca="1" si="2"/>
        <v>5.7263963203492287E-2</v>
      </c>
      <c r="AE6" s="3">
        <f t="shared" ca="1" si="2"/>
        <v>4.0556299736701697E-2</v>
      </c>
      <c r="AF6" s="3">
        <f t="shared" ca="1" si="2"/>
        <v>6.8152494778641715E-2</v>
      </c>
      <c r="AG6" s="3">
        <f t="shared" ca="1" si="2"/>
        <v>4.7867218863220484E-2</v>
      </c>
      <c r="AH6" s="3">
        <f t="shared" ca="1" si="2"/>
        <v>7.8813238640697031E-2</v>
      </c>
      <c r="AI6" s="3">
        <f t="shared" ca="1" si="2"/>
        <v>8.9195782167728471E-2</v>
      </c>
      <c r="AJ6" s="3">
        <f t="shared" ca="1" si="2"/>
        <v>0.12571935954470406</v>
      </c>
    </row>
    <row r="7" spans="1:36" x14ac:dyDescent="0.35">
      <c r="A7" t="s">
        <v>63</v>
      </c>
      <c r="B7" t="s">
        <v>76</v>
      </c>
      <c r="C7" s="4" t="s">
        <v>64</v>
      </c>
      <c r="D7" s="3">
        <f ca="1">D6+RAND()*($D$3-$C$3)+$C$3</f>
        <v>1.8923248160271412E-3</v>
      </c>
      <c r="E7" s="3">
        <f t="shared" ref="E7:AJ14" ca="1" si="3">E6+RAND()*($D$3-$C$3)+$C$3</f>
        <v>1.6648885814331412E-3</v>
      </c>
      <c r="F7" s="3">
        <f t="shared" ca="1" si="3"/>
        <v>5.032784788317559E-3</v>
      </c>
      <c r="G7" s="3">
        <f t="shared" ca="1" si="3"/>
        <v>3.5087500351485479E-3</v>
      </c>
      <c r="H7" s="3">
        <f t="shared" ca="1" si="3"/>
        <v>6.3489766202988896E-3</v>
      </c>
      <c r="I7" s="3">
        <f t="shared" ca="1" si="3"/>
        <v>4.9375023500262006E-3</v>
      </c>
      <c r="J7" s="3">
        <f t="shared" ca="1" si="3"/>
        <v>9.5044740932471363E-3</v>
      </c>
      <c r="K7" s="3">
        <f t="shared" ca="1" si="3"/>
        <v>5.7261903467697101E-3</v>
      </c>
      <c r="L7" s="3">
        <f t="shared" ca="1" si="3"/>
        <v>1.1971475924379202E-2</v>
      </c>
      <c r="M7" s="3">
        <f t="shared" ca="1" si="3"/>
        <v>7.6158741122472114E-3</v>
      </c>
      <c r="N7" s="3">
        <f t="shared" ca="1" si="3"/>
        <v>1.3348704871006667E-2</v>
      </c>
      <c r="O7" s="3">
        <f t="shared" ca="1" si="3"/>
        <v>9.9433205185718888E-3</v>
      </c>
      <c r="P7" s="3">
        <f t="shared" ca="1" si="3"/>
        <v>1.5533569136115918E-2</v>
      </c>
      <c r="Q7" s="3">
        <f t="shared" ca="1" si="3"/>
        <v>1.2863043207485365E-2</v>
      </c>
      <c r="R7" s="3">
        <f t="shared" ca="1" si="3"/>
        <v>1.6137019195287563E-2</v>
      </c>
      <c r="S7" s="3">
        <f t="shared" ca="1" si="3"/>
        <v>1.5168401506629785E-2</v>
      </c>
      <c r="T7" s="3">
        <f t="shared" ca="1" si="3"/>
        <v>1.8893447229638389E-2</v>
      </c>
      <c r="U7" s="3">
        <f t="shared" ca="1" si="3"/>
        <v>1.6477177760085591E-2</v>
      </c>
      <c r="V7" s="3">
        <f t="shared" ca="1" si="3"/>
        <v>2.2232841445960497E-2</v>
      </c>
      <c r="W7" s="3">
        <f t="shared" ca="1" si="3"/>
        <v>1.6790701080505753E-2</v>
      </c>
      <c r="X7" s="3">
        <f t="shared" ca="1" si="3"/>
        <v>2.6507808972240029E-2</v>
      </c>
      <c r="Y7" s="3">
        <f t="shared" ca="1" si="3"/>
        <v>2.4023842921381384E-2</v>
      </c>
      <c r="Z7" s="3">
        <f t="shared" ca="1" si="3"/>
        <v>4.0016372959340553E-2</v>
      </c>
      <c r="AA7" s="3">
        <f t="shared" ca="1" si="3"/>
        <v>2.6028413948074522E-2</v>
      </c>
      <c r="AB7" s="3">
        <f t="shared" ca="1" si="3"/>
        <v>4.8500111257332619E-2</v>
      </c>
      <c r="AC7" s="3">
        <f t="shared" ca="1" si="3"/>
        <v>3.5822204309944351E-2</v>
      </c>
      <c r="AD7" s="3">
        <f t="shared" ca="1" si="3"/>
        <v>5.8194924649532083E-2</v>
      </c>
      <c r="AE7" s="3">
        <f t="shared" ca="1" si="3"/>
        <v>4.1514275720748776E-2</v>
      </c>
      <c r="AF7" s="3">
        <f t="shared" ca="1" si="3"/>
        <v>6.9132990314950335E-2</v>
      </c>
      <c r="AG7" s="3">
        <f t="shared" ca="1" si="3"/>
        <v>4.8770933949210199E-2</v>
      </c>
      <c r="AH7" s="3">
        <f t="shared" ca="1" si="3"/>
        <v>7.9752745433118361E-2</v>
      </c>
      <c r="AI7" s="3">
        <f t="shared" ca="1" si="3"/>
        <v>9.0178186554154549E-2</v>
      </c>
      <c r="AJ7" s="3">
        <f t="shared" ca="1" si="3"/>
        <v>0.12663798559030423</v>
      </c>
    </row>
    <row r="8" spans="1:36" x14ac:dyDescent="0.35">
      <c r="A8" t="s">
        <v>63</v>
      </c>
      <c r="B8" t="s">
        <v>76</v>
      </c>
      <c r="C8" s="4">
        <v>2</v>
      </c>
      <c r="D8" s="3">
        <f t="shared" ref="D8:D24" ca="1" si="4">D7+RAND()*($D$3-$C$3)+$C$3</f>
        <v>2.8175283123235764E-3</v>
      </c>
      <c r="E8" s="3">
        <f t="shared" ca="1" si="3"/>
        <v>2.566149816306788E-3</v>
      </c>
      <c r="F8" s="3">
        <f t="shared" ca="1" si="3"/>
        <v>5.9786277688097323E-3</v>
      </c>
      <c r="G8" s="3">
        <f t="shared" ca="1" si="3"/>
        <v>4.4709130266035466E-3</v>
      </c>
      <c r="H8" s="3">
        <f t="shared" ca="1" si="3"/>
        <v>7.3065223403797593E-3</v>
      </c>
      <c r="I8" s="3">
        <f t="shared" ca="1" si="3"/>
        <v>5.8866854652582547E-3</v>
      </c>
      <c r="J8" s="3">
        <f t="shared" ca="1" si="3"/>
        <v>1.0498152202003317E-2</v>
      </c>
      <c r="K8" s="3">
        <f t="shared" ca="1" si="3"/>
        <v>6.6746807055827221E-3</v>
      </c>
      <c r="L8" s="3">
        <f t="shared" ca="1" si="3"/>
        <v>1.2918542449390634E-2</v>
      </c>
      <c r="M8" s="3">
        <f t="shared" ca="1" si="3"/>
        <v>8.5597790569804204E-3</v>
      </c>
      <c r="N8" s="3">
        <f t="shared" ca="1" si="3"/>
        <v>1.4308612899572705E-2</v>
      </c>
      <c r="O8" s="3">
        <f t="shared" ca="1" si="3"/>
        <v>1.0934162095903923E-2</v>
      </c>
      <c r="P8" s="3">
        <f t="shared" ca="1" si="3"/>
        <v>1.6461693099977578E-2</v>
      </c>
      <c r="Q8" s="3">
        <f t="shared" ca="1" si="3"/>
        <v>1.3807732661917125E-2</v>
      </c>
      <c r="R8" s="3">
        <f t="shared" ca="1" si="3"/>
        <v>1.7131513792248389E-2</v>
      </c>
      <c r="S8" s="3">
        <f t="shared" ca="1" si="3"/>
        <v>1.6147097961346391E-2</v>
      </c>
      <c r="T8" s="3">
        <f t="shared" ca="1" si="3"/>
        <v>1.9890961198724535E-2</v>
      </c>
      <c r="U8" s="3">
        <f t="shared" ca="1" si="3"/>
        <v>1.7398899535181336E-2</v>
      </c>
      <c r="V8" s="3">
        <f t="shared" ca="1" si="3"/>
        <v>2.319730694289867E-2</v>
      </c>
      <c r="W8" s="3">
        <f t="shared" ca="1" si="3"/>
        <v>1.7770584804372609E-2</v>
      </c>
      <c r="X8" s="3">
        <f t="shared" ca="1" si="3"/>
        <v>2.7502821120018527E-2</v>
      </c>
      <c r="Y8" s="3">
        <f t="shared" ca="1" si="3"/>
        <v>2.4931889092613981E-2</v>
      </c>
      <c r="Z8" s="3">
        <f t="shared" ca="1" si="3"/>
        <v>4.098248389958789E-2</v>
      </c>
      <c r="AA8" s="3">
        <f t="shared" ca="1" si="3"/>
        <v>2.6984141786841935E-2</v>
      </c>
      <c r="AB8" s="3">
        <f t="shared" ca="1" si="3"/>
        <v>4.9495649935478746E-2</v>
      </c>
      <c r="AC8" s="3">
        <f t="shared" ca="1" si="3"/>
        <v>3.6801772817457751E-2</v>
      </c>
      <c r="AD8" s="3">
        <f t="shared" ca="1" si="3"/>
        <v>5.9132497473260263E-2</v>
      </c>
      <c r="AE8" s="3">
        <f t="shared" ca="1" si="3"/>
        <v>4.2482183615030464E-2</v>
      </c>
      <c r="AF8" s="3">
        <f t="shared" ca="1" si="3"/>
        <v>7.011802613202231E-2</v>
      </c>
      <c r="AG8" s="3">
        <f t="shared" ca="1" si="3"/>
        <v>4.9683562113713921E-2</v>
      </c>
      <c r="AH8" s="3">
        <f t="shared" ca="1" si="3"/>
        <v>8.0744363619818002E-2</v>
      </c>
      <c r="AI8" s="3">
        <f t="shared" ca="1" si="3"/>
        <v>9.1122316781703142E-2</v>
      </c>
      <c r="AJ8" s="3">
        <f t="shared" ca="1" si="3"/>
        <v>0.1275705777678533</v>
      </c>
    </row>
    <row r="9" spans="1:36" x14ac:dyDescent="0.35">
      <c r="A9" t="s">
        <v>63</v>
      </c>
      <c r="B9" t="s">
        <v>76</v>
      </c>
      <c r="C9" s="4" t="s">
        <v>65</v>
      </c>
      <c r="D9" s="3">
        <f t="shared" ca="1" si="4"/>
        <v>3.7830645813786475E-3</v>
      </c>
      <c r="E9" s="3">
        <f t="shared" ca="1" si="3"/>
        <v>3.5483571708422226E-3</v>
      </c>
      <c r="F9" s="3">
        <f t="shared" ca="1" si="3"/>
        <v>6.9540338428589026E-3</v>
      </c>
      <c r="G9" s="3">
        <f t="shared" ca="1" si="3"/>
        <v>5.4383313160036671E-3</v>
      </c>
      <c r="H9" s="3">
        <f t="shared" ca="1" si="3"/>
        <v>8.3013196377886879E-3</v>
      </c>
      <c r="I9" s="3">
        <f t="shared" ca="1" si="3"/>
        <v>6.8802864670056817E-3</v>
      </c>
      <c r="J9" s="3">
        <f t="shared" ca="1" si="3"/>
        <v>1.149809914319987E-2</v>
      </c>
      <c r="K9" s="3">
        <f t="shared" ca="1" si="3"/>
        <v>7.6064933922562342E-3</v>
      </c>
      <c r="L9" s="3">
        <f t="shared" ca="1" si="3"/>
        <v>1.391694571760215E-2</v>
      </c>
      <c r="M9" s="3">
        <f t="shared" ca="1" si="3"/>
        <v>9.5233863057331523E-3</v>
      </c>
      <c r="N9" s="3">
        <f t="shared" ca="1" si="3"/>
        <v>1.5226101717636357E-2</v>
      </c>
      <c r="O9" s="3">
        <f t="shared" ca="1" si="3"/>
        <v>1.1879166913288703E-2</v>
      </c>
      <c r="P9" s="3">
        <f t="shared" ca="1" si="3"/>
        <v>1.7420262118930468E-2</v>
      </c>
      <c r="Q9" s="3">
        <f t="shared" ca="1" si="3"/>
        <v>1.4723458355925373E-2</v>
      </c>
      <c r="R9" s="3">
        <f t="shared" ca="1" si="3"/>
        <v>1.804222459641355E-2</v>
      </c>
      <c r="S9" s="3">
        <f t="shared" ca="1" si="3"/>
        <v>1.7111915789047819E-2</v>
      </c>
      <c r="T9" s="3">
        <f t="shared" ca="1" si="3"/>
        <v>2.0879542280953716E-2</v>
      </c>
      <c r="U9" s="3">
        <f t="shared" ca="1" si="3"/>
        <v>1.8323491915391139E-2</v>
      </c>
      <c r="V9" s="3">
        <f t="shared" ca="1" si="3"/>
        <v>2.4147189124835478E-2</v>
      </c>
      <c r="W9" s="3">
        <f t="shared" ca="1" si="3"/>
        <v>1.8689423310480013E-2</v>
      </c>
      <c r="X9" s="3">
        <f t="shared" ca="1" si="3"/>
        <v>2.8486027651261622E-2</v>
      </c>
      <c r="Y9" s="3">
        <f t="shared" ca="1" si="3"/>
        <v>2.5920292491510059E-2</v>
      </c>
      <c r="Z9" s="3">
        <f t="shared" ca="1" si="3"/>
        <v>4.195468944406771E-2</v>
      </c>
      <c r="AA9" s="3">
        <f t="shared" ca="1" si="3"/>
        <v>2.7983124688247502E-2</v>
      </c>
      <c r="AB9" s="3">
        <f t="shared" ca="1" si="3"/>
        <v>5.0404865439959222E-2</v>
      </c>
      <c r="AC9" s="3">
        <f t="shared" ca="1" si="3"/>
        <v>3.7729296613929326E-2</v>
      </c>
      <c r="AD9" s="3">
        <f t="shared" ca="1" si="3"/>
        <v>6.0045763044017736E-2</v>
      </c>
      <c r="AE9" s="3">
        <f t="shared" ca="1" si="3"/>
        <v>4.3448810065226884E-2</v>
      </c>
      <c r="AF9" s="3">
        <f t="shared" ca="1" si="3"/>
        <v>7.1059564159562619E-2</v>
      </c>
      <c r="AG9" s="3">
        <f t="shared" ca="1" si="3"/>
        <v>5.0629220363176894E-2</v>
      </c>
      <c r="AH9" s="3">
        <f t="shared" ca="1" si="3"/>
        <v>8.1676396924375741E-2</v>
      </c>
      <c r="AI9" s="3">
        <f t="shared" ca="1" si="3"/>
        <v>9.2026934462099211E-2</v>
      </c>
      <c r="AJ9" s="3">
        <f t="shared" ca="1" si="3"/>
        <v>0.12854648553299342</v>
      </c>
    </row>
    <row r="10" spans="1:36" x14ac:dyDescent="0.35">
      <c r="A10" t="s">
        <v>63</v>
      </c>
      <c r="B10" t="s">
        <v>76</v>
      </c>
      <c r="C10" s="4" t="s">
        <v>66</v>
      </c>
      <c r="D10" s="3">
        <f t="shared" ca="1" si="4"/>
        <v>4.6922677644790547E-3</v>
      </c>
      <c r="E10" s="3">
        <f t="shared" ca="1" si="3"/>
        <v>4.4820172241278678E-3</v>
      </c>
      <c r="F10" s="3">
        <f t="shared" ca="1" si="3"/>
        <v>7.8939370038932921E-3</v>
      </c>
      <c r="G10" s="3">
        <f t="shared" ca="1" si="3"/>
        <v>6.3692710647424867E-3</v>
      </c>
      <c r="H10" s="3">
        <f t="shared" ca="1" si="3"/>
        <v>9.2145984252638598E-3</v>
      </c>
      <c r="I10" s="3">
        <f t="shared" ca="1" si="3"/>
        <v>7.8059076952283514E-3</v>
      </c>
      <c r="J10" s="3">
        <f t="shared" ca="1" si="3"/>
        <v>1.24556271089157E-2</v>
      </c>
      <c r="K10" s="3">
        <f t="shared" ca="1" si="3"/>
        <v>8.5689445372419404E-3</v>
      </c>
      <c r="L10" s="3">
        <f t="shared" ca="1" si="3"/>
        <v>1.4894955732267338E-2</v>
      </c>
      <c r="M10" s="3">
        <f t="shared" ca="1" si="3"/>
        <v>1.0430498036445105E-2</v>
      </c>
      <c r="N10" s="3">
        <f t="shared" ca="1" si="3"/>
        <v>1.6206448433461636E-2</v>
      </c>
      <c r="O10" s="3">
        <f t="shared" ca="1" si="3"/>
        <v>1.2809673988677174E-2</v>
      </c>
      <c r="P10" s="3">
        <f t="shared" ca="1" si="3"/>
        <v>1.8369095809646206E-2</v>
      </c>
      <c r="Q10" s="3">
        <f t="shared" ca="1" si="3"/>
        <v>1.562431829213798E-2</v>
      </c>
      <c r="R10" s="3">
        <f t="shared" ca="1" si="3"/>
        <v>1.9020270576618942E-2</v>
      </c>
      <c r="S10" s="3">
        <f t="shared" ca="1" si="3"/>
        <v>1.8033599829350294E-2</v>
      </c>
      <c r="T10" s="3">
        <f t="shared" ca="1" si="3"/>
        <v>2.1809126546758942E-2</v>
      </c>
      <c r="U10" s="3">
        <f t="shared" ca="1" si="3"/>
        <v>1.9230744185364846E-2</v>
      </c>
      <c r="V10" s="3">
        <f t="shared" ca="1" si="3"/>
        <v>2.5118359278886473E-2</v>
      </c>
      <c r="W10" s="3">
        <f t="shared" ca="1" si="3"/>
        <v>1.9594034081455668E-2</v>
      </c>
      <c r="X10" s="3">
        <f t="shared" ca="1" si="3"/>
        <v>2.9459676690594048E-2</v>
      </c>
      <c r="Y10" s="3">
        <f t="shared" ca="1" si="3"/>
        <v>2.687452429281266E-2</v>
      </c>
      <c r="Z10" s="3">
        <f t="shared" ca="1" si="3"/>
        <v>4.2870599307143105E-2</v>
      </c>
      <c r="AA10" s="3">
        <f t="shared" ca="1" si="3"/>
        <v>2.889309768086934E-2</v>
      </c>
      <c r="AB10" s="3">
        <f t="shared" ca="1" si="3"/>
        <v>5.1326774550978886E-2</v>
      </c>
      <c r="AC10" s="3">
        <f t="shared" ca="1" si="3"/>
        <v>3.8686551037000146E-2</v>
      </c>
      <c r="AD10" s="3">
        <f t="shared" ca="1" si="3"/>
        <v>6.1010544036173245E-2</v>
      </c>
      <c r="AE10" s="3">
        <f t="shared" ca="1" si="3"/>
        <v>4.4448747984171734E-2</v>
      </c>
      <c r="AF10" s="3">
        <f t="shared" ca="1" si="3"/>
        <v>7.2049648298112459E-2</v>
      </c>
      <c r="AG10" s="3">
        <f t="shared" ca="1" si="3"/>
        <v>5.1553473582291474E-2</v>
      </c>
      <c r="AH10" s="3">
        <f t="shared" ca="1" si="3"/>
        <v>8.2665708393029336E-2</v>
      </c>
      <c r="AI10" s="3">
        <f t="shared" ca="1" si="3"/>
        <v>9.2970151061225914E-2</v>
      </c>
      <c r="AJ10" s="3">
        <f t="shared" ca="1" si="3"/>
        <v>0.12949818303859589</v>
      </c>
    </row>
    <row r="11" spans="1:36" x14ac:dyDescent="0.35">
      <c r="A11" t="s">
        <v>63</v>
      </c>
      <c r="B11" t="s">
        <v>76</v>
      </c>
      <c r="C11" s="4">
        <v>3</v>
      </c>
      <c r="D11" s="3">
        <f t="shared" ca="1" si="4"/>
        <v>5.5942744788683163E-3</v>
      </c>
      <c r="E11" s="3">
        <f t="shared" ca="1" si="3"/>
        <v>5.4190479847164219E-3</v>
      </c>
      <c r="F11" s="3">
        <f t="shared" ca="1" si="3"/>
        <v>8.8905669773036797E-3</v>
      </c>
      <c r="G11" s="3">
        <f t="shared" ca="1" si="3"/>
        <v>7.314793968492374E-3</v>
      </c>
      <c r="H11" s="3">
        <f t="shared" ca="1" si="3"/>
        <v>1.0130308044812721E-2</v>
      </c>
      <c r="I11" s="3">
        <f t="shared" ca="1" si="3"/>
        <v>8.7964713440263666E-3</v>
      </c>
      <c r="J11" s="3">
        <f t="shared" ca="1" si="3"/>
        <v>1.3384795807367966E-2</v>
      </c>
      <c r="K11" s="3">
        <f t="shared" ca="1" si="3"/>
        <v>9.4778468317303233E-3</v>
      </c>
      <c r="L11" s="3">
        <f t="shared" ca="1" si="3"/>
        <v>1.5854790669011198E-2</v>
      </c>
      <c r="M11" s="3">
        <f t="shared" ca="1" si="3"/>
        <v>1.1348462197499033E-2</v>
      </c>
      <c r="N11" s="3">
        <f t="shared" ca="1" si="3"/>
        <v>1.7158650349272497E-2</v>
      </c>
      <c r="O11" s="3">
        <f t="shared" ca="1" si="3"/>
        <v>1.3734394468983389E-2</v>
      </c>
      <c r="P11" s="3">
        <f t="shared" ca="1" si="3"/>
        <v>1.9289279928888368E-2</v>
      </c>
      <c r="Q11" s="3">
        <f t="shared" ca="1" si="3"/>
        <v>1.6524890609761925E-2</v>
      </c>
      <c r="R11" s="3">
        <f t="shared" ca="1" si="3"/>
        <v>1.999757761955373E-2</v>
      </c>
      <c r="S11" s="3">
        <f t="shared" ca="1" si="3"/>
        <v>1.8971163398076255E-2</v>
      </c>
      <c r="T11" s="3">
        <f t="shared" ca="1" si="3"/>
        <v>2.2794883616490492E-2</v>
      </c>
      <c r="U11" s="3">
        <f t="shared" ca="1" si="3"/>
        <v>2.0211801856654329E-2</v>
      </c>
      <c r="V11" s="3">
        <f t="shared" ca="1" si="3"/>
        <v>2.6111470461537795E-2</v>
      </c>
      <c r="W11" s="3">
        <f t="shared" ca="1" si="3"/>
        <v>2.0565481561719955E-2</v>
      </c>
      <c r="X11" s="3">
        <f t="shared" ca="1" si="3"/>
        <v>3.0422693033801906E-2</v>
      </c>
      <c r="Y11" s="3">
        <f t="shared" ca="1" si="3"/>
        <v>2.7803373949168705E-2</v>
      </c>
      <c r="Z11" s="3">
        <f t="shared" ca="1" si="3"/>
        <v>4.3864061056313179E-2</v>
      </c>
      <c r="AA11" s="3">
        <f t="shared" ca="1" si="3"/>
        <v>2.9875872752425186E-2</v>
      </c>
      <c r="AB11" s="3">
        <f t="shared" ca="1" si="3"/>
        <v>5.2276655642735786E-2</v>
      </c>
      <c r="AC11" s="3">
        <f t="shared" ca="1" si="3"/>
        <v>3.9652044479067193E-2</v>
      </c>
      <c r="AD11" s="3">
        <f t="shared" ca="1" si="3"/>
        <v>6.1995364053749794E-2</v>
      </c>
      <c r="AE11" s="3">
        <f t="shared" ca="1" si="3"/>
        <v>4.5414545083608149E-2</v>
      </c>
      <c r="AF11" s="3">
        <f t="shared" ca="1" si="3"/>
        <v>7.2981951926338731E-2</v>
      </c>
      <c r="AG11" s="3">
        <f t="shared" ca="1" si="3"/>
        <v>5.2512760441136182E-2</v>
      </c>
      <c r="AH11" s="3">
        <f t="shared" ca="1" si="3"/>
        <v>8.3628916117331795E-2</v>
      </c>
      <c r="AI11" s="3">
        <f t="shared" ca="1" si="3"/>
        <v>9.3911748074339774E-2</v>
      </c>
      <c r="AJ11" s="3">
        <f t="shared" ca="1" si="3"/>
        <v>0.13047900639743301</v>
      </c>
    </row>
    <row r="12" spans="1:36" x14ac:dyDescent="0.35">
      <c r="A12" t="s">
        <v>63</v>
      </c>
      <c r="B12" t="s">
        <v>76</v>
      </c>
      <c r="C12" s="4" t="s">
        <v>67</v>
      </c>
      <c r="D12" s="3">
        <f t="shared" ca="1" si="4"/>
        <v>6.5072617780631038E-3</v>
      </c>
      <c r="E12" s="3">
        <f t="shared" ca="1" si="3"/>
        <v>6.4186643093365288E-3</v>
      </c>
      <c r="F12" s="3">
        <f t="shared" ca="1" si="3"/>
        <v>9.8389702157035356E-3</v>
      </c>
      <c r="G12" s="3">
        <f t="shared" ca="1" si="3"/>
        <v>8.270226620715599E-3</v>
      </c>
      <c r="H12" s="3">
        <f t="shared" ca="1" si="3"/>
        <v>1.1039422900349247E-2</v>
      </c>
      <c r="I12" s="3">
        <f t="shared" ca="1" si="3"/>
        <v>9.7667726542578007E-3</v>
      </c>
      <c r="J12" s="3">
        <f t="shared" ca="1" si="3"/>
        <v>1.4288327321147674E-2</v>
      </c>
      <c r="K12" s="3">
        <f t="shared" ca="1" si="3"/>
        <v>1.0430795894998781E-2</v>
      </c>
      <c r="L12" s="3">
        <f t="shared" ca="1" si="3"/>
        <v>1.6768354203950248E-2</v>
      </c>
      <c r="M12" s="3">
        <f t="shared" ca="1" si="3"/>
        <v>1.2280189412680624E-2</v>
      </c>
      <c r="N12" s="3">
        <f t="shared" ca="1" si="3"/>
        <v>1.8102802595216967E-2</v>
      </c>
      <c r="O12" s="3">
        <f t="shared" ca="1" si="3"/>
        <v>1.4724009327180283E-2</v>
      </c>
      <c r="P12" s="3">
        <f t="shared" ca="1" si="3"/>
        <v>2.0240793716714691E-2</v>
      </c>
      <c r="Q12" s="3">
        <f t="shared" ca="1" si="3"/>
        <v>1.7435578296083731E-2</v>
      </c>
      <c r="R12" s="3">
        <f t="shared" ca="1" si="3"/>
        <v>2.0982953570196906E-2</v>
      </c>
      <c r="S12" s="3">
        <f t="shared" ca="1" si="3"/>
        <v>1.9927661150257583E-2</v>
      </c>
      <c r="T12" s="3">
        <f t="shared" ca="1" si="3"/>
        <v>2.372637492791884E-2</v>
      </c>
      <c r="U12" s="3">
        <f t="shared" ca="1" si="3"/>
        <v>2.1137929393930312E-2</v>
      </c>
      <c r="V12" s="3">
        <f t="shared" ca="1" si="3"/>
        <v>2.7076623094779297E-2</v>
      </c>
      <c r="W12" s="3">
        <f t="shared" ca="1" si="3"/>
        <v>2.1519817399304548E-2</v>
      </c>
      <c r="X12" s="3">
        <f t="shared" ca="1" si="3"/>
        <v>3.1353232413125001E-2</v>
      </c>
      <c r="Y12" s="3">
        <f t="shared" ca="1" si="3"/>
        <v>2.8766792116739943E-2</v>
      </c>
      <c r="Z12" s="3">
        <f t="shared" ca="1" si="3"/>
        <v>4.4803547748534782E-2</v>
      </c>
      <c r="AA12" s="3">
        <f t="shared" ca="1" si="3"/>
        <v>3.0833864563171998E-2</v>
      </c>
      <c r="AB12" s="3">
        <f t="shared" ca="1" si="3"/>
        <v>5.3192933576772773E-2</v>
      </c>
      <c r="AC12" s="3">
        <f t="shared" ca="1" si="3"/>
        <v>4.0576590048241462E-2</v>
      </c>
      <c r="AD12" s="3">
        <f t="shared" ca="1" si="3"/>
        <v>6.2905234727120118E-2</v>
      </c>
      <c r="AE12" s="3">
        <f t="shared" ca="1" si="3"/>
        <v>4.6374736740146152E-2</v>
      </c>
      <c r="AF12" s="3">
        <f t="shared" ca="1" si="3"/>
        <v>7.3918877030336505E-2</v>
      </c>
      <c r="AG12" s="3">
        <f t="shared" ca="1" si="3"/>
        <v>5.3491994473996211E-2</v>
      </c>
      <c r="AH12" s="3">
        <f t="shared" ca="1" si="3"/>
        <v>8.4595365111431148E-2</v>
      </c>
      <c r="AI12" s="3">
        <f t="shared" ca="1" si="3"/>
        <v>9.4856220357935575E-2</v>
      </c>
      <c r="AJ12" s="3">
        <f t="shared" ca="1" si="3"/>
        <v>0.1314006732661154</v>
      </c>
    </row>
    <row r="13" spans="1:36" x14ac:dyDescent="0.35">
      <c r="A13" t="s">
        <v>63</v>
      </c>
      <c r="B13" t="s">
        <v>76</v>
      </c>
      <c r="C13" s="4" t="s">
        <v>68</v>
      </c>
      <c r="D13" s="3">
        <f t="shared" ca="1" si="4"/>
        <v>7.4111620739236847E-3</v>
      </c>
      <c r="E13" s="3">
        <f t="shared" ca="1" si="3"/>
        <v>7.4160473104149414E-3</v>
      </c>
      <c r="F13" s="3">
        <f t="shared" ca="1" si="3"/>
        <v>1.0775310626386774E-2</v>
      </c>
      <c r="G13" s="3">
        <f t="shared" ca="1" si="3"/>
        <v>9.2130148898818109E-3</v>
      </c>
      <c r="H13" s="3">
        <f t="shared" ca="1" si="3"/>
        <v>1.1985507637467705E-2</v>
      </c>
      <c r="I13" s="3">
        <f t="shared" ca="1" si="3"/>
        <v>1.0727067324474081E-2</v>
      </c>
      <c r="J13" s="3">
        <f t="shared" ca="1" si="3"/>
        <v>1.5257844791897858E-2</v>
      </c>
      <c r="K13" s="3">
        <f t="shared" ca="1" si="3"/>
        <v>1.1371411213918006E-2</v>
      </c>
      <c r="L13" s="3">
        <f t="shared" ca="1" si="3"/>
        <v>1.7725915329527095E-2</v>
      </c>
      <c r="M13" s="3">
        <f t="shared" ca="1" si="3"/>
        <v>1.3244380702059544E-2</v>
      </c>
      <c r="N13" s="3">
        <f t="shared" ca="1" si="3"/>
        <v>1.9030669907762619E-2</v>
      </c>
      <c r="O13" s="3">
        <f t="shared" ca="1" si="3"/>
        <v>1.5656868639080054E-2</v>
      </c>
      <c r="P13" s="3">
        <f t="shared" ca="1" si="3"/>
        <v>2.1169052522782207E-2</v>
      </c>
      <c r="Q13" s="3">
        <f t="shared" ca="1" si="3"/>
        <v>1.8431167292795019E-2</v>
      </c>
      <c r="R13" s="3">
        <f t="shared" ca="1" si="3"/>
        <v>2.1928124644433118E-2</v>
      </c>
      <c r="S13" s="3">
        <f t="shared" ca="1" si="3"/>
        <v>2.0904079725548728E-2</v>
      </c>
      <c r="T13" s="3">
        <f t="shared" ca="1" si="3"/>
        <v>2.4627034545963933E-2</v>
      </c>
      <c r="U13" s="3">
        <f t="shared" ca="1" si="3"/>
        <v>2.2051426722053496E-2</v>
      </c>
      <c r="V13" s="3">
        <f t="shared" ca="1" si="3"/>
        <v>2.8018589169893717E-2</v>
      </c>
      <c r="W13" s="3">
        <f t="shared" ca="1" si="3"/>
        <v>2.2446705133094293E-2</v>
      </c>
      <c r="X13" s="3">
        <f t="shared" ca="1" si="3"/>
        <v>3.2261785530811916E-2</v>
      </c>
      <c r="Y13" s="3">
        <f t="shared" ca="1" si="3"/>
        <v>2.9668926958263463E-2</v>
      </c>
      <c r="Z13" s="3">
        <f t="shared" ca="1" si="3"/>
        <v>4.5756592378378209E-2</v>
      </c>
      <c r="AA13" s="3">
        <f t="shared" ca="1" si="3"/>
        <v>3.1801426991201684E-2</v>
      </c>
      <c r="AB13" s="3">
        <f t="shared" ca="1" si="3"/>
        <v>5.415018350931191E-2</v>
      </c>
      <c r="AC13" s="3">
        <f t="shared" ca="1" si="3"/>
        <v>4.1500302626473508E-2</v>
      </c>
      <c r="AD13" s="3">
        <f t="shared" ca="1" si="3"/>
        <v>6.3847408599207039E-2</v>
      </c>
      <c r="AE13" s="3">
        <f t="shared" ca="1" si="3"/>
        <v>4.73099613560738E-2</v>
      </c>
      <c r="AF13" s="3">
        <f t="shared" ca="1" si="3"/>
        <v>7.4916984195258163E-2</v>
      </c>
      <c r="AG13" s="3">
        <f t="shared" ca="1" si="3"/>
        <v>5.4462096330036562E-2</v>
      </c>
      <c r="AH13" s="3">
        <f t="shared" ca="1" si="3"/>
        <v>8.5580237549320162E-2</v>
      </c>
      <c r="AI13" s="3">
        <f t="shared" ca="1" si="3"/>
        <v>9.5840957239485408E-2</v>
      </c>
      <c r="AJ13" s="3">
        <f t="shared" ca="1" si="3"/>
        <v>0.13235023118328371</v>
      </c>
    </row>
    <row r="14" spans="1:36" x14ac:dyDescent="0.35">
      <c r="A14" t="s">
        <v>63</v>
      </c>
      <c r="B14" t="s">
        <v>76</v>
      </c>
      <c r="C14" s="4">
        <v>4</v>
      </c>
      <c r="D14" s="3">
        <f t="shared" ca="1" si="4"/>
        <v>8.3520800575525109E-3</v>
      </c>
      <c r="E14" s="3">
        <f t="shared" ca="1" si="3"/>
        <v>8.3358629709650977E-3</v>
      </c>
      <c r="F14" s="3">
        <f t="shared" ca="1" si="3"/>
        <v>1.1714404863455733E-2</v>
      </c>
      <c r="G14" s="3">
        <f t="shared" ca="1" si="3"/>
        <v>1.0180053528096583E-2</v>
      </c>
      <c r="H14" s="3">
        <f t="shared" ca="1" si="3"/>
        <v>1.2938500514886568E-2</v>
      </c>
      <c r="I14" s="3">
        <f t="shared" ca="1" si="3"/>
        <v>1.1692401745204386E-2</v>
      </c>
      <c r="J14" s="3">
        <f t="shared" ca="1" si="3"/>
        <v>1.6211337789727751E-2</v>
      </c>
      <c r="K14" s="3">
        <f t="shared" ca="1" si="3"/>
        <v>1.2321227668681045E-2</v>
      </c>
      <c r="L14" s="3">
        <f t="shared" ca="1" si="3"/>
        <v>1.8642544522466123E-2</v>
      </c>
      <c r="M14" s="3">
        <f t="shared" ca="1" si="3"/>
        <v>1.4178911202820917E-2</v>
      </c>
      <c r="N14" s="3">
        <f t="shared" ca="1" si="3"/>
        <v>2.0019778838211877E-2</v>
      </c>
      <c r="O14" s="3">
        <f t="shared" ca="1" si="3"/>
        <v>1.6586177542232475E-2</v>
      </c>
      <c r="P14" s="3">
        <f t="shared" ca="1" si="3"/>
        <v>2.2090641902851458E-2</v>
      </c>
      <c r="Q14" s="3">
        <f t="shared" ca="1" si="3"/>
        <v>1.9405564886151951E-2</v>
      </c>
      <c r="R14" s="3">
        <f t="shared" ca="1" si="3"/>
        <v>2.2927124797033682E-2</v>
      </c>
      <c r="S14" s="3">
        <f t="shared" ca="1" si="3"/>
        <v>2.1857040400956547E-2</v>
      </c>
      <c r="T14" s="3">
        <f t="shared" ca="1" si="3"/>
        <v>2.561172026215696E-2</v>
      </c>
      <c r="U14" s="3">
        <f t="shared" ca="1" si="3"/>
        <v>2.3009661121339346E-2</v>
      </c>
      <c r="V14" s="3">
        <f t="shared" ca="1" si="3"/>
        <v>2.8982982623372757E-2</v>
      </c>
      <c r="W14" s="3">
        <f t="shared" ca="1" si="3"/>
        <v>2.338653919502889E-2</v>
      </c>
      <c r="X14" s="3">
        <f t="shared" ca="1" si="3"/>
        <v>3.3253493894606238E-2</v>
      </c>
      <c r="Y14" s="3">
        <f t="shared" ca="1" si="3"/>
        <v>3.0628156595537373E-2</v>
      </c>
      <c r="Z14" s="3">
        <f t="shared" ca="1" si="3"/>
        <v>4.6686007122657046E-2</v>
      </c>
      <c r="AA14" s="3">
        <f t="shared" ca="1" si="3"/>
        <v>3.2800871969292898E-2</v>
      </c>
      <c r="AB14" s="3">
        <f t="shared" ca="1" si="3"/>
        <v>5.5100027381240257E-2</v>
      </c>
      <c r="AC14" s="3">
        <f t="shared" ca="1" si="3"/>
        <v>4.2409454515623869E-2</v>
      </c>
      <c r="AD14" s="3">
        <f t="shared" ca="1" si="3"/>
        <v>6.481455885055705E-2</v>
      </c>
      <c r="AE14" s="3">
        <f t="shared" ca="1" si="3"/>
        <v>4.8221019353694487E-2</v>
      </c>
      <c r="AF14" s="3">
        <f t="shared" ca="1" si="3"/>
        <v>7.5893395313038042E-2</v>
      </c>
      <c r="AG14" s="3">
        <f t="shared" ca="1" si="3"/>
        <v>5.5421156855715248E-2</v>
      </c>
      <c r="AH14" s="3">
        <f t="shared" ca="1" si="3"/>
        <v>8.656906406684145E-2</v>
      </c>
      <c r="AI14" s="3">
        <f t="shared" ca="1" si="3"/>
        <v>9.674843772341539E-2</v>
      </c>
      <c r="AJ14" s="3">
        <f t="shared" ref="AJ14:AJ24" ca="1" si="5">AJ13+RAND()*($D$3-$C$3)+$C$3</f>
        <v>0.13334224271623046</v>
      </c>
    </row>
    <row r="15" spans="1:36" x14ac:dyDescent="0.35">
      <c r="A15" t="s">
        <v>63</v>
      </c>
      <c r="B15" t="s">
        <v>76</v>
      </c>
      <c r="C15" s="4" t="s">
        <v>69</v>
      </c>
      <c r="D15" s="3">
        <f t="shared" ca="1" si="4"/>
        <v>9.2528927813820428E-3</v>
      </c>
      <c r="E15" s="3">
        <f t="shared" ref="E15:E24" ca="1" si="6">E14+RAND()*($D$3-$C$3)+$C$3</f>
        <v>9.2824051171575151E-3</v>
      </c>
      <c r="F15" s="3">
        <f t="shared" ref="F15:F24" ca="1" si="7">F14+RAND()*($D$3-$C$3)+$C$3</f>
        <v>1.2672549182777569E-2</v>
      </c>
      <c r="G15" s="3">
        <f t="shared" ref="G15:G24" ca="1" si="8">G14+RAND()*($D$3-$C$3)+$C$3</f>
        <v>1.1115228540177734E-2</v>
      </c>
      <c r="H15" s="3">
        <f t="shared" ref="H15:H24" ca="1" si="9">H14+RAND()*($D$3-$C$3)+$C$3</f>
        <v>1.3904244730124559E-2</v>
      </c>
      <c r="I15" s="3">
        <f t="shared" ref="I15:I24" ca="1" si="10">I14+RAND()*($D$3-$C$3)+$C$3</f>
        <v>1.2672427692525299E-2</v>
      </c>
      <c r="J15" s="3">
        <f t="shared" ref="J15:J24" ca="1" si="11">J14+RAND()*($D$3-$C$3)+$C$3</f>
        <v>1.7198976618254546E-2</v>
      </c>
      <c r="K15" s="3">
        <f t="shared" ref="K15:K24" ca="1" si="12">K14+RAND()*($D$3-$C$3)+$C$3</f>
        <v>1.3293996462293208E-2</v>
      </c>
      <c r="L15" s="3">
        <f t="shared" ref="L15:L24" ca="1" si="13">L14+RAND()*($D$3-$C$3)+$C$3</f>
        <v>1.9608068838596979E-2</v>
      </c>
      <c r="M15" s="3">
        <f t="shared" ref="M15:M24" ca="1" si="14">M14+RAND()*($D$3-$C$3)+$C$3</f>
        <v>1.5113425867899663E-2</v>
      </c>
      <c r="N15" s="3">
        <f t="shared" ref="N15:N24" ca="1" si="15">N14+RAND()*($D$3-$C$3)+$C$3</f>
        <v>2.0948623098868628E-2</v>
      </c>
      <c r="O15" s="3">
        <f t="shared" ref="O15:O24" ca="1" si="16">O14+RAND()*($D$3-$C$3)+$C$3</f>
        <v>1.7528040856690678E-2</v>
      </c>
      <c r="P15" s="3">
        <f t="shared" ref="P15:P24" ca="1" si="17">P14+RAND()*($D$3-$C$3)+$C$3</f>
        <v>2.2995507346124669E-2</v>
      </c>
      <c r="Q15" s="3">
        <f t="shared" ref="Q15:Q24" ca="1" si="18">Q14+RAND()*($D$3-$C$3)+$C$3</f>
        <v>2.0403194391290961E-2</v>
      </c>
      <c r="R15" s="3">
        <f t="shared" ref="R15:R24" ca="1" si="19">R14+RAND()*($D$3-$C$3)+$C$3</f>
        <v>2.3884104771294622E-2</v>
      </c>
      <c r="S15" s="3">
        <f t="shared" ref="S15:S24" ca="1" si="20">S14+RAND()*($D$3-$C$3)+$C$3</f>
        <v>2.2800543029163914E-2</v>
      </c>
      <c r="T15" s="3">
        <f t="shared" ref="T15:T24" ca="1" si="21">T14+RAND()*($D$3-$C$3)+$C$3</f>
        <v>2.6555396402967769E-2</v>
      </c>
      <c r="U15" s="3">
        <f t="shared" ref="U15:U24" ca="1" si="22">U14+RAND()*($D$3-$C$3)+$C$3</f>
        <v>2.3954858093652512E-2</v>
      </c>
      <c r="V15" s="3">
        <f t="shared" ref="V15:V24" ca="1" si="23">V14+RAND()*($D$3-$C$3)+$C$3</f>
        <v>2.9921535955726788E-2</v>
      </c>
      <c r="W15" s="3">
        <f t="shared" ref="W15:W24" ca="1" si="24">W14+RAND()*($D$3-$C$3)+$C$3</f>
        <v>2.4300833425765098E-2</v>
      </c>
      <c r="X15" s="3">
        <f t="shared" ref="X15:X24" ca="1" si="25">X14+RAND()*($D$3-$C$3)+$C$3</f>
        <v>3.4222654669474571E-2</v>
      </c>
      <c r="Y15" s="3">
        <f t="shared" ref="Y15:Y24" ca="1" si="26">Y14+RAND()*($D$3-$C$3)+$C$3</f>
        <v>3.1535037618145363E-2</v>
      </c>
      <c r="Z15" s="3">
        <f t="shared" ref="Z15:Z24" ca="1" si="27">Z14+RAND()*($D$3-$C$3)+$C$3</f>
        <v>4.7612495434711397E-2</v>
      </c>
      <c r="AA15" s="3">
        <f t="shared" ref="AA15:AA24" ca="1" si="28">AA14+RAND()*($D$3-$C$3)+$C$3</f>
        <v>3.3730030037916289E-2</v>
      </c>
      <c r="AB15" s="3">
        <f t="shared" ref="AB15:AB24" ca="1" si="29">AB14+RAND()*($D$3-$C$3)+$C$3</f>
        <v>5.6084024443282032E-2</v>
      </c>
      <c r="AC15" s="3">
        <f t="shared" ref="AC15:AC24" ca="1" si="30">AC14+RAND()*($D$3-$C$3)+$C$3</f>
        <v>4.3396203139463671E-2</v>
      </c>
      <c r="AD15" s="3">
        <f t="shared" ref="AD15:AD24" ca="1" si="31">AD14+RAND()*($D$3-$C$3)+$C$3</f>
        <v>6.5739844545102621E-2</v>
      </c>
      <c r="AE15" s="3">
        <f t="shared" ref="AE15:AE24" ca="1" si="32">AE14+RAND()*($D$3-$C$3)+$C$3</f>
        <v>4.918937073479028E-2</v>
      </c>
      <c r="AF15" s="3">
        <f t="shared" ref="AF15:AF24" ca="1" si="33">AF14+RAND()*($D$3-$C$3)+$C$3</f>
        <v>7.6859734385545955E-2</v>
      </c>
      <c r="AG15" s="3">
        <f t="shared" ref="AG15:AG24" ca="1" si="34">AG14+RAND()*($D$3-$C$3)+$C$3</f>
        <v>5.6399467951680118E-2</v>
      </c>
      <c r="AH15" s="3">
        <f t="shared" ref="AH15:AH24" ca="1" si="35">AH14+RAND()*($D$3-$C$3)+$C$3</f>
        <v>8.7543067698873364E-2</v>
      </c>
      <c r="AI15" s="3">
        <f t="shared" ref="AI15:AI24" ca="1" si="36">AI14+RAND()*($D$3-$C$3)+$C$3</f>
        <v>9.7703129102216915E-2</v>
      </c>
      <c r="AJ15" s="3">
        <f t="shared" ca="1" si="5"/>
        <v>0.13433512323311783</v>
      </c>
    </row>
    <row r="16" spans="1:36" x14ac:dyDescent="0.35">
      <c r="A16" t="s">
        <v>63</v>
      </c>
      <c r="B16" t="s">
        <v>76</v>
      </c>
      <c r="C16" s="4" t="s">
        <v>70</v>
      </c>
      <c r="D16" s="3">
        <f t="shared" ca="1" si="4"/>
        <v>1.021790717511799E-2</v>
      </c>
      <c r="E16" s="3">
        <f t="shared" ca="1" si="6"/>
        <v>1.0260425210607335E-2</v>
      </c>
      <c r="F16" s="3">
        <f t="shared" ca="1" si="7"/>
        <v>1.3604297579761278E-2</v>
      </c>
      <c r="G16" s="3">
        <f t="shared" ca="1" si="8"/>
        <v>1.2098446303545578E-2</v>
      </c>
      <c r="H16" s="3">
        <f t="shared" ca="1" si="9"/>
        <v>1.4821406506635009E-2</v>
      </c>
      <c r="I16" s="3">
        <f t="shared" ca="1" si="10"/>
        <v>1.3613072348121648E-2</v>
      </c>
      <c r="J16" s="3">
        <f t="shared" ca="1" si="11"/>
        <v>1.8120896269045964E-2</v>
      </c>
      <c r="K16" s="3">
        <f t="shared" ca="1" si="12"/>
        <v>1.4225934381121031E-2</v>
      </c>
      <c r="L16" s="3">
        <f t="shared" ca="1" si="13"/>
        <v>2.0538076483926311E-2</v>
      </c>
      <c r="M16" s="3">
        <f t="shared" ca="1" si="14"/>
        <v>1.6019057466010029E-2</v>
      </c>
      <c r="N16" s="3">
        <f t="shared" ca="1" si="15"/>
        <v>2.1896820231957638E-2</v>
      </c>
      <c r="O16" s="3">
        <f t="shared" ca="1" si="16"/>
        <v>1.8470061928958E-2</v>
      </c>
      <c r="P16" s="3">
        <f t="shared" ca="1" si="17"/>
        <v>2.3941357922615012E-2</v>
      </c>
      <c r="Q16" s="3">
        <f t="shared" ca="1" si="18"/>
        <v>2.1319654618823021E-2</v>
      </c>
      <c r="R16" s="3">
        <f t="shared" ca="1" si="19"/>
        <v>2.4878186785647485E-2</v>
      </c>
      <c r="S16" s="3">
        <f t="shared" ca="1" si="20"/>
        <v>2.376568857838823E-2</v>
      </c>
      <c r="T16" s="3">
        <f t="shared" ca="1" si="21"/>
        <v>2.7501869293947174E-2</v>
      </c>
      <c r="U16" s="3">
        <f t="shared" ca="1" si="22"/>
        <v>2.4944137006687697E-2</v>
      </c>
      <c r="V16" s="3">
        <f t="shared" ca="1" si="23"/>
        <v>3.0911974268886637E-2</v>
      </c>
      <c r="W16" s="3">
        <f t="shared" ca="1" si="24"/>
        <v>2.5251466371785297E-2</v>
      </c>
      <c r="X16" s="3">
        <f t="shared" ca="1" si="25"/>
        <v>3.5157869967204394E-2</v>
      </c>
      <c r="Y16" s="3">
        <f t="shared" ca="1" si="26"/>
        <v>3.2474682437786687E-2</v>
      </c>
      <c r="Z16" s="3">
        <f t="shared" ca="1" si="27"/>
        <v>4.8578907339580091E-2</v>
      </c>
      <c r="AA16" s="3">
        <f t="shared" ca="1" si="28"/>
        <v>3.4661739532130233E-2</v>
      </c>
      <c r="AB16" s="3">
        <f t="shared" ca="1" si="29"/>
        <v>5.7078184019322256E-2</v>
      </c>
      <c r="AC16" s="3">
        <f t="shared" ca="1" si="30"/>
        <v>4.4379430381883252E-2</v>
      </c>
      <c r="AD16" s="3">
        <f t="shared" ca="1" si="31"/>
        <v>6.6648648288481716E-2</v>
      </c>
      <c r="AE16" s="3">
        <f t="shared" ca="1" si="32"/>
        <v>5.0178590310255337E-2</v>
      </c>
      <c r="AF16" s="3">
        <f t="shared" ca="1" si="33"/>
        <v>7.7811514189398731E-2</v>
      </c>
      <c r="AG16" s="3">
        <f t="shared" ca="1" si="34"/>
        <v>5.7361755985027414E-2</v>
      </c>
      <c r="AH16" s="3">
        <f t="shared" ca="1" si="35"/>
        <v>8.8519854011083587E-2</v>
      </c>
      <c r="AI16" s="3">
        <f t="shared" ca="1" si="36"/>
        <v>9.8631094923656598E-2</v>
      </c>
      <c r="AJ16" s="3">
        <f t="shared" ca="1" si="5"/>
        <v>0.13531527861777903</v>
      </c>
    </row>
    <row r="17" spans="1:36" x14ac:dyDescent="0.35">
      <c r="A17" t="s">
        <v>63</v>
      </c>
      <c r="B17" t="s">
        <v>76</v>
      </c>
      <c r="C17" s="4">
        <v>5</v>
      </c>
      <c r="D17" s="3">
        <f t="shared" ca="1" si="4"/>
        <v>1.1141127813324343E-2</v>
      </c>
      <c r="E17" s="3">
        <f t="shared" ca="1" si="6"/>
        <v>1.1206307092020029E-2</v>
      </c>
      <c r="F17" s="3">
        <f t="shared" ca="1" si="7"/>
        <v>1.4519127305588388E-2</v>
      </c>
      <c r="G17" s="3">
        <f t="shared" ca="1" si="8"/>
        <v>1.3069265154552739E-2</v>
      </c>
      <c r="H17" s="3">
        <f t="shared" ca="1" si="9"/>
        <v>1.5724130101544054E-2</v>
      </c>
      <c r="I17" s="3">
        <f t="shared" ca="1" si="10"/>
        <v>1.4565490926466487E-2</v>
      </c>
      <c r="J17" s="3">
        <f t="shared" ca="1" si="11"/>
        <v>1.9062449914054036E-2</v>
      </c>
      <c r="K17" s="3">
        <f t="shared" ca="1" si="12"/>
        <v>1.5222492722526943E-2</v>
      </c>
      <c r="L17" s="3">
        <f t="shared" ca="1" si="13"/>
        <v>2.1509705172763519E-2</v>
      </c>
      <c r="M17" s="3">
        <f t="shared" ca="1" si="14"/>
        <v>1.6926559332582799E-2</v>
      </c>
      <c r="N17" s="3">
        <f t="shared" ca="1" si="15"/>
        <v>2.2872966120531624E-2</v>
      </c>
      <c r="O17" s="3">
        <f t="shared" ca="1" si="16"/>
        <v>1.9399343335724517E-2</v>
      </c>
      <c r="P17" s="3">
        <f t="shared" ca="1" si="17"/>
        <v>2.4855146679280692E-2</v>
      </c>
      <c r="Q17" s="3">
        <f t="shared" ca="1" si="18"/>
        <v>2.22897607146007E-2</v>
      </c>
      <c r="R17" s="3">
        <f t="shared" ca="1" si="19"/>
        <v>2.5875759237192781E-2</v>
      </c>
      <c r="S17" s="3">
        <f t="shared" ca="1" si="20"/>
        <v>2.4678778355925527E-2</v>
      </c>
      <c r="T17" s="3">
        <f t="shared" ca="1" si="21"/>
        <v>2.8459356794746506E-2</v>
      </c>
      <c r="U17" s="3">
        <f t="shared" ca="1" si="22"/>
        <v>2.5904221102308576E-2</v>
      </c>
      <c r="V17" s="3">
        <f t="shared" ca="1" si="23"/>
        <v>3.1829100213476028E-2</v>
      </c>
      <c r="W17" s="3">
        <f t="shared" ca="1" si="24"/>
        <v>2.6169232363111177E-2</v>
      </c>
      <c r="X17" s="3">
        <f t="shared" ca="1" si="25"/>
        <v>3.6119424562016215E-2</v>
      </c>
      <c r="Y17" s="3">
        <f t="shared" ca="1" si="26"/>
        <v>3.3381735075919301E-2</v>
      </c>
      <c r="Z17" s="3">
        <f t="shared" ca="1" si="27"/>
        <v>4.951395005798543E-2</v>
      </c>
      <c r="AA17" s="3">
        <f t="shared" ca="1" si="28"/>
        <v>3.562477619369276E-2</v>
      </c>
      <c r="AB17" s="3">
        <f t="shared" ca="1" si="29"/>
        <v>5.8042020244689387E-2</v>
      </c>
      <c r="AC17" s="3">
        <f t="shared" ca="1" si="30"/>
        <v>4.5298200315280743E-2</v>
      </c>
      <c r="AD17" s="3">
        <f t="shared" ca="1" si="31"/>
        <v>6.7648332340733169E-2</v>
      </c>
      <c r="AE17" s="3">
        <f t="shared" ca="1" si="32"/>
        <v>5.1091919330193136E-2</v>
      </c>
      <c r="AF17" s="3">
        <f t="shared" ca="1" si="33"/>
        <v>7.8718608990060293E-2</v>
      </c>
      <c r="AG17" s="3">
        <f t="shared" ca="1" si="34"/>
        <v>5.8349041190509182E-2</v>
      </c>
      <c r="AH17" s="3">
        <f t="shared" ca="1" si="35"/>
        <v>8.9493998608522807E-2</v>
      </c>
      <c r="AI17" s="3">
        <f t="shared" ca="1" si="36"/>
        <v>9.9619290795250046E-2</v>
      </c>
      <c r="AJ17" s="3">
        <f t="shared" ca="1" si="5"/>
        <v>0.13624457796971182</v>
      </c>
    </row>
    <row r="18" spans="1:36" x14ac:dyDescent="0.35">
      <c r="A18" t="s">
        <v>63</v>
      </c>
      <c r="B18" t="s">
        <v>76</v>
      </c>
      <c r="C18" s="4" t="s">
        <v>71</v>
      </c>
      <c r="D18" s="3">
        <f t="shared" ca="1" si="4"/>
        <v>1.2047898189398751E-2</v>
      </c>
      <c r="E18" s="3">
        <f t="shared" ca="1" si="6"/>
        <v>1.2193947782503186E-2</v>
      </c>
      <c r="F18" s="3">
        <f t="shared" ca="1" si="7"/>
        <v>1.5486662318163135E-2</v>
      </c>
      <c r="G18" s="3">
        <f t="shared" ca="1" si="8"/>
        <v>1.405317419400059E-2</v>
      </c>
      <c r="H18" s="3">
        <f t="shared" ca="1" si="9"/>
        <v>1.6642036865934302E-2</v>
      </c>
      <c r="I18" s="3">
        <f t="shared" ca="1" si="10"/>
        <v>1.5560211502161098E-2</v>
      </c>
      <c r="J18" s="3">
        <f t="shared" ca="1" si="11"/>
        <v>2.0049534859065018E-2</v>
      </c>
      <c r="K18" s="3">
        <f t="shared" ca="1" si="12"/>
        <v>1.6169060962864665E-2</v>
      </c>
      <c r="L18" s="3">
        <f t="shared" ca="1" si="13"/>
        <v>2.2430331738163226E-2</v>
      </c>
      <c r="M18" s="3">
        <f t="shared" ca="1" si="14"/>
        <v>1.787662442668143E-2</v>
      </c>
      <c r="N18" s="3">
        <f t="shared" ca="1" si="15"/>
        <v>2.3809813455247738E-2</v>
      </c>
      <c r="O18" s="3">
        <f t="shared" ca="1" si="16"/>
        <v>2.0377995931433933E-2</v>
      </c>
      <c r="P18" s="3">
        <f t="shared" ca="1" si="17"/>
        <v>2.579321657406795E-2</v>
      </c>
      <c r="Q18" s="3">
        <f t="shared" ca="1" si="18"/>
        <v>2.325841945210019E-2</v>
      </c>
      <c r="R18" s="3">
        <f t="shared" ca="1" si="19"/>
        <v>2.677727832617658E-2</v>
      </c>
      <c r="S18" s="3">
        <f t="shared" ca="1" si="20"/>
        <v>2.5646409761639854E-2</v>
      </c>
      <c r="T18" s="3">
        <f t="shared" ca="1" si="21"/>
        <v>2.9415216781662489E-2</v>
      </c>
      <c r="U18" s="3">
        <f t="shared" ca="1" si="22"/>
        <v>2.6804867165896144E-2</v>
      </c>
      <c r="V18" s="3">
        <f t="shared" ca="1" si="23"/>
        <v>3.2730977380573942E-2</v>
      </c>
      <c r="W18" s="3">
        <f t="shared" ca="1" si="24"/>
        <v>2.7087726139519517E-2</v>
      </c>
      <c r="X18" s="3">
        <f t="shared" ca="1" si="25"/>
        <v>3.7095100583476613E-2</v>
      </c>
      <c r="Y18" s="3">
        <f t="shared" ca="1" si="26"/>
        <v>3.4334191895975051E-2</v>
      </c>
      <c r="Z18" s="3">
        <f t="shared" ca="1" si="27"/>
        <v>5.0455706509084312E-2</v>
      </c>
      <c r="AA18" s="3">
        <f t="shared" ca="1" si="28"/>
        <v>3.6556358937544491E-2</v>
      </c>
      <c r="AB18" s="3">
        <f t="shared" ca="1" si="29"/>
        <v>5.8948572433135067E-2</v>
      </c>
      <c r="AC18" s="3">
        <f t="shared" ca="1" si="30"/>
        <v>4.6230392305639544E-2</v>
      </c>
      <c r="AD18" s="3">
        <f t="shared" ca="1" si="31"/>
        <v>6.856393746638613E-2</v>
      </c>
      <c r="AE18" s="3">
        <f t="shared" ca="1" si="32"/>
        <v>5.2082503672523733E-2</v>
      </c>
      <c r="AF18" s="3">
        <f t="shared" ca="1" si="33"/>
        <v>7.9668273245599094E-2</v>
      </c>
      <c r="AG18" s="3">
        <f t="shared" ca="1" si="34"/>
        <v>5.9300967396244318E-2</v>
      </c>
      <c r="AH18" s="3">
        <f t="shared" ca="1" si="35"/>
        <v>9.044701745467601E-2</v>
      </c>
      <c r="AI18" s="3">
        <f t="shared" ca="1" si="36"/>
        <v>0.10052284634534332</v>
      </c>
      <c r="AJ18" s="3">
        <f t="shared" ca="1" si="5"/>
        <v>0.13720877061491066</v>
      </c>
    </row>
    <row r="19" spans="1:36" x14ac:dyDescent="0.35">
      <c r="A19" t="s">
        <v>63</v>
      </c>
      <c r="B19" t="s">
        <v>76</v>
      </c>
      <c r="C19" s="4" t="s">
        <v>72</v>
      </c>
      <c r="D19" s="3">
        <f t="shared" ca="1" si="4"/>
        <v>1.3013505165867148E-2</v>
      </c>
      <c r="E19" s="3">
        <f t="shared" ca="1" si="6"/>
        <v>1.3101137214670266E-2</v>
      </c>
      <c r="F19" s="3">
        <f t="shared" ca="1" si="7"/>
        <v>1.6410918885738125E-2</v>
      </c>
      <c r="G19" s="3">
        <f t="shared" ca="1" si="8"/>
        <v>1.4954117364351564E-2</v>
      </c>
      <c r="H19" s="3">
        <f t="shared" ca="1" si="9"/>
        <v>1.7587022473391677E-2</v>
      </c>
      <c r="I19" s="3">
        <f t="shared" ca="1" si="10"/>
        <v>1.6522164274478335E-2</v>
      </c>
      <c r="J19" s="3">
        <f t="shared" ca="1" si="11"/>
        <v>2.1022467919716684E-2</v>
      </c>
      <c r="K19" s="3">
        <f t="shared" ca="1" si="12"/>
        <v>1.7131211947502549E-2</v>
      </c>
      <c r="L19" s="3">
        <f t="shared" ca="1" si="13"/>
        <v>2.3353501189013529E-2</v>
      </c>
      <c r="M19" s="3">
        <f t="shared" ca="1" si="14"/>
        <v>1.8792964892850067E-2</v>
      </c>
      <c r="N19" s="3">
        <f t="shared" ca="1" si="15"/>
        <v>2.4760148147333474E-2</v>
      </c>
      <c r="O19" s="3">
        <f t="shared" ca="1" si="16"/>
        <v>2.1367970339510229E-2</v>
      </c>
      <c r="P19" s="3">
        <f t="shared" ca="1" si="17"/>
        <v>2.671881869945408E-2</v>
      </c>
      <c r="Q19" s="3">
        <f t="shared" ca="1" si="18"/>
        <v>2.418898261858253E-2</v>
      </c>
      <c r="R19" s="3">
        <f t="shared" ca="1" si="19"/>
        <v>2.771987540806628E-2</v>
      </c>
      <c r="S19" s="3">
        <f t="shared" ca="1" si="20"/>
        <v>2.6584865961715783E-2</v>
      </c>
      <c r="T19" s="3">
        <f t="shared" ca="1" si="21"/>
        <v>3.0401563884860167E-2</v>
      </c>
      <c r="U19" s="3">
        <f t="shared" ca="1" si="22"/>
        <v>2.7783487034411102E-2</v>
      </c>
      <c r="V19" s="3">
        <f t="shared" ca="1" si="23"/>
        <v>3.3659832673463237E-2</v>
      </c>
      <c r="W19" s="3">
        <f t="shared" ca="1" si="24"/>
        <v>2.8058065415066485E-2</v>
      </c>
      <c r="X19" s="3">
        <f t="shared" ca="1" si="25"/>
        <v>3.8059878139085179E-2</v>
      </c>
      <c r="Y19" s="3">
        <f t="shared" ca="1" si="26"/>
        <v>3.5235837176143488E-2</v>
      </c>
      <c r="Z19" s="3">
        <f t="shared" ca="1" si="27"/>
        <v>5.1398676152535808E-2</v>
      </c>
      <c r="AA19" s="3">
        <f t="shared" ca="1" si="28"/>
        <v>3.7542617821804521E-2</v>
      </c>
      <c r="AB19" s="3">
        <f t="shared" ca="1" si="29"/>
        <v>5.9927174351363126E-2</v>
      </c>
      <c r="AC19" s="3">
        <f t="shared" ca="1" si="30"/>
        <v>4.7172555724840269E-2</v>
      </c>
      <c r="AD19" s="3">
        <f t="shared" ca="1" si="31"/>
        <v>6.9552949575624037E-2</v>
      </c>
      <c r="AE19" s="3">
        <f t="shared" ca="1" si="32"/>
        <v>5.3075933108579436E-2</v>
      </c>
      <c r="AF19" s="3">
        <f t="shared" ca="1" si="33"/>
        <v>8.0587155564178739E-2</v>
      </c>
      <c r="AG19" s="3">
        <f t="shared" ca="1" si="34"/>
        <v>6.0277389347350142E-2</v>
      </c>
      <c r="AH19" s="3">
        <f t="shared" ca="1" si="35"/>
        <v>9.1410173357133209E-2</v>
      </c>
      <c r="AI19" s="3">
        <f t="shared" ca="1" si="36"/>
        <v>0.10146192958839025</v>
      </c>
      <c r="AJ19" s="3">
        <f t="shared" ca="1" si="5"/>
        <v>0.13817088335100344</v>
      </c>
    </row>
    <row r="20" spans="1:36" x14ac:dyDescent="0.35">
      <c r="A20" t="s">
        <v>63</v>
      </c>
      <c r="B20" t="s">
        <v>76</v>
      </c>
      <c r="C20" s="4">
        <v>6</v>
      </c>
      <c r="D20" s="3">
        <f t="shared" ca="1" si="4"/>
        <v>1.3970960225025631E-2</v>
      </c>
      <c r="E20" s="3">
        <f t="shared" ca="1" si="6"/>
        <v>1.4006002806789403E-2</v>
      </c>
      <c r="F20" s="3">
        <f t="shared" ca="1" si="7"/>
        <v>1.7363045427415021E-2</v>
      </c>
      <c r="G20" s="3">
        <f t="shared" ca="1" si="8"/>
        <v>1.5884495966732082E-2</v>
      </c>
      <c r="H20" s="3">
        <f t="shared" ca="1" si="9"/>
        <v>1.8579234012875954E-2</v>
      </c>
      <c r="I20" s="3">
        <f t="shared" ca="1" si="10"/>
        <v>1.7441447587045644E-2</v>
      </c>
      <c r="J20" s="3">
        <f t="shared" ca="1" si="11"/>
        <v>2.1950110951396651E-2</v>
      </c>
      <c r="K20" s="3">
        <f t="shared" ca="1" si="12"/>
        <v>1.805052869558571E-2</v>
      </c>
      <c r="L20" s="3">
        <f t="shared" ca="1" si="13"/>
        <v>2.4323989179398042E-2</v>
      </c>
      <c r="M20" s="3">
        <f t="shared" ca="1" si="14"/>
        <v>1.9728798409588685E-2</v>
      </c>
      <c r="N20" s="3">
        <f t="shared" ca="1" si="15"/>
        <v>2.5662882813241892E-2</v>
      </c>
      <c r="O20" s="3">
        <f t="shared" ca="1" si="16"/>
        <v>2.2311053486308848E-2</v>
      </c>
      <c r="P20" s="3">
        <f t="shared" ca="1" si="17"/>
        <v>2.7688784170756351E-2</v>
      </c>
      <c r="Q20" s="3">
        <f t="shared" ca="1" si="18"/>
        <v>2.5170013296866463E-2</v>
      </c>
      <c r="R20" s="3">
        <f t="shared" ca="1" si="19"/>
        <v>2.8630327529122798E-2</v>
      </c>
      <c r="S20" s="3">
        <f t="shared" ca="1" si="20"/>
        <v>2.7504173285796761E-2</v>
      </c>
      <c r="T20" s="3">
        <f t="shared" ca="1" si="21"/>
        <v>3.137828866634787E-2</v>
      </c>
      <c r="U20" s="3">
        <f t="shared" ca="1" si="22"/>
        <v>2.8782537071597121E-2</v>
      </c>
      <c r="V20" s="3">
        <f t="shared" ca="1" si="23"/>
        <v>3.461854810476022E-2</v>
      </c>
      <c r="W20" s="3">
        <f t="shared" ca="1" si="24"/>
        <v>2.8980514234866285E-2</v>
      </c>
      <c r="X20" s="3">
        <f t="shared" ca="1" si="25"/>
        <v>3.896815991514125E-2</v>
      </c>
      <c r="Y20" s="3">
        <f t="shared" ca="1" si="26"/>
        <v>3.6162082463951271E-2</v>
      </c>
      <c r="Z20" s="3">
        <f t="shared" ca="1" si="27"/>
        <v>5.2338252552760034E-2</v>
      </c>
      <c r="AA20" s="3">
        <f t="shared" ca="1" si="28"/>
        <v>3.8508086926544602E-2</v>
      </c>
      <c r="AB20" s="3">
        <f t="shared" ca="1" si="29"/>
        <v>6.0836267131019334E-2</v>
      </c>
      <c r="AC20" s="3">
        <f t="shared" ca="1" si="30"/>
        <v>4.8102948033483382E-2</v>
      </c>
      <c r="AD20" s="3">
        <f t="shared" ca="1" si="31"/>
        <v>7.0473152505702366E-2</v>
      </c>
      <c r="AE20" s="3">
        <f t="shared" ca="1" si="32"/>
        <v>5.4001270790248961E-2</v>
      </c>
      <c r="AF20" s="3">
        <f t="shared" ca="1" si="33"/>
        <v>8.1513160743016816E-2</v>
      </c>
      <c r="AG20" s="3">
        <f t="shared" ca="1" si="34"/>
        <v>6.1272324017778615E-2</v>
      </c>
      <c r="AH20" s="3">
        <f t="shared" ca="1" si="35"/>
        <v>9.2364991495540491E-2</v>
      </c>
      <c r="AI20" s="3">
        <f t="shared" ca="1" si="36"/>
        <v>0.10238529268917818</v>
      </c>
      <c r="AJ20" s="3">
        <f t="shared" ca="1" si="5"/>
        <v>0.13908608844032561</v>
      </c>
    </row>
    <row r="21" spans="1:36" x14ac:dyDescent="0.35">
      <c r="A21" t="s">
        <v>63</v>
      </c>
      <c r="B21" t="s">
        <v>76</v>
      </c>
      <c r="C21" s="4" t="s">
        <v>73</v>
      </c>
      <c r="D21" s="3">
        <f t="shared" ca="1" si="4"/>
        <v>1.4941438933984122E-2</v>
      </c>
      <c r="E21" s="3">
        <f t="shared" ca="1" si="6"/>
        <v>1.4971283240850009E-2</v>
      </c>
      <c r="F21" s="3">
        <f t="shared" ca="1" si="7"/>
        <v>1.8349583121652201E-2</v>
      </c>
      <c r="G21" s="3">
        <f t="shared" ca="1" si="8"/>
        <v>1.6814325947342681E-2</v>
      </c>
      <c r="H21" s="3">
        <f t="shared" ca="1" si="9"/>
        <v>1.9512903161412756E-2</v>
      </c>
      <c r="I21" s="3">
        <f t="shared" ca="1" si="10"/>
        <v>1.8380539483678876E-2</v>
      </c>
      <c r="J21" s="3">
        <f t="shared" ca="1" si="11"/>
        <v>2.2892831174568199E-2</v>
      </c>
      <c r="K21" s="3">
        <f t="shared" ca="1" si="12"/>
        <v>1.9047413940262842E-2</v>
      </c>
      <c r="L21" s="3">
        <f t="shared" ca="1" si="13"/>
        <v>2.5307975698441603E-2</v>
      </c>
      <c r="M21" s="3">
        <f t="shared" ca="1" si="14"/>
        <v>2.0719134038379758E-2</v>
      </c>
      <c r="N21" s="3">
        <f t="shared" ca="1" si="15"/>
        <v>2.6649376115792645E-2</v>
      </c>
      <c r="O21" s="3">
        <f t="shared" ca="1" si="16"/>
        <v>2.3265487004970609E-2</v>
      </c>
      <c r="P21" s="3">
        <f t="shared" ca="1" si="17"/>
        <v>2.8629640961623012E-2</v>
      </c>
      <c r="Q21" s="3">
        <f t="shared" ca="1" si="18"/>
        <v>2.614679955639012E-2</v>
      </c>
      <c r="R21" s="3">
        <f t="shared" ca="1" si="19"/>
        <v>2.9607185834596293E-2</v>
      </c>
      <c r="S21" s="3">
        <f t="shared" ca="1" si="20"/>
        <v>2.8472686577660621E-2</v>
      </c>
      <c r="T21" s="3">
        <f t="shared" ca="1" si="21"/>
        <v>3.2287143157083663E-2</v>
      </c>
      <c r="U21" s="3">
        <f t="shared" ca="1" si="22"/>
        <v>2.9722496671661568E-2</v>
      </c>
      <c r="V21" s="3">
        <f t="shared" ca="1" si="23"/>
        <v>3.5581786632328576E-2</v>
      </c>
      <c r="W21" s="3">
        <f t="shared" ca="1" si="24"/>
        <v>2.9957107034432721E-2</v>
      </c>
      <c r="X21" s="3">
        <f t="shared" ca="1" si="25"/>
        <v>3.9946669050622809E-2</v>
      </c>
      <c r="Y21" s="3">
        <f t="shared" ca="1" si="26"/>
        <v>3.7078918917457536E-2</v>
      </c>
      <c r="Z21" s="3">
        <f t="shared" ca="1" si="27"/>
        <v>5.333491318241293E-2</v>
      </c>
      <c r="AA21" s="3">
        <f t="shared" ca="1" si="28"/>
        <v>3.9408931423628217E-2</v>
      </c>
      <c r="AB21" s="3">
        <f t="shared" ca="1" si="29"/>
        <v>6.1794528508729782E-2</v>
      </c>
      <c r="AC21" s="3">
        <f t="shared" ca="1" si="30"/>
        <v>4.9102476651004846E-2</v>
      </c>
      <c r="AD21" s="3">
        <f t="shared" ca="1" si="31"/>
        <v>7.1420811871966361E-2</v>
      </c>
      <c r="AE21" s="3">
        <f t="shared" ca="1" si="32"/>
        <v>5.491703924721289E-2</v>
      </c>
      <c r="AF21" s="3">
        <f t="shared" ca="1" si="33"/>
        <v>8.2499964033390424E-2</v>
      </c>
      <c r="AG21" s="3">
        <f t="shared" ca="1" si="34"/>
        <v>6.2262655806081688E-2</v>
      </c>
      <c r="AH21" s="3">
        <f t="shared" ca="1" si="35"/>
        <v>9.3313227899484666E-2</v>
      </c>
      <c r="AI21" s="3">
        <f t="shared" ca="1" si="36"/>
        <v>0.10334145298080212</v>
      </c>
      <c r="AJ21" s="3">
        <f t="shared" ca="1" si="5"/>
        <v>0.14000767388322996</v>
      </c>
    </row>
    <row r="22" spans="1:36" x14ac:dyDescent="0.35">
      <c r="A22" t="s">
        <v>63</v>
      </c>
      <c r="B22" t="s">
        <v>76</v>
      </c>
      <c r="C22" s="4" t="s">
        <v>74</v>
      </c>
      <c r="D22" s="3">
        <f t="shared" ca="1" si="4"/>
        <v>1.5898896359240664E-2</v>
      </c>
      <c r="E22" s="3">
        <f t="shared" ca="1" si="6"/>
        <v>1.5954218888753487E-2</v>
      </c>
      <c r="F22" s="3">
        <f t="shared" ca="1" si="7"/>
        <v>1.9290226770066015E-2</v>
      </c>
      <c r="G22" s="3">
        <f t="shared" ca="1" si="8"/>
        <v>1.7752458296207786E-2</v>
      </c>
      <c r="H22" s="3">
        <f t="shared" ca="1" si="9"/>
        <v>2.0500837200920476E-2</v>
      </c>
      <c r="I22" s="3">
        <f t="shared" ca="1" si="10"/>
        <v>1.9351148179154821E-2</v>
      </c>
      <c r="J22" s="3">
        <f t="shared" ca="1" si="11"/>
        <v>2.3876313122492322E-2</v>
      </c>
      <c r="K22" s="3">
        <f t="shared" ca="1" si="12"/>
        <v>1.9975178429432399E-2</v>
      </c>
      <c r="L22" s="3">
        <f t="shared" ca="1" si="13"/>
        <v>2.6210746475896534E-2</v>
      </c>
      <c r="M22" s="3">
        <f t="shared" ca="1" si="14"/>
        <v>2.162137423041282E-2</v>
      </c>
      <c r="N22" s="3">
        <f t="shared" ca="1" si="15"/>
        <v>2.7552626250183385E-2</v>
      </c>
      <c r="O22" s="3">
        <f t="shared" ca="1" si="16"/>
        <v>2.4235304255523948E-2</v>
      </c>
      <c r="P22" s="3">
        <f t="shared" ca="1" si="17"/>
        <v>2.959267838149798E-2</v>
      </c>
      <c r="Q22" s="3">
        <f t="shared" ca="1" si="18"/>
        <v>2.7106199962341947E-2</v>
      </c>
      <c r="R22" s="3">
        <f t="shared" ca="1" si="19"/>
        <v>3.0600899930007027E-2</v>
      </c>
      <c r="S22" s="3">
        <f t="shared" ca="1" si="20"/>
        <v>2.9462693315118131E-2</v>
      </c>
      <c r="T22" s="3">
        <f t="shared" ca="1" si="21"/>
        <v>3.3267995604864431E-2</v>
      </c>
      <c r="U22" s="3">
        <f t="shared" ca="1" si="22"/>
        <v>3.069331728455053E-2</v>
      </c>
      <c r="V22" s="3">
        <f t="shared" ca="1" si="23"/>
        <v>3.6523707203621456E-2</v>
      </c>
      <c r="W22" s="3">
        <f t="shared" ca="1" si="24"/>
        <v>3.0903900831188554E-2</v>
      </c>
      <c r="X22" s="3">
        <f t="shared" ca="1" si="25"/>
        <v>4.0881290495929534E-2</v>
      </c>
      <c r="Y22" s="3">
        <f t="shared" ca="1" si="26"/>
        <v>3.8054225701150399E-2</v>
      </c>
      <c r="Z22" s="3">
        <f t="shared" ca="1" si="27"/>
        <v>5.4297945301703961E-2</v>
      </c>
      <c r="AA22" s="3">
        <f t="shared" ca="1" si="28"/>
        <v>4.0319546827239518E-2</v>
      </c>
      <c r="AB22" s="3">
        <f t="shared" ca="1" si="29"/>
        <v>6.279133874274781E-2</v>
      </c>
      <c r="AC22" s="3">
        <f t="shared" ca="1" si="30"/>
        <v>5.0059963920532122E-2</v>
      </c>
      <c r="AD22" s="3">
        <f t="shared" ca="1" si="31"/>
        <v>7.2328591280725898E-2</v>
      </c>
      <c r="AE22" s="3">
        <f t="shared" ca="1" si="32"/>
        <v>5.588298759630269E-2</v>
      </c>
      <c r="AF22" s="3">
        <f t="shared" ca="1" si="33"/>
        <v>8.3445503808110305E-2</v>
      </c>
      <c r="AG22" s="3">
        <f t="shared" ca="1" si="34"/>
        <v>6.3178952137762007E-2</v>
      </c>
      <c r="AH22" s="3">
        <f t="shared" ca="1" si="35"/>
        <v>9.4308145699147111E-2</v>
      </c>
      <c r="AI22" s="3">
        <f t="shared" ca="1" si="36"/>
        <v>0.10429671998418018</v>
      </c>
      <c r="AJ22" s="3">
        <f t="shared" ca="1" si="5"/>
        <v>0.14091627696969997</v>
      </c>
    </row>
    <row r="23" spans="1:36" x14ac:dyDescent="0.35">
      <c r="A23" t="s">
        <v>63</v>
      </c>
      <c r="B23" t="s">
        <v>76</v>
      </c>
      <c r="C23" s="4">
        <v>7</v>
      </c>
      <c r="D23" s="3">
        <f t="shared" ca="1" si="4"/>
        <v>1.6840782773344585E-2</v>
      </c>
      <c r="E23" s="3">
        <f t="shared" ca="1" si="6"/>
        <v>1.690855011508784E-2</v>
      </c>
      <c r="F23" s="3">
        <f t="shared" ca="1" si="7"/>
        <v>2.0200582888255009E-2</v>
      </c>
      <c r="G23" s="3">
        <f t="shared" ca="1" si="8"/>
        <v>1.8709243248238541E-2</v>
      </c>
      <c r="H23" s="3">
        <f t="shared" ca="1" si="9"/>
        <v>2.1479103901798125E-2</v>
      </c>
      <c r="I23" s="3">
        <f t="shared" ca="1" si="10"/>
        <v>2.0321721369115902E-2</v>
      </c>
      <c r="J23" s="3">
        <f t="shared" ca="1" si="11"/>
        <v>2.4800892642992286E-2</v>
      </c>
      <c r="K23" s="3">
        <f t="shared" ca="1" si="12"/>
        <v>2.0908359212996962E-2</v>
      </c>
      <c r="L23" s="3">
        <f t="shared" ca="1" si="13"/>
        <v>2.7157934157978569E-2</v>
      </c>
      <c r="M23" s="3">
        <f t="shared" ca="1" si="14"/>
        <v>2.2522051983000092E-2</v>
      </c>
      <c r="N23" s="3">
        <f t="shared" ca="1" si="15"/>
        <v>2.8546386207429181E-2</v>
      </c>
      <c r="O23" s="3">
        <f t="shared" ca="1" si="16"/>
        <v>2.515012906704257E-2</v>
      </c>
      <c r="P23" s="3">
        <f t="shared" ca="1" si="17"/>
        <v>3.0578800119039067E-2</v>
      </c>
      <c r="Q23" s="3">
        <f t="shared" ca="1" si="18"/>
        <v>2.8103363753704529E-2</v>
      </c>
      <c r="R23" s="3">
        <f t="shared" ca="1" si="19"/>
        <v>3.156536807096072E-2</v>
      </c>
      <c r="S23" s="3">
        <f t="shared" ca="1" si="20"/>
        <v>3.0450265289794796E-2</v>
      </c>
      <c r="T23" s="3">
        <f t="shared" ca="1" si="21"/>
        <v>3.4255384463221891E-2</v>
      </c>
      <c r="U23" s="3">
        <f t="shared" ca="1" si="22"/>
        <v>3.1683150111262541E-2</v>
      </c>
      <c r="V23" s="3">
        <f t="shared" ca="1" si="23"/>
        <v>3.751133707682356E-2</v>
      </c>
      <c r="W23" s="3">
        <f t="shared" ca="1" si="24"/>
        <v>3.1838293996067503E-2</v>
      </c>
      <c r="X23" s="3">
        <f t="shared" ca="1" si="25"/>
        <v>4.1828963375130326E-2</v>
      </c>
      <c r="Y23" s="3">
        <f t="shared" ca="1" si="26"/>
        <v>3.9004388031448532E-2</v>
      </c>
      <c r="Z23" s="3">
        <f t="shared" ca="1" si="27"/>
        <v>5.5250622448529706E-2</v>
      </c>
      <c r="AA23" s="3">
        <f t="shared" ca="1" si="28"/>
        <v>4.1274551291892059E-2</v>
      </c>
      <c r="AB23" s="3">
        <f t="shared" ca="1" si="29"/>
        <v>6.3694199843996616E-2</v>
      </c>
      <c r="AC23" s="3">
        <f t="shared" ca="1" si="30"/>
        <v>5.0984914949163469E-2</v>
      </c>
      <c r="AD23" s="3">
        <f t="shared" ca="1" si="31"/>
        <v>7.3309326992941612E-2</v>
      </c>
      <c r="AE23" s="3">
        <f t="shared" ca="1" si="32"/>
        <v>5.6790028523985167E-2</v>
      </c>
      <c r="AF23" s="3">
        <f t="shared" ca="1" si="33"/>
        <v>8.4410871658274933E-2</v>
      </c>
      <c r="AG23" s="3">
        <f t="shared" ca="1" si="34"/>
        <v>6.4114292189571584E-2</v>
      </c>
      <c r="AH23" s="3">
        <f t="shared" ca="1" si="35"/>
        <v>9.5285333185327226E-2</v>
      </c>
      <c r="AI23" s="3">
        <f t="shared" ca="1" si="36"/>
        <v>0.10527925400946492</v>
      </c>
      <c r="AJ23" s="3">
        <f t="shared" ca="1" si="5"/>
        <v>0.14182051759209638</v>
      </c>
    </row>
    <row r="24" spans="1:36" x14ac:dyDescent="0.35">
      <c r="A24" t="s">
        <v>63</v>
      </c>
      <c r="B24" t="s">
        <v>76</v>
      </c>
      <c r="C24" s="4" t="s">
        <v>75</v>
      </c>
      <c r="D24" s="3">
        <f t="shared" ca="1" si="4"/>
        <v>1.7818896010044851E-2</v>
      </c>
      <c r="E24" s="3">
        <f t="shared" ca="1" si="6"/>
        <v>1.7830000834851308E-2</v>
      </c>
      <c r="F24" s="3">
        <f t="shared" ca="1" si="7"/>
        <v>2.1173771869622184E-2</v>
      </c>
      <c r="G24" s="3">
        <f t="shared" ca="1" si="8"/>
        <v>1.9610550581027581E-2</v>
      </c>
      <c r="H24" s="3">
        <f t="shared" ca="1" si="9"/>
        <v>2.2453683490209625E-2</v>
      </c>
      <c r="I24" s="3">
        <f t="shared" ca="1" si="10"/>
        <v>2.1292380706682306E-2</v>
      </c>
      <c r="J24" s="3">
        <f t="shared" ca="1" si="11"/>
        <v>2.5799687461112462E-2</v>
      </c>
      <c r="K24" s="3">
        <f t="shared" ca="1" si="12"/>
        <v>2.18232340183411E-2</v>
      </c>
      <c r="L24" s="3">
        <f t="shared" ca="1" si="13"/>
        <v>2.8065688911084966E-2</v>
      </c>
      <c r="M24" s="3">
        <f t="shared" ca="1" si="14"/>
        <v>2.342345454019238E-2</v>
      </c>
      <c r="N24" s="3">
        <f t="shared" ca="1" si="15"/>
        <v>2.9513995510441818E-2</v>
      </c>
      <c r="O24" s="3">
        <f t="shared" ca="1" si="16"/>
        <v>2.6069033195365007E-2</v>
      </c>
      <c r="P24" s="3">
        <f t="shared" ca="1" si="17"/>
        <v>3.1507055929296673E-2</v>
      </c>
      <c r="Q24" s="3">
        <f t="shared" ca="1" si="18"/>
        <v>2.9056694217803426E-2</v>
      </c>
      <c r="R24" s="3">
        <f t="shared" ca="1" si="19"/>
        <v>3.249735244913482E-2</v>
      </c>
      <c r="S24" s="3">
        <f t="shared" ca="1" si="20"/>
        <v>3.1381384150811611E-2</v>
      </c>
      <c r="T24" s="3">
        <f t="shared" ca="1" si="21"/>
        <v>3.515833544784662E-2</v>
      </c>
      <c r="U24" s="3">
        <f t="shared" ca="1" si="22"/>
        <v>3.260319262394553E-2</v>
      </c>
      <c r="V24" s="3">
        <f t="shared" ca="1" si="23"/>
        <v>3.8470695338767555E-2</v>
      </c>
      <c r="W24" s="3">
        <f t="shared" ca="1" si="24"/>
        <v>3.2784196995109684E-2</v>
      </c>
      <c r="X24" s="3">
        <f t="shared" ca="1" si="25"/>
        <v>4.278643506579001E-2</v>
      </c>
      <c r="Y24" s="3">
        <f t="shared" ca="1" si="26"/>
        <v>3.9982476254653822E-2</v>
      </c>
      <c r="Z24" s="3">
        <f t="shared" ca="1" si="27"/>
        <v>5.6246627711201501E-2</v>
      </c>
      <c r="AA24" s="3">
        <f t="shared" ca="1" si="28"/>
        <v>4.2222569322303796E-2</v>
      </c>
      <c r="AB24" s="3">
        <f t="shared" ca="1" si="29"/>
        <v>6.4687402456049245E-2</v>
      </c>
      <c r="AC24" s="3">
        <f t="shared" ca="1" si="30"/>
        <v>5.1912452012992001E-2</v>
      </c>
      <c r="AD24" s="3">
        <f t="shared" ca="1" si="31"/>
        <v>7.4227067526741464E-2</v>
      </c>
      <c r="AE24" s="3">
        <f t="shared" ca="1" si="32"/>
        <v>5.7707440877526342E-2</v>
      </c>
      <c r="AF24" s="3">
        <f t="shared" ca="1" si="33"/>
        <v>8.5359856541488852E-2</v>
      </c>
      <c r="AG24" s="3">
        <f t="shared" ca="1" si="34"/>
        <v>6.5064678256661804E-2</v>
      </c>
      <c r="AH24" s="3">
        <f t="shared" ca="1" si="35"/>
        <v>9.627538596171234E-2</v>
      </c>
      <c r="AI24" s="3">
        <f t="shared" ca="1" si="36"/>
        <v>0.10624007329217355</v>
      </c>
      <c r="AJ24" s="3">
        <f t="shared" ca="1" si="5"/>
        <v>0.14276799401159856</v>
      </c>
    </row>
    <row r="25" spans="1:36" x14ac:dyDescent="0.35">
      <c r="A25" t="s">
        <v>63</v>
      </c>
      <c r="B25" t="s">
        <v>61</v>
      </c>
      <c r="C25" s="4">
        <v>1</v>
      </c>
      <c r="D25" s="3">
        <f ca="1">MIN(0.99,D6+$D$3)</f>
        <v>1.9087300404890058E-3</v>
      </c>
      <c r="E25" s="3">
        <f t="shared" ref="E25:AJ25" ca="1" si="37">MIN(0.99,E6+$D$3)</f>
        <v>1.6927595893449789E-3</v>
      </c>
      <c r="F25" s="3">
        <f t="shared" ca="1" si="37"/>
        <v>5.0652540237142761E-3</v>
      </c>
      <c r="G25" s="3">
        <f t="shared" ca="1" si="37"/>
        <v>3.5276413712607676E-3</v>
      </c>
      <c r="H25" s="3">
        <f t="shared" ca="1" si="37"/>
        <v>6.3545960795522985E-3</v>
      </c>
      <c r="I25" s="3">
        <f t="shared" ca="1" si="37"/>
        <v>4.9972985202008215E-3</v>
      </c>
      <c r="J25" s="3">
        <f t="shared" ca="1" si="37"/>
        <v>9.6006021368547287E-3</v>
      </c>
      <c r="K25" s="3">
        <f t="shared" ca="1" si="37"/>
        <v>5.7361214868178476E-3</v>
      </c>
      <c r="L25" s="3">
        <f t="shared" ca="1" si="37"/>
        <v>1.2033100746591134E-2</v>
      </c>
      <c r="M25" s="3">
        <f t="shared" ca="1" si="37"/>
        <v>7.6912997874203333E-3</v>
      </c>
      <c r="N25" s="3">
        <f t="shared" ca="1" si="37"/>
        <v>1.3352141769093231E-2</v>
      </c>
      <c r="O25" s="3">
        <f t="shared" ca="1" si="37"/>
        <v>9.9719783227279202E-3</v>
      </c>
      <c r="P25" s="3">
        <f t="shared" ca="1" si="37"/>
        <v>1.555863932761313E-2</v>
      </c>
      <c r="Q25" s="3">
        <f t="shared" ca="1" si="37"/>
        <v>1.2890840096464656E-2</v>
      </c>
      <c r="R25" s="3">
        <f t="shared" ca="1" si="37"/>
        <v>1.6149829134986842E-2</v>
      </c>
      <c r="S25" s="3">
        <f t="shared" ca="1" si="37"/>
        <v>1.525676741328685E-2</v>
      </c>
      <c r="T25" s="3">
        <f t="shared" ca="1" si="37"/>
        <v>1.8955356432827183E-2</v>
      </c>
      <c r="U25" s="3">
        <f t="shared" ca="1" si="37"/>
        <v>1.6548173535937558E-2</v>
      </c>
      <c r="V25" s="3">
        <f t="shared" ca="1" si="37"/>
        <v>2.2237186900709818E-2</v>
      </c>
      <c r="W25" s="3">
        <f t="shared" ca="1" si="37"/>
        <v>1.6813908283122687E-2</v>
      </c>
      <c r="X25" s="3">
        <f t="shared" ca="1" si="37"/>
        <v>2.6555517609274631E-2</v>
      </c>
      <c r="Y25" s="3">
        <f t="shared" ca="1" si="37"/>
        <v>2.4032981014679274E-2</v>
      </c>
      <c r="Z25" s="3">
        <f t="shared" ca="1" si="37"/>
        <v>4.0024006264654376E-2</v>
      </c>
      <c r="AA25" s="3">
        <f t="shared" ca="1" si="37"/>
        <v>2.6051025377003399E-2</v>
      </c>
      <c r="AB25" s="3">
        <f t="shared" ca="1" si="37"/>
        <v>4.8531951163118654E-2</v>
      </c>
      <c r="AC25" s="3">
        <f t="shared" ca="1" si="37"/>
        <v>3.582823933649245E-2</v>
      </c>
      <c r="AD25" s="3">
        <f t="shared" ca="1" si="37"/>
        <v>5.8263963203492287E-2</v>
      </c>
      <c r="AE25" s="3">
        <f t="shared" ca="1" si="37"/>
        <v>4.1556299736701698E-2</v>
      </c>
      <c r="AF25" s="3">
        <f t="shared" ca="1" si="37"/>
        <v>6.9152494778641715E-2</v>
      </c>
      <c r="AG25" s="3">
        <f t="shared" ca="1" si="37"/>
        <v>4.8867218863220485E-2</v>
      </c>
      <c r="AH25" s="3">
        <f t="shared" ca="1" si="37"/>
        <v>7.9813238640697032E-2</v>
      </c>
      <c r="AI25" s="3">
        <f t="shared" ca="1" si="37"/>
        <v>9.0195782167728472E-2</v>
      </c>
      <c r="AJ25" s="3">
        <f t="shared" ca="1" si="37"/>
        <v>0.12671935954470406</v>
      </c>
    </row>
    <row r="26" spans="1:36" x14ac:dyDescent="0.35">
      <c r="A26" t="s">
        <v>63</v>
      </c>
      <c r="B26" t="s">
        <v>61</v>
      </c>
      <c r="C26" s="4" t="s">
        <v>64</v>
      </c>
      <c r="D26" s="3">
        <f t="shared" ref="D26:AJ26" ca="1" si="38">MIN(0.99,D7+$D$3)</f>
        <v>2.8923248160271412E-3</v>
      </c>
      <c r="E26" s="3">
        <f t="shared" ca="1" si="38"/>
        <v>2.664888581433141E-3</v>
      </c>
      <c r="F26" s="3">
        <f t="shared" ca="1" si="38"/>
        <v>6.032784788317559E-3</v>
      </c>
      <c r="G26" s="3">
        <f t="shared" ca="1" si="38"/>
        <v>4.5087500351485479E-3</v>
      </c>
      <c r="H26" s="3">
        <f t="shared" ca="1" si="38"/>
        <v>7.3489766202988896E-3</v>
      </c>
      <c r="I26" s="3">
        <f t="shared" ca="1" si="38"/>
        <v>5.9375023500262006E-3</v>
      </c>
      <c r="J26" s="3">
        <f t="shared" ca="1" si="38"/>
        <v>1.0504474093247135E-2</v>
      </c>
      <c r="K26" s="3">
        <f t="shared" ca="1" si="38"/>
        <v>6.7261903467697101E-3</v>
      </c>
      <c r="L26" s="3">
        <f t="shared" ca="1" si="38"/>
        <v>1.2971475924379201E-2</v>
      </c>
      <c r="M26" s="3">
        <f t="shared" ca="1" si="38"/>
        <v>8.6158741122472106E-3</v>
      </c>
      <c r="N26" s="3">
        <f t="shared" ca="1" si="38"/>
        <v>1.4348704871006666E-2</v>
      </c>
      <c r="O26" s="3">
        <f t="shared" ca="1" si="38"/>
        <v>1.094332051857189E-2</v>
      </c>
      <c r="P26" s="3">
        <f t="shared" ca="1" si="38"/>
        <v>1.6533569136115919E-2</v>
      </c>
      <c r="Q26" s="3">
        <f t="shared" ca="1" si="38"/>
        <v>1.3863043207485364E-2</v>
      </c>
      <c r="R26" s="3">
        <f t="shared" ca="1" si="38"/>
        <v>1.7137019195287564E-2</v>
      </c>
      <c r="S26" s="3">
        <f t="shared" ca="1" si="38"/>
        <v>1.6168401506629786E-2</v>
      </c>
      <c r="T26" s="3">
        <f t="shared" ca="1" si="38"/>
        <v>1.989344722963839E-2</v>
      </c>
      <c r="U26" s="3">
        <f t="shared" ca="1" si="38"/>
        <v>1.7477177760085592E-2</v>
      </c>
      <c r="V26" s="3">
        <f t="shared" ca="1" si="38"/>
        <v>2.3232841445960498E-2</v>
      </c>
      <c r="W26" s="3">
        <f t="shared" ca="1" si="38"/>
        <v>1.7790701080505754E-2</v>
      </c>
      <c r="X26" s="3">
        <f t="shared" ca="1" si="38"/>
        <v>2.750780897224003E-2</v>
      </c>
      <c r="Y26" s="3">
        <f t="shared" ca="1" si="38"/>
        <v>2.5023842921381385E-2</v>
      </c>
      <c r="Z26" s="3">
        <f t="shared" ca="1" si="38"/>
        <v>4.1016372959340554E-2</v>
      </c>
      <c r="AA26" s="3">
        <f t="shared" ca="1" si="38"/>
        <v>2.7028413948074523E-2</v>
      </c>
      <c r="AB26" s="3">
        <f t="shared" ca="1" si="38"/>
        <v>4.950011125733262E-2</v>
      </c>
      <c r="AC26" s="3">
        <f t="shared" ca="1" si="38"/>
        <v>3.6822204309944352E-2</v>
      </c>
      <c r="AD26" s="3">
        <f t="shared" ca="1" si="38"/>
        <v>5.9194924649532084E-2</v>
      </c>
      <c r="AE26" s="3">
        <f t="shared" ca="1" si="38"/>
        <v>4.2514275720748777E-2</v>
      </c>
      <c r="AF26" s="3">
        <f t="shared" ca="1" si="38"/>
        <v>7.0132990314950336E-2</v>
      </c>
      <c r="AG26" s="3">
        <f t="shared" ca="1" si="38"/>
        <v>4.97709339492102E-2</v>
      </c>
      <c r="AH26" s="3">
        <f t="shared" ca="1" si="38"/>
        <v>8.0752745433118361E-2</v>
      </c>
      <c r="AI26" s="3">
        <f t="shared" ca="1" si="38"/>
        <v>9.117818655415455E-2</v>
      </c>
      <c r="AJ26" s="3">
        <f t="shared" ca="1" si="38"/>
        <v>0.12763798559030423</v>
      </c>
    </row>
    <row r="27" spans="1:36" x14ac:dyDescent="0.35">
      <c r="A27" t="s">
        <v>63</v>
      </c>
      <c r="B27" t="s">
        <v>61</v>
      </c>
      <c r="C27" s="4">
        <v>2</v>
      </c>
      <c r="D27" s="3">
        <f t="shared" ref="D27:AJ27" ca="1" si="39">MIN(0.99,D8+$D$3)</f>
        <v>3.8175283123235764E-3</v>
      </c>
      <c r="E27" s="3">
        <f t="shared" ca="1" si="39"/>
        <v>3.566149816306788E-3</v>
      </c>
      <c r="F27" s="3">
        <f t="shared" ca="1" si="39"/>
        <v>6.9786277688097323E-3</v>
      </c>
      <c r="G27" s="3">
        <f t="shared" ca="1" si="39"/>
        <v>5.4709130266035466E-3</v>
      </c>
      <c r="H27" s="3">
        <f t="shared" ca="1" si="39"/>
        <v>8.3065223403797593E-3</v>
      </c>
      <c r="I27" s="3">
        <f t="shared" ca="1" si="39"/>
        <v>6.8866854652582547E-3</v>
      </c>
      <c r="J27" s="3">
        <f t="shared" ca="1" si="39"/>
        <v>1.1498152202003318E-2</v>
      </c>
      <c r="K27" s="3">
        <f t="shared" ca="1" si="39"/>
        <v>7.6746807055827222E-3</v>
      </c>
      <c r="L27" s="3">
        <f t="shared" ca="1" si="39"/>
        <v>1.3918542449390635E-2</v>
      </c>
      <c r="M27" s="3">
        <f t="shared" ca="1" si="39"/>
        <v>9.5597790569804213E-3</v>
      </c>
      <c r="N27" s="3">
        <f t="shared" ca="1" si="39"/>
        <v>1.5308612899572704E-2</v>
      </c>
      <c r="O27" s="3">
        <f t="shared" ca="1" si="39"/>
        <v>1.1934162095903922E-2</v>
      </c>
      <c r="P27" s="3">
        <f t="shared" ca="1" si="39"/>
        <v>1.7461693099977579E-2</v>
      </c>
      <c r="Q27" s="3">
        <f t="shared" ca="1" si="39"/>
        <v>1.4807732661917126E-2</v>
      </c>
      <c r="R27" s="3">
        <f t="shared" ca="1" si="39"/>
        <v>1.813151379224839E-2</v>
      </c>
      <c r="S27" s="3">
        <f t="shared" ca="1" si="39"/>
        <v>1.7147097961346391E-2</v>
      </c>
      <c r="T27" s="3">
        <f t="shared" ca="1" si="39"/>
        <v>2.0890961198724536E-2</v>
      </c>
      <c r="U27" s="3">
        <f t="shared" ca="1" si="39"/>
        <v>1.8398899535181337E-2</v>
      </c>
      <c r="V27" s="3">
        <f t="shared" ca="1" si="39"/>
        <v>2.4197306942898671E-2</v>
      </c>
      <c r="W27" s="3">
        <f t="shared" ca="1" si="39"/>
        <v>1.877058480437261E-2</v>
      </c>
      <c r="X27" s="3">
        <f t="shared" ca="1" si="39"/>
        <v>2.8502821120018527E-2</v>
      </c>
      <c r="Y27" s="3">
        <f t="shared" ca="1" si="39"/>
        <v>2.5931889092613982E-2</v>
      </c>
      <c r="Z27" s="3">
        <f t="shared" ca="1" si="39"/>
        <v>4.1982483899587891E-2</v>
      </c>
      <c r="AA27" s="3">
        <f t="shared" ca="1" si="39"/>
        <v>2.7984141786841936E-2</v>
      </c>
      <c r="AB27" s="3">
        <f t="shared" ca="1" si="39"/>
        <v>5.0495649935478747E-2</v>
      </c>
      <c r="AC27" s="3">
        <f t="shared" ca="1" si="39"/>
        <v>3.7801772817457752E-2</v>
      </c>
      <c r="AD27" s="3">
        <f t="shared" ca="1" si="39"/>
        <v>6.0132497473260264E-2</v>
      </c>
      <c r="AE27" s="3">
        <f t="shared" ca="1" si="39"/>
        <v>4.3482183615030465E-2</v>
      </c>
      <c r="AF27" s="3">
        <f t="shared" ca="1" si="39"/>
        <v>7.1118026132022311E-2</v>
      </c>
      <c r="AG27" s="3">
        <f t="shared" ca="1" si="39"/>
        <v>5.0683562113713922E-2</v>
      </c>
      <c r="AH27" s="3">
        <f t="shared" ca="1" si="39"/>
        <v>8.1744363619818003E-2</v>
      </c>
      <c r="AI27" s="3">
        <f t="shared" ca="1" si="39"/>
        <v>9.2122316781703142E-2</v>
      </c>
      <c r="AJ27" s="3">
        <f t="shared" ca="1" si="39"/>
        <v>0.1285705777678533</v>
      </c>
    </row>
    <row r="28" spans="1:36" x14ac:dyDescent="0.35">
      <c r="A28" t="s">
        <v>63</v>
      </c>
      <c r="B28" t="s">
        <v>61</v>
      </c>
      <c r="C28" s="4" t="s">
        <v>65</v>
      </c>
      <c r="D28" s="3">
        <f t="shared" ref="D28:AJ28" ca="1" si="40">MIN(0.99,D9+$D$3)</f>
        <v>4.7830645813786475E-3</v>
      </c>
      <c r="E28" s="3">
        <f t="shared" ca="1" si="40"/>
        <v>4.5483571708422226E-3</v>
      </c>
      <c r="F28" s="3">
        <f t="shared" ca="1" si="40"/>
        <v>7.9540338428589034E-3</v>
      </c>
      <c r="G28" s="3">
        <f t="shared" ca="1" si="40"/>
        <v>6.4383313160036671E-3</v>
      </c>
      <c r="H28" s="3">
        <f t="shared" ca="1" si="40"/>
        <v>9.3013196377886888E-3</v>
      </c>
      <c r="I28" s="3">
        <f t="shared" ca="1" si="40"/>
        <v>7.8802864670056809E-3</v>
      </c>
      <c r="J28" s="3">
        <f t="shared" ca="1" si="40"/>
        <v>1.2498099143199871E-2</v>
      </c>
      <c r="K28" s="3">
        <f t="shared" ca="1" si="40"/>
        <v>8.6064933922562342E-3</v>
      </c>
      <c r="L28" s="3">
        <f t="shared" ca="1" si="40"/>
        <v>1.4916945717602149E-2</v>
      </c>
      <c r="M28" s="3">
        <f t="shared" ca="1" si="40"/>
        <v>1.0523386305733153E-2</v>
      </c>
      <c r="N28" s="3">
        <f t="shared" ca="1" si="40"/>
        <v>1.6226101717636356E-2</v>
      </c>
      <c r="O28" s="3">
        <f t="shared" ca="1" si="40"/>
        <v>1.2879166913288703E-2</v>
      </c>
      <c r="P28" s="3">
        <f t="shared" ca="1" si="40"/>
        <v>1.8420262118930469E-2</v>
      </c>
      <c r="Q28" s="3">
        <f t="shared" ca="1" si="40"/>
        <v>1.5723458355925372E-2</v>
      </c>
      <c r="R28" s="3">
        <f t="shared" ca="1" si="40"/>
        <v>1.904222459641355E-2</v>
      </c>
      <c r="S28" s="3">
        <f t="shared" ca="1" si="40"/>
        <v>1.8111915789047819E-2</v>
      </c>
      <c r="T28" s="3">
        <f t="shared" ca="1" si="40"/>
        <v>2.1879542280953717E-2</v>
      </c>
      <c r="U28" s="3">
        <f t="shared" ca="1" si="40"/>
        <v>1.932349191539114E-2</v>
      </c>
      <c r="V28" s="3">
        <f t="shared" ca="1" si="40"/>
        <v>2.5147189124835479E-2</v>
      </c>
      <c r="W28" s="3">
        <f t="shared" ca="1" si="40"/>
        <v>1.9689423310480014E-2</v>
      </c>
      <c r="X28" s="3">
        <f t="shared" ca="1" si="40"/>
        <v>2.9486027651261622E-2</v>
      </c>
      <c r="Y28" s="3">
        <f t="shared" ca="1" si="40"/>
        <v>2.692029249151006E-2</v>
      </c>
      <c r="Z28" s="3">
        <f t="shared" ca="1" si="40"/>
        <v>4.295468944406771E-2</v>
      </c>
      <c r="AA28" s="3">
        <f t="shared" ca="1" si="40"/>
        <v>2.8983124688247503E-2</v>
      </c>
      <c r="AB28" s="3">
        <f t="shared" ca="1" si="40"/>
        <v>5.1404865439959223E-2</v>
      </c>
      <c r="AC28" s="3">
        <f t="shared" ca="1" si="40"/>
        <v>3.8729296613929327E-2</v>
      </c>
      <c r="AD28" s="3">
        <f t="shared" ca="1" si="40"/>
        <v>6.1045763044017737E-2</v>
      </c>
      <c r="AE28" s="3">
        <f t="shared" ca="1" si="40"/>
        <v>4.4448810065226885E-2</v>
      </c>
      <c r="AF28" s="3">
        <f t="shared" ca="1" si="40"/>
        <v>7.205956415956262E-2</v>
      </c>
      <c r="AG28" s="3">
        <f t="shared" ca="1" si="40"/>
        <v>5.1629220363176895E-2</v>
      </c>
      <c r="AH28" s="3">
        <f t="shared" ca="1" si="40"/>
        <v>8.2676396924375742E-2</v>
      </c>
      <c r="AI28" s="3">
        <f t="shared" ca="1" si="40"/>
        <v>9.3026934462099212E-2</v>
      </c>
      <c r="AJ28" s="3">
        <f t="shared" ca="1" si="40"/>
        <v>0.12954648553299342</v>
      </c>
    </row>
    <row r="29" spans="1:36" x14ac:dyDescent="0.35">
      <c r="A29" t="s">
        <v>63</v>
      </c>
      <c r="B29" t="s">
        <v>61</v>
      </c>
      <c r="C29" s="4" t="s">
        <v>66</v>
      </c>
      <c r="D29" s="3">
        <f t="shared" ref="D29:AJ29" ca="1" si="41">MIN(0.99,D10+$D$3)</f>
        <v>5.6922677644790547E-3</v>
      </c>
      <c r="E29" s="3">
        <f t="shared" ca="1" si="41"/>
        <v>5.4820172241278678E-3</v>
      </c>
      <c r="F29" s="3">
        <f t="shared" ca="1" si="41"/>
        <v>8.893937003893293E-3</v>
      </c>
      <c r="G29" s="3">
        <f t="shared" ca="1" si="41"/>
        <v>7.3692710647424867E-3</v>
      </c>
      <c r="H29" s="3">
        <f t="shared" ca="1" si="41"/>
        <v>1.0214598425263861E-2</v>
      </c>
      <c r="I29" s="3">
        <f t="shared" ca="1" si="41"/>
        <v>8.8059076952283523E-3</v>
      </c>
      <c r="J29" s="3">
        <f t="shared" ca="1" si="41"/>
        <v>1.3455627108915701E-2</v>
      </c>
      <c r="K29" s="3">
        <f t="shared" ca="1" si="41"/>
        <v>9.5689445372419413E-3</v>
      </c>
      <c r="L29" s="3">
        <f t="shared" ca="1" si="41"/>
        <v>1.5894955732267339E-2</v>
      </c>
      <c r="M29" s="3">
        <f t="shared" ca="1" si="41"/>
        <v>1.1430498036445105E-2</v>
      </c>
      <c r="N29" s="3">
        <f t="shared" ca="1" si="41"/>
        <v>1.7206448433461637E-2</v>
      </c>
      <c r="O29" s="3">
        <f t="shared" ca="1" si="41"/>
        <v>1.3809673988677173E-2</v>
      </c>
      <c r="P29" s="3">
        <f t="shared" ca="1" si="41"/>
        <v>1.9369095809646207E-2</v>
      </c>
      <c r="Q29" s="3">
        <f t="shared" ca="1" si="41"/>
        <v>1.662431829213798E-2</v>
      </c>
      <c r="R29" s="3">
        <f t="shared" ca="1" si="41"/>
        <v>2.0020270576618943E-2</v>
      </c>
      <c r="S29" s="3">
        <f t="shared" ca="1" si="41"/>
        <v>1.9033599829350295E-2</v>
      </c>
      <c r="T29" s="3">
        <f t="shared" ca="1" si="41"/>
        <v>2.2809126546758943E-2</v>
      </c>
      <c r="U29" s="3">
        <f t="shared" ca="1" si="41"/>
        <v>2.0230744185364847E-2</v>
      </c>
      <c r="V29" s="3">
        <f t="shared" ca="1" si="41"/>
        <v>2.6118359278886474E-2</v>
      </c>
      <c r="W29" s="3">
        <f t="shared" ca="1" si="41"/>
        <v>2.0594034081455669E-2</v>
      </c>
      <c r="X29" s="3">
        <f t="shared" ca="1" si="41"/>
        <v>3.0459676690594049E-2</v>
      </c>
      <c r="Y29" s="3">
        <f t="shared" ca="1" si="41"/>
        <v>2.7874524292812661E-2</v>
      </c>
      <c r="Z29" s="3">
        <f t="shared" ca="1" si="41"/>
        <v>4.3870599307143106E-2</v>
      </c>
      <c r="AA29" s="3">
        <f t="shared" ca="1" si="41"/>
        <v>2.989309768086934E-2</v>
      </c>
      <c r="AB29" s="3">
        <f t="shared" ca="1" si="41"/>
        <v>5.2326774550978887E-2</v>
      </c>
      <c r="AC29" s="3">
        <f t="shared" ca="1" si="41"/>
        <v>3.9686551037000146E-2</v>
      </c>
      <c r="AD29" s="3">
        <f t="shared" ca="1" si="41"/>
        <v>6.2010544036173246E-2</v>
      </c>
      <c r="AE29" s="3">
        <f t="shared" ca="1" si="41"/>
        <v>4.5448747984171735E-2</v>
      </c>
      <c r="AF29" s="3">
        <f t="shared" ca="1" si="41"/>
        <v>7.304964829811246E-2</v>
      </c>
      <c r="AG29" s="3">
        <f t="shared" ca="1" si="41"/>
        <v>5.2553473582291475E-2</v>
      </c>
      <c r="AH29" s="3">
        <f t="shared" ca="1" si="41"/>
        <v>8.3665708393029337E-2</v>
      </c>
      <c r="AI29" s="3">
        <f t="shared" ca="1" si="41"/>
        <v>9.3970151061225915E-2</v>
      </c>
      <c r="AJ29" s="3">
        <f t="shared" ca="1" si="41"/>
        <v>0.13049818303859589</v>
      </c>
    </row>
    <row r="30" spans="1:36" x14ac:dyDescent="0.35">
      <c r="A30" t="s">
        <v>63</v>
      </c>
      <c r="B30" t="s">
        <v>61</v>
      </c>
      <c r="C30" s="4">
        <v>3</v>
      </c>
      <c r="D30" s="3">
        <f t="shared" ref="D30:AJ30" ca="1" si="42">MIN(0.99,D11+$D$3)</f>
        <v>6.5942744788683163E-3</v>
      </c>
      <c r="E30" s="3">
        <f t="shared" ca="1" si="42"/>
        <v>6.4190479847164219E-3</v>
      </c>
      <c r="F30" s="3">
        <f t="shared" ca="1" si="42"/>
        <v>9.8905669773036789E-3</v>
      </c>
      <c r="G30" s="3">
        <f t="shared" ca="1" si="42"/>
        <v>8.314793968492374E-3</v>
      </c>
      <c r="H30" s="3">
        <f t="shared" ca="1" si="42"/>
        <v>1.1130308044812721E-2</v>
      </c>
      <c r="I30" s="3">
        <f t="shared" ca="1" si="42"/>
        <v>9.7964713440263675E-3</v>
      </c>
      <c r="J30" s="3">
        <f t="shared" ca="1" si="42"/>
        <v>1.4384795807367966E-2</v>
      </c>
      <c r="K30" s="3">
        <f t="shared" ca="1" si="42"/>
        <v>1.0477846831730322E-2</v>
      </c>
      <c r="L30" s="3">
        <f t="shared" ca="1" si="42"/>
        <v>1.6854790669011199E-2</v>
      </c>
      <c r="M30" s="3">
        <f t="shared" ca="1" si="42"/>
        <v>1.2348462197499032E-2</v>
      </c>
      <c r="N30" s="3">
        <f t="shared" ca="1" si="42"/>
        <v>1.8158650349272498E-2</v>
      </c>
      <c r="O30" s="3">
        <f t="shared" ca="1" si="42"/>
        <v>1.4734394468983388E-2</v>
      </c>
      <c r="P30" s="3">
        <f t="shared" ca="1" si="42"/>
        <v>2.0289279928888369E-2</v>
      </c>
      <c r="Q30" s="3">
        <f t="shared" ca="1" si="42"/>
        <v>1.7524890609761926E-2</v>
      </c>
      <c r="R30" s="3">
        <f t="shared" ca="1" si="42"/>
        <v>2.0997577619553731E-2</v>
      </c>
      <c r="S30" s="3">
        <f t="shared" ca="1" si="42"/>
        <v>1.9971163398076256E-2</v>
      </c>
      <c r="T30" s="3">
        <f t="shared" ca="1" si="42"/>
        <v>2.3794883616490493E-2</v>
      </c>
      <c r="U30" s="3">
        <f t="shared" ca="1" si="42"/>
        <v>2.121180185665433E-2</v>
      </c>
      <c r="V30" s="3">
        <f t="shared" ca="1" si="42"/>
        <v>2.7111470461537796E-2</v>
      </c>
      <c r="W30" s="3">
        <f t="shared" ca="1" si="42"/>
        <v>2.1565481561719956E-2</v>
      </c>
      <c r="X30" s="3">
        <f t="shared" ca="1" si="42"/>
        <v>3.1422693033801907E-2</v>
      </c>
      <c r="Y30" s="3">
        <f t="shared" ca="1" si="42"/>
        <v>2.8803373949168706E-2</v>
      </c>
      <c r="Z30" s="3">
        <f t="shared" ca="1" si="42"/>
        <v>4.486406105631318E-2</v>
      </c>
      <c r="AA30" s="3">
        <f t="shared" ca="1" si="42"/>
        <v>3.0875872752425187E-2</v>
      </c>
      <c r="AB30" s="3">
        <f t="shared" ca="1" si="42"/>
        <v>5.3276655642735787E-2</v>
      </c>
      <c r="AC30" s="3">
        <f t="shared" ca="1" si="42"/>
        <v>4.0652044479067194E-2</v>
      </c>
      <c r="AD30" s="3">
        <f t="shared" ca="1" si="42"/>
        <v>6.2995364053749794E-2</v>
      </c>
      <c r="AE30" s="3">
        <f t="shared" ca="1" si="42"/>
        <v>4.641454508360815E-2</v>
      </c>
      <c r="AF30" s="3">
        <f t="shared" ca="1" si="42"/>
        <v>7.3981951926338732E-2</v>
      </c>
      <c r="AG30" s="3">
        <f t="shared" ca="1" si="42"/>
        <v>5.3512760441136183E-2</v>
      </c>
      <c r="AH30" s="3">
        <f t="shared" ca="1" si="42"/>
        <v>8.4628916117331796E-2</v>
      </c>
      <c r="AI30" s="3">
        <f t="shared" ca="1" si="42"/>
        <v>9.4911748074339775E-2</v>
      </c>
      <c r="AJ30" s="3">
        <f t="shared" ca="1" si="42"/>
        <v>0.13147900639743301</v>
      </c>
    </row>
    <row r="31" spans="1:36" x14ac:dyDescent="0.35">
      <c r="A31" t="s">
        <v>63</v>
      </c>
      <c r="B31" t="s">
        <v>61</v>
      </c>
      <c r="C31" s="4" t="s">
        <v>67</v>
      </c>
      <c r="D31" s="3">
        <f t="shared" ref="D31:AJ31" ca="1" si="43">MIN(0.99,D12+$D$3)</f>
        <v>7.5072617780631038E-3</v>
      </c>
      <c r="E31" s="3">
        <f t="shared" ca="1" si="43"/>
        <v>7.4186643093365288E-3</v>
      </c>
      <c r="F31" s="3">
        <f t="shared" ca="1" si="43"/>
        <v>1.0838970215703535E-2</v>
      </c>
      <c r="G31" s="3">
        <f t="shared" ca="1" si="43"/>
        <v>9.2702266207155999E-3</v>
      </c>
      <c r="H31" s="3">
        <f t="shared" ca="1" si="43"/>
        <v>1.2039422900349248E-2</v>
      </c>
      <c r="I31" s="3">
        <f t="shared" ca="1" si="43"/>
        <v>1.0766772654257802E-2</v>
      </c>
      <c r="J31" s="3">
        <f t="shared" ca="1" si="43"/>
        <v>1.5288327321147675E-2</v>
      </c>
      <c r="K31" s="3">
        <f t="shared" ca="1" si="43"/>
        <v>1.143079589499878E-2</v>
      </c>
      <c r="L31" s="3">
        <f t="shared" ca="1" si="43"/>
        <v>1.7768354203950249E-2</v>
      </c>
      <c r="M31" s="3">
        <f t="shared" ca="1" si="43"/>
        <v>1.3280189412680624E-2</v>
      </c>
      <c r="N31" s="3">
        <f t="shared" ca="1" si="43"/>
        <v>1.9102802595216968E-2</v>
      </c>
      <c r="O31" s="3">
        <f t="shared" ca="1" si="43"/>
        <v>1.5724009327180283E-2</v>
      </c>
      <c r="P31" s="3">
        <f t="shared" ca="1" si="43"/>
        <v>2.1240793716714692E-2</v>
      </c>
      <c r="Q31" s="3">
        <f t="shared" ca="1" si="43"/>
        <v>1.8435578296083732E-2</v>
      </c>
      <c r="R31" s="3">
        <f t="shared" ca="1" si="43"/>
        <v>2.1982953570196907E-2</v>
      </c>
      <c r="S31" s="3">
        <f t="shared" ca="1" si="43"/>
        <v>2.0927661150257584E-2</v>
      </c>
      <c r="T31" s="3">
        <f t="shared" ca="1" si="43"/>
        <v>2.4726374927918841E-2</v>
      </c>
      <c r="U31" s="3">
        <f t="shared" ca="1" si="43"/>
        <v>2.2137929393930313E-2</v>
      </c>
      <c r="V31" s="3">
        <f t="shared" ca="1" si="43"/>
        <v>2.8076623094779297E-2</v>
      </c>
      <c r="W31" s="3">
        <f t="shared" ca="1" si="43"/>
        <v>2.2519817399304549E-2</v>
      </c>
      <c r="X31" s="3">
        <f t="shared" ca="1" si="43"/>
        <v>3.2353232413125002E-2</v>
      </c>
      <c r="Y31" s="3">
        <f t="shared" ca="1" si="43"/>
        <v>2.9766792116739944E-2</v>
      </c>
      <c r="Z31" s="3">
        <f t="shared" ca="1" si="43"/>
        <v>4.5803547748534783E-2</v>
      </c>
      <c r="AA31" s="3">
        <f t="shared" ca="1" si="43"/>
        <v>3.1833864563171999E-2</v>
      </c>
      <c r="AB31" s="3">
        <f t="shared" ca="1" si="43"/>
        <v>5.4192933576772774E-2</v>
      </c>
      <c r="AC31" s="3">
        <f t="shared" ca="1" si="43"/>
        <v>4.1576590048241463E-2</v>
      </c>
      <c r="AD31" s="3">
        <f t="shared" ca="1" si="43"/>
        <v>6.3905234727120119E-2</v>
      </c>
      <c r="AE31" s="3">
        <f t="shared" ca="1" si="43"/>
        <v>4.7374736740146153E-2</v>
      </c>
      <c r="AF31" s="3">
        <f t="shared" ca="1" si="43"/>
        <v>7.4918877030336506E-2</v>
      </c>
      <c r="AG31" s="3">
        <f t="shared" ca="1" si="43"/>
        <v>5.4491994473996212E-2</v>
      </c>
      <c r="AH31" s="3">
        <f t="shared" ca="1" si="43"/>
        <v>8.5595365111431149E-2</v>
      </c>
      <c r="AI31" s="3">
        <f t="shared" ca="1" si="43"/>
        <v>9.5856220357935576E-2</v>
      </c>
      <c r="AJ31" s="3">
        <f t="shared" ca="1" si="43"/>
        <v>0.1324006732661154</v>
      </c>
    </row>
    <row r="32" spans="1:36" x14ac:dyDescent="0.35">
      <c r="A32" t="s">
        <v>63</v>
      </c>
      <c r="B32" t="s">
        <v>61</v>
      </c>
      <c r="C32" s="4" t="s">
        <v>68</v>
      </c>
      <c r="D32" s="3">
        <f t="shared" ref="D32:AJ32" ca="1" si="44">MIN(0.99,D13+$D$3)</f>
        <v>8.4111620739236847E-3</v>
      </c>
      <c r="E32" s="3">
        <f t="shared" ca="1" si="44"/>
        <v>8.4160473104149414E-3</v>
      </c>
      <c r="F32" s="3">
        <f t="shared" ca="1" si="44"/>
        <v>1.1775310626386773E-2</v>
      </c>
      <c r="G32" s="3">
        <f t="shared" ca="1" si="44"/>
        <v>1.021301488988181E-2</v>
      </c>
      <c r="H32" s="3">
        <f t="shared" ca="1" si="44"/>
        <v>1.2985507637467704E-2</v>
      </c>
      <c r="I32" s="3">
        <f t="shared" ca="1" si="44"/>
        <v>1.172706732447408E-2</v>
      </c>
      <c r="J32" s="3">
        <f t="shared" ca="1" si="44"/>
        <v>1.6257844791897857E-2</v>
      </c>
      <c r="K32" s="3">
        <f t="shared" ca="1" si="44"/>
        <v>1.2371411213918007E-2</v>
      </c>
      <c r="L32" s="3">
        <f t="shared" ca="1" si="44"/>
        <v>1.8725915329527096E-2</v>
      </c>
      <c r="M32" s="3">
        <f t="shared" ca="1" si="44"/>
        <v>1.4244380702059543E-2</v>
      </c>
      <c r="N32" s="3">
        <f t="shared" ca="1" si="44"/>
        <v>2.0030669907762619E-2</v>
      </c>
      <c r="O32" s="3">
        <f t="shared" ca="1" si="44"/>
        <v>1.6656868639080055E-2</v>
      </c>
      <c r="P32" s="3">
        <f t="shared" ca="1" si="44"/>
        <v>2.2169052522782208E-2</v>
      </c>
      <c r="Q32" s="3">
        <f t="shared" ca="1" si="44"/>
        <v>1.943116729279502E-2</v>
      </c>
      <c r="R32" s="3">
        <f t="shared" ca="1" si="44"/>
        <v>2.2928124644433119E-2</v>
      </c>
      <c r="S32" s="3">
        <f t="shared" ca="1" si="44"/>
        <v>2.1904079725548729E-2</v>
      </c>
      <c r="T32" s="3">
        <f t="shared" ca="1" si="44"/>
        <v>2.5627034545963934E-2</v>
      </c>
      <c r="U32" s="3">
        <f t="shared" ca="1" si="44"/>
        <v>2.3051426722053497E-2</v>
      </c>
      <c r="V32" s="3">
        <f t="shared" ca="1" si="44"/>
        <v>2.9018589169893718E-2</v>
      </c>
      <c r="W32" s="3">
        <f t="shared" ca="1" si="44"/>
        <v>2.3446705133094294E-2</v>
      </c>
      <c r="X32" s="3">
        <f t="shared" ca="1" si="44"/>
        <v>3.3261785530811917E-2</v>
      </c>
      <c r="Y32" s="3">
        <f t="shared" ca="1" si="44"/>
        <v>3.0668926958263464E-2</v>
      </c>
      <c r="Z32" s="3">
        <f t="shared" ca="1" si="44"/>
        <v>4.675659237837821E-2</v>
      </c>
      <c r="AA32" s="3">
        <f t="shared" ca="1" si="44"/>
        <v>3.2801426991201685E-2</v>
      </c>
      <c r="AB32" s="3">
        <f t="shared" ca="1" si="44"/>
        <v>5.5150183509311911E-2</v>
      </c>
      <c r="AC32" s="3">
        <f t="shared" ca="1" si="44"/>
        <v>4.2500302626473509E-2</v>
      </c>
      <c r="AD32" s="3">
        <f t="shared" ca="1" si="44"/>
        <v>6.484740859920704E-2</v>
      </c>
      <c r="AE32" s="3">
        <f t="shared" ca="1" si="44"/>
        <v>4.8309961356073801E-2</v>
      </c>
      <c r="AF32" s="3">
        <f t="shared" ca="1" si="44"/>
        <v>7.5916984195258164E-2</v>
      </c>
      <c r="AG32" s="3">
        <f t="shared" ca="1" si="44"/>
        <v>5.5462096330036563E-2</v>
      </c>
      <c r="AH32" s="3">
        <f t="shared" ca="1" si="44"/>
        <v>8.6580237549320163E-2</v>
      </c>
      <c r="AI32" s="3">
        <f t="shared" ca="1" si="44"/>
        <v>9.6840957239485409E-2</v>
      </c>
      <c r="AJ32" s="3">
        <f t="shared" ca="1" si="44"/>
        <v>0.13335023118328371</v>
      </c>
    </row>
    <row r="33" spans="1:36" x14ac:dyDescent="0.35">
      <c r="A33" t="s">
        <v>63</v>
      </c>
      <c r="B33" t="s">
        <v>61</v>
      </c>
      <c r="C33" s="4">
        <v>4</v>
      </c>
      <c r="D33" s="3">
        <f t="shared" ref="D33:AJ33" ca="1" si="45">MIN(0.99,D14+$D$3)</f>
        <v>9.3520800575525101E-3</v>
      </c>
      <c r="E33" s="3">
        <f t="shared" ca="1" si="45"/>
        <v>9.3358629709650968E-3</v>
      </c>
      <c r="F33" s="3">
        <f t="shared" ca="1" si="45"/>
        <v>1.2714404863455733E-2</v>
      </c>
      <c r="G33" s="3">
        <f t="shared" ca="1" si="45"/>
        <v>1.1180053528096583E-2</v>
      </c>
      <c r="H33" s="3">
        <f t="shared" ca="1" si="45"/>
        <v>1.3938500514886567E-2</v>
      </c>
      <c r="I33" s="3">
        <f t="shared" ca="1" si="45"/>
        <v>1.2692401745204387E-2</v>
      </c>
      <c r="J33" s="3">
        <f t="shared" ca="1" si="45"/>
        <v>1.7211337789727752E-2</v>
      </c>
      <c r="K33" s="3">
        <f t="shared" ca="1" si="45"/>
        <v>1.3321227668681046E-2</v>
      </c>
      <c r="L33" s="3">
        <f t="shared" ca="1" si="45"/>
        <v>1.9642544522466124E-2</v>
      </c>
      <c r="M33" s="3">
        <f t="shared" ca="1" si="45"/>
        <v>1.5178911202820916E-2</v>
      </c>
      <c r="N33" s="3">
        <f t="shared" ca="1" si="45"/>
        <v>2.1019778838211878E-2</v>
      </c>
      <c r="O33" s="3">
        <f t="shared" ca="1" si="45"/>
        <v>1.7586177542232476E-2</v>
      </c>
      <c r="P33" s="3">
        <f t="shared" ca="1" si="45"/>
        <v>2.3090641902851459E-2</v>
      </c>
      <c r="Q33" s="3">
        <f t="shared" ca="1" si="45"/>
        <v>2.0405564886151951E-2</v>
      </c>
      <c r="R33" s="3">
        <f t="shared" ca="1" si="45"/>
        <v>2.3927124797033683E-2</v>
      </c>
      <c r="S33" s="3">
        <f t="shared" ca="1" si="45"/>
        <v>2.2857040400956548E-2</v>
      </c>
      <c r="T33" s="3">
        <f t="shared" ca="1" si="45"/>
        <v>2.6611720262156961E-2</v>
      </c>
      <c r="U33" s="3">
        <f t="shared" ca="1" si="45"/>
        <v>2.4009661121339346E-2</v>
      </c>
      <c r="V33" s="3">
        <f t="shared" ca="1" si="45"/>
        <v>2.9982982623372758E-2</v>
      </c>
      <c r="W33" s="3">
        <f t="shared" ca="1" si="45"/>
        <v>2.4386539195028891E-2</v>
      </c>
      <c r="X33" s="3">
        <f t="shared" ca="1" si="45"/>
        <v>3.4253493894606239E-2</v>
      </c>
      <c r="Y33" s="3">
        <f t="shared" ca="1" si="45"/>
        <v>3.1628156595537374E-2</v>
      </c>
      <c r="Z33" s="3">
        <f t="shared" ca="1" si="45"/>
        <v>4.7686007122657047E-2</v>
      </c>
      <c r="AA33" s="3">
        <f t="shared" ca="1" si="45"/>
        <v>3.3800871969292899E-2</v>
      </c>
      <c r="AB33" s="3">
        <f t="shared" ca="1" si="45"/>
        <v>5.6100027381240258E-2</v>
      </c>
      <c r="AC33" s="3">
        <f t="shared" ca="1" si="45"/>
        <v>4.340945451562387E-2</v>
      </c>
      <c r="AD33" s="3">
        <f t="shared" ca="1" si="45"/>
        <v>6.5814558850557051E-2</v>
      </c>
      <c r="AE33" s="3">
        <f t="shared" ca="1" si="45"/>
        <v>4.9221019353694488E-2</v>
      </c>
      <c r="AF33" s="3">
        <f t="shared" ca="1" si="45"/>
        <v>7.6893395313038043E-2</v>
      </c>
      <c r="AG33" s="3">
        <f t="shared" ca="1" si="45"/>
        <v>5.6421156855715249E-2</v>
      </c>
      <c r="AH33" s="3">
        <f t="shared" ca="1" si="45"/>
        <v>8.7569064066841451E-2</v>
      </c>
      <c r="AI33" s="3">
        <f t="shared" ca="1" si="45"/>
        <v>9.7748437723415391E-2</v>
      </c>
      <c r="AJ33" s="3">
        <f t="shared" ca="1" si="45"/>
        <v>0.13434224271623046</v>
      </c>
    </row>
    <row r="34" spans="1:36" x14ac:dyDescent="0.35">
      <c r="A34" t="s">
        <v>63</v>
      </c>
      <c r="B34" t="s">
        <v>61</v>
      </c>
      <c r="C34" s="4" t="s">
        <v>69</v>
      </c>
      <c r="D34" s="3">
        <f t="shared" ref="D34:AJ34" ca="1" si="46">MIN(0.99,D15+$D$3)</f>
        <v>1.0252892781382042E-2</v>
      </c>
      <c r="E34" s="3">
        <f t="shared" ca="1" si="46"/>
        <v>1.0282405117157514E-2</v>
      </c>
      <c r="F34" s="3">
        <f t="shared" ca="1" si="46"/>
        <v>1.367254918277757E-2</v>
      </c>
      <c r="G34" s="3">
        <f t="shared" ca="1" si="46"/>
        <v>1.2115228540177735E-2</v>
      </c>
      <c r="H34" s="3">
        <f t="shared" ca="1" si="46"/>
        <v>1.4904244730124559E-2</v>
      </c>
      <c r="I34" s="3">
        <f t="shared" ca="1" si="46"/>
        <v>1.3672427692525298E-2</v>
      </c>
      <c r="J34" s="3">
        <f t="shared" ca="1" si="46"/>
        <v>1.8198976618254547E-2</v>
      </c>
      <c r="K34" s="3">
        <f t="shared" ca="1" si="46"/>
        <v>1.4293996462293207E-2</v>
      </c>
      <c r="L34" s="3">
        <f t="shared" ca="1" si="46"/>
        <v>2.060806883859698E-2</v>
      </c>
      <c r="M34" s="3">
        <f t="shared" ca="1" si="46"/>
        <v>1.6113425867899663E-2</v>
      </c>
      <c r="N34" s="3">
        <f t="shared" ca="1" si="46"/>
        <v>2.1948623098868629E-2</v>
      </c>
      <c r="O34" s="3">
        <f t="shared" ca="1" si="46"/>
        <v>1.8528040856690679E-2</v>
      </c>
      <c r="P34" s="3">
        <f t="shared" ca="1" si="46"/>
        <v>2.399550734612467E-2</v>
      </c>
      <c r="Q34" s="3">
        <f t="shared" ca="1" si="46"/>
        <v>2.1403194391290962E-2</v>
      </c>
      <c r="R34" s="3">
        <f t="shared" ca="1" si="46"/>
        <v>2.4884104771294623E-2</v>
      </c>
      <c r="S34" s="3">
        <f t="shared" ca="1" si="46"/>
        <v>2.3800543029163915E-2</v>
      </c>
      <c r="T34" s="3">
        <f t="shared" ca="1" si="46"/>
        <v>2.755539640296777E-2</v>
      </c>
      <c r="U34" s="3">
        <f t="shared" ca="1" si="46"/>
        <v>2.4954858093652513E-2</v>
      </c>
      <c r="V34" s="3">
        <f t="shared" ca="1" si="46"/>
        <v>3.0921535955726789E-2</v>
      </c>
      <c r="W34" s="3">
        <f t="shared" ca="1" si="46"/>
        <v>2.5300833425765099E-2</v>
      </c>
      <c r="X34" s="3">
        <f t="shared" ca="1" si="46"/>
        <v>3.5222654669474572E-2</v>
      </c>
      <c r="Y34" s="3">
        <f t="shared" ca="1" si="46"/>
        <v>3.2535037618145364E-2</v>
      </c>
      <c r="Z34" s="3">
        <f t="shared" ca="1" si="46"/>
        <v>4.8612495434711397E-2</v>
      </c>
      <c r="AA34" s="3">
        <f t="shared" ca="1" si="46"/>
        <v>3.473003003791629E-2</v>
      </c>
      <c r="AB34" s="3">
        <f t="shared" ca="1" si="46"/>
        <v>5.7084024443282033E-2</v>
      </c>
      <c r="AC34" s="3">
        <f t="shared" ca="1" si="46"/>
        <v>4.4396203139463672E-2</v>
      </c>
      <c r="AD34" s="3">
        <f t="shared" ca="1" si="46"/>
        <v>6.6739844545102622E-2</v>
      </c>
      <c r="AE34" s="3">
        <f t="shared" ca="1" si="46"/>
        <v>5.0189370734790281E-2</v>
      </c>
      <c r="AF34" s="3">
        <f t="shared" ca="1" si="46"/>
        <v>7.7859734385545956E-2</v>
      </c>
      <c r="AG34" s="3">
        <f t="shared" ca="1" si="46"/>
        <v>5.7399467951680119E-2</v>
      </c>
      <c r="AH34" s="3">
        <f t="shared" ca="1" si="46"/>
        <v>8.8543067698873365E-2</v>
      </c>
      <c r="AI34" s="3">
        <f t="shared" ca="1" si="46"/>
        <v>9.8703129102216916E-2</v>
      </c>
      <c r="AJ34" s="3">
        <f t="shared" ca="1" si="46"/>
        <v>0.13533512323311783</v>
      </c>
    </row>
    <row r="35" spans="1:36" x14ac:dyDescent="0.35">
      <c r="A35" t="s">
        <v>63</v>
      </c>
      <c r="B35" t="s">
        <v>61</v>
      </c>
      <c r="C35" s="4" t="s">
        <v>70</v>
      </c>
      <c r="D35" s="3">
        <f t="shared" ref="D35:AJ35" ca="1" si="47">MIN(0.99,D16+$D$3)</f>
        <v>1.1217907175117989E-2</v>
      </c>
      <c r="E35" s="3">
        <f t="shared" ca="1" si="47"/>
        <v>1.1260425210607335E-2</v>
      </c>
      <c r="F35" s="3">
        <f t="shared" ca="1" si="47"/>
        <v>1.4604297579761279E-2</v>
      </c>
      <c r="G35" s="3">
        <f t="shared" ca="1" si="47"/>
        <v>1.3098446303545577E-2</v>
      </c>
      <c r="H35" s="3">
        <f t="shared" ca="1" si="47"/>
        <v>1.5821406506635008E-2</v>
      </c>
      <c r="I35" s="3">
        <f t="shared" ca="1" si="47"/>
        <v>1.4613072348121647E-2</v>
      </c>
      <c r="J35" s="3">
        <f t="shared" ca="1" si="47"/>
        <v>1.9120896269045964E-2</v>
      </c>
      <c r="K35" s="3">
        <f t="shared" ca="1" si="47"/>
        <v>1.5225934381121031E-2</v>
      </c>
      <c r="L35" s="3">
        <f t="shared" ca="1" si="47"/>
        <v>2.1538076483926312E-2</v>
      </c>
      <c r="M35" s="3">
        <f t="shared" ca="1" si="47"/>
        <v>1.701905746601003E-2</v>
      </c>
      <c r="N35" s="3">
        <f t="shared" ca="1" si="47"/>
        <v>2.2896820231957639E-2</v>
      </c>
      <c r="O35" s="3">
        <f t="shared" ca="1" si="47"/>
        <v>1.9470061928958001E-2</v>
      </c>
      <c r="P35" s="3">
        <f t="shared" ca="1" si="47"/>
        <v>2.4941357922615013E-2</v>
      </c>
      <c r="Q35" s="3">
        <f t="shared" ca="1" si="47"/>
        <v>2.2319654618823022E-2</v>
      </c>
      <c r="R35" s="3">
        <f t="shared" ca="1" si="47"/>
        <v>2.5878186785647486E-2</v>
      </c>
      <c r="S35" s="3">
        <f t="shared" ca="1" si="47"/>
        <v>2.4765688578388231E-2</v>
      </c>
      <c r="T35" s="3">
        <f t="shared" ca="1" si="47"/>
        <v>2.8501869293947175E-2</v>
      </c>
      <c r="U35" s="3">
        <f t="shared" ca="1" si="47"/>
        <v>2.5944137006687698E-2</v>
      </c>
      <c r="V35" s="3">
        <f t="shared" ca="1" si="47"/>
        <v>3.1911974268886638E-2</v>
      </c>
      <c r="W35" s="3">
        <f t="shared" ca="1" si="47"/>
        <v>2.6251466371785298E-2</v>
      </c>
      <c r="X35" s="3">
        <f t="shared" ca="1" si="47"/>
        <v>3.6157869967204395E-2</v>
      </c>
      <c r="Y35" s="3">
        <f t="shared" ca="1" si="47"/>
        <v>3.3474682437786688E-2</v>
      </c>
      <c r="Z35" s="3">
        <f t="shared" ca="1" si="47"/>
        <v>4.9578907339580092E-2</v>
      </c>
      <c r="AA35" s="3">
        <f t="shared" ca="1" si="47"/>
        <v>3.5661739532130234E-2</v>
      </c>
      <c r="AB35" s="3">
        <f t="shared" ca="1" si="47"/>
        <v>5.8078184019322257E-2</v>
      </c>
      <c r="AC35" s="3">
        <f t="shared" ca="1" si="47"/>
        <v>4.5379430381883253E-2</v>
      </c>
      <c r="AD35" s="3">
        <f t="shared" ca="1" si="47"/>
        <v>6.7648648288481716E-2</v>
      </c>
      <c r="AE35" s="3">
        <f t="shared" ca="1" si="47"/>
        <v>5.1178590310255338E-2</v>
      </c>
      <c r="AF35" s="3">
        <f t="shared" ca="1" si="47"/>
        <v>7.8811514189398732E-2</v>
      </c>
      <c r="AG35" s="3">
        <f t="shared" ca="1" si="47"/>
        <v>5.8361755985027415E-2</v>
      </c>
      <c r="AH35" s="3">
        <f t="shared" ca="1" si="47"/>
        <v>8.9519854011083588E-2</v>
      </c>
      <c r="AI35" s="3">
        <f t="shared" ca="1" si="47"/>
        <v>9.9631094923656599E-2</v>
      </c>
      <c r="AJ35" s="3">
        <f t="shared" ca="1" si="47"/>
        <v>0.13631527861777903</v>
      </c>
    </row>
    <row r="36" spans="1:36" x14ac:dyDescent="0.35">
      <c r="A36" t="s">
        <v>63</v>
      </c>
      <c r="B36" t="s">
        <v>61</v>
      </c>
      <c r="C36" s="4">
        <v>5</v>
      </c>
      <c r="D36" s="3">
        <f t="shared" ref="D36:AJ36" ca="1" si="48">MIN(0.99,D17+$D$3)</f>
        <v>1.2141127813324343E-2</v>
      </c>
      <c r="E36" s="3">
        <f t="shared" ca="1" si="48"/>
        <v>1.220630709202003E-2</v>
      </c>
      <c r="F36" s="3">
        <f t="shared" ca="1" si="48"/>
        <v>1.5519127305588389E-2</v>
      </c>
      <c r="G36" s="3">
        <f t="shared" ca="1" si="48"/>
        <v>1.406926515455274E-2</v>
      </c>
      <c r="H36" s="3">
        <f t="shared" ca="1" si="48"/>
        <v>1.6724130101544055E-2</v>
      </c>
      <c r="I36" s="3">
        <f t="shared" ca="1" si="48"/>
        <v>1.5565490926466488E-2</v>
      </c>
      <c r="J36" s="3">
        <f t="shared" ca="1" si="48"/>
        <v>2.0062449914054037E-2</v>
      </c>
      <c r="K36" s="3">
        <f t="shared" ca="1" si="48"/>
        <v>1.6222492722526943E-2</v>
      </c>
      <c r="L36" s="3">
        <f t="shared" ca="1" si="48"/>
        <v>2.250970517276352E-2</v>
      </c>
      <c r="M36" s="3">
        <f t="shared" ca="1" si="48"/>
        <v>1.79265593325828E-2</v>
      </c>
      <c r="N36" s="3">
        <f t="shared" ca="1" si="48"/>
        <v>2.3872966120531625E-2</v>
      </c>
      <c r="O36" s="3">
        <f t="shared" ca="1" si="48"/>
        <v>2.0399343335724518E-2</v>
      </c>
      <c r="P36" s="3">
        <f t="shared" ca="1" si="48"/>
        <v>2.5855146679280693E-2</v>
      </c>
      <c r="Q36" s="3">
        <f t="shared" ca="1" si="48"/>
        <v>2.3289760714600701E-2</v>
      </c>
      <c r="R36" s="3">
        <f t="shared" ca="1" si="48"/>
        <v>2.6875759237192782E-2</v>
      </c>
      <c r="S36" s="3">
        <f t="shared" ca="1" si="48"/>
        <v>2.5678778355925528E-2</v>
      </c>
      <c r="T36" s="3">
        <f t="shared" ca="1" si="48"/>
        <v>2.9459356794746507E-2</v>
      </c>
      <c r="U36" s="3">
        <f t="shared" ca="1" si="48"/>
        <v>2.6904221102308577E-2</v>
      </c>
      <c r="V36" s="3">
        <f t="shared" ca="1" si="48"/>
        <v>3.2829100213476028E-2</v>
      </c>
      <c r="W36" s="3">
        <f t="shared" ca="1" si="48"/>
        <v>2.7169232363111178E-2</v>
      </c>
      <c r="X36" s="3">
        <f t="shared" ca="1" si="48"/>
        <v>3.7119424562016216E-2</v>
      </c>
      <c r="Y36" s="3">
        <f t="shared" ca="1" si="48"/>
        <v>3.4381735075919302E-2</v>
      </c>
      <c r="Z36" s="3">
        <f t="shared" ca="1" si="48"/>
        <v>5.0513950057985431E-2</v>
      </c>
      <c r="AA36" s="3">
        <f t="shared" ca="1" si="48"/>
        <v>3.6624776193692761E-2</v>
      </c>
      <c r="AB36" s="3">
        <f t="shared" ca="1" si="48"/>
        <v>5.9042020244689387E-2</v>
      </c>
      <c r="AC36" s="3">
        <f t="shared" ca="1" si="48"/>
        <v>4.6298200315280744E-2</v>
      </c>
      <c r="AD36" s="3">
        <f t="shared" ca="1" si="48"/>
        <v>6.864833234073317E-2</v>
      </c>
      <c r="AE36" s="3">
        <f t="shared" ca="1" si="48"/>
        <v>5.2091919330193137E-2</v>
      </c>
      <c r="AF36" s="3">
        <f t="shared" ca="1" si="48"/>
        <v>7.9718608990060294E-2</v>
      </c>
      <c r="AG36" s="3">
        <f t="shared" ca="1" si="48"/>
        <v>5.9349041190509183E-2</v>
      </c>
      <c r="AH36" s="3">
        <f t="shared" ca="1" si="48"/>
        <v>9.0493998608522808E-2</v>
      </c>
      <c r="AI36" s="3">
        <f t="shared" ca="1" si="48"/>
        <v>0.10061929079525005</v>
      </c>
      <c r="AJ36" s="3">
        <f t="shared" ca="1" si="48"/>
        <v>0.13724457796971182</v>
      </c>
    </row>
    <row r="37" spans="1:36" x14ac:dyDescent="0.35">
      <c r="A37" t="s">
        <v>63</v>
      </c>
      <c r="B37" t="s">
        <v>61</v>
      </c>
      <c r="C37" s="4" t="s">
        <v>71</v>
      </c>
      <c r="D37" s="3">
        <f t="shared" ref="D37:AJ37" ca="1" si="49">MIN(0.99,D18+$D$3)</f>
        <v>1.3047898189398752E-2</v>
      </c>
      <c r="E37" s="3">
        <f t="shared" ca="1" si="49"/>
        <v>1.3193947782503185E-2</v>
      </c>
      <c r="F37" s="3">
        <f t="shared" ca="1" si="49"/>
        <v>1.6486662318163134E-2</v>
      </c>
      <c r="G37" s="3">
        <f t="shared" ca="1" si="49"/>
        <v>1.5053174194000589E-2</v>
      </c>
      <c r="H37" s="3">
        <f t="shared" ca="1" si="49"/>
        <v>1.7642036865934303E-2</v>
      </c>
      <c r="I37" s="3">
        <f t="shared" ca="1" si="49"/>
        <v>1.6560211502161099E-2</v>
      </c>
      <c r="J37" s="3">
        <f t="shared" ca="1" si="49"/>
        <v>2.1049534859065019E-2</v>
      </c>
      <c r="K37" s="3">
        <f t="shared" ca="1" si="49"/>
        <v>1.7169060962864666E-2</v>
      </c>
      <c r="L37" s="3">
        <f t="shared" ca="1" si="49"/>
        <v>2.3430331738163227E-2</v>
      </c>
      <c r="M37" s="3">
        <f t="shared" ca="1" si="49"/>
        <v>1.8876624426681431E-2</v>
      </c>
      <c r="N37" s="3">
        <f t="shared" ca="1" si="49"/>
        <v>2.4809813455247739E-2</v>
      </c>
      <c r="O37" s="3">
        <f t="shared" ca="1" si="49"/>
        <v>2.1377995931433934E-2</v>
      </c>
      <c r="P37" s="3">
        <f t="shared" ca="1" si="49"/>
        <v>2.6793216574067951E-2</v>
      </c>
      <c r="Q37" s="3">
        <f t="shared" ca="1" si="49"/>
        <v>2.425841945210019E-2</v>
      </c>
      <c r="R37" s="3">
        <f t="shared" ca="1" si="49"/>
        <v>2.7777278326176581E-2</v>
      </c>
      <c r="S37" s="3">
        <f t="shared" ca="1" si="49"/>
        <v>2.6646409761639855E-2</v>
      </c>
      <c r="T37" s="3">
        <f t="shared" ca="1" si="49"/>
        <v>3.041521678166249E-2</v>
      </c>
      <c r="U37" s="3">
        <f t="shared" ca="1" si="49"/>
        <v>2.7804867165896145E-2</v>
      </c>
      <c r="V37" s="3">
        <f t="shared" ca="1" si="49"/>
        <v>3.3730977380573943E-2</v>
      </c>
      <c r="W37" s="3">
        <f t="shared" ca="1" si="49"/>
        <v>2.8087726139519518E-2</v>
      </c>
      <c r="X37" s="3">
        <f t="shared" ca="1" si="49"/>
        <v>3.8095100583476614E-2</v>
      </c>
      <c r="Y37" s="3">
        <f t="shared" ca="1" si="49"/>
        <v>3.5334191895975052E-2</v>
      </c>
      <c r="Z37" s="3">
        <f t="shared" ca="1" si="49"/>
        <v>5.1455706509084313E-2</v>
      </c>
      <c r="AA37" s="3">
        <f t="shared" ca="1" si="49"/>
        <v>3.7556358937544491E-2</v>
      </c>
      <c r="AB37" s="3">
        <f t="shared" ca="1" si="49"/>
        <v>5.9948572433135068E-2</v>
      </c>
      <c r="AC37" s="3">
        <f t="shared" ca="1" si="49"/>
        <v>4.7230392305639544E-2</v>
      </c>
      <c r="AD37" s="3">
        <f t="shared" ca="1" si="49"/>
        <v>6.956393746638613E-2</v>
      </c>
      <c r="AE37" s="3">
        <f t="shared" ca="1" si="49"/>
        <v>5.3082503672523734E-2</v>
      </c>
      <c r="AF37" s="3">
        <f t="shared" ca="1" si="49"/>
        <v>8.0668273245599095E-2</v>
      </c>
      <c r="AG37" s="3">
        <f t="shared" ca="1" si="49"/>
        <v>6.0300967396244319E-2</v>
      </c>
      <c r="AH37" s="3">
        <f t="shared" ca="1" si="49"/>
        <v>9.1447017454676011E-2</v>
      </c>
      <c r="AI37" s="3">
        <f t="shared" ca="1" si="49"/>
        <v>0.10152284634534332</v>
      </c>
      <c r="AJ37" s="3">
        <f t="shared" ca="1" si="49"/>
        <v>0.13820877061491066</v>
      </c>
    </row>
    <row r="38" spans="1:36" x14ac:dyDescent="0.35">
      <c r="A38" t="s">
        <v>63</v>
      </c>
      <c r="B38" t="s">
        <v>61</v>
      </c>
      <c r="C38" s="4" t="s">
        <v>72</v>
      </c>
      <c r="D38" s="3">
        <f t="shared" ref="D38:AJ38" ca="1" si="50">MIN(0.99,D19+$D$3)</f>
        <v>1.4013505165867149E-2</v>
      </c>
      <c r="E38" s="3">
        <f t="shared" ca="1" si="50"/>
        <v>1.4101137214670267E-2</v>
      </c>
      <c r="F38" s="3">
        <f t="shared" ca="1" si="50"/>
        <v>1.7410918885738126E-2</v>
      </c>
      <c r="G38" s="3">
        <f t="shared" ca="1" si="50"/>
        <v>1.5954117364351563E-2</v>
      </c>
      <c r="H38" s="3">
        <f t="shared" ca="1" si="50"/>
        <v>1.8587022473391678E-2</v>
      </c>
      <c r="I38" s="3">
        <f t="shared" ca="1" si="50"/>
        <v>1.7522164274478336E-2</v>
      </c>
      <c r="J38" s="3">
        <f t="shared" ca="1" si="50"/>
        <v>2.2022467919716685E-2</v>
      </c>
      <c r="K38" s="3">
        <f t="shared" ca="1" si="50"/>
        <v>1.813121194750255E-2</v>
      </c>
      <c r="L38" s="3">
        <f t="shared" ca="1" si="50"/>
        <v>2.435350118901353E-2</v>
      </c>
      <c r="M38" s="3">
        <f t="shared" ca="1" si="50"/>
        <v>1.9792964892850068E-2</v>
      </c>
      <c r="N38" s="3">
        <f t="shared" ca="1" si="50"/>
        <v>2.5760148147333475E-2</v>
      </c>
      <c r="O38" s="3">
        <f t="shared" ca="1" si="50"/>
        <v>2.236797033951023E-2</v>
      </c>
      <c r="P38" s="3">
        <f t="shared" ca="1" si="50"/>
        <v>2.7718818699454081E-2</v>
      </c>
      <c r="Q38" s="3">
        <f t="shared" ca="1" si="50"/>
        <v>2.5188982618582531E-2</v>
      </c>
      <c r="R38" s="3">
        <f t="shared" ca="1" si="50"/>
        <v>2.8719875408066281E-2</v>
      </c>
      <c r="S38" s="3">
        <f t="shared" ca="1" si="50"/>
        <v>2.7584865961715783E-2</v>
      </c>
      <c r="T38" s="3">
        <f t="shared" ca="1" si="50"/>
        <v>3.1401563884860165E-2</v>
      </c>
      <c r="U38" s="3">
        <f t="shared" ca="1" si="50"/>
        <v>2.8783487034411102E-2</v>
      </c>
      <c r="V38" s="3">
        <f t="shared" ca="1" si="50"/>
        <v>3.4659832673463238E-2</v>
      </c>
      <c r="W38" s="3">
        <f t="shared" ca="1" si="50"/>
        <v>2.9058065415066486E-2</v>
      </c>
      <c r="X38" s="3">
        <f t="shared" ca="1" si="50"/>
        <v>3.905987813908518E-2</v>
      </c>
      <c r="Y38" s="3">
        <f t="shared" ca="1" si="50"/>
        <v>3.6235837176143489E-2</v>
      </c>
      <c r="Z38" s="3">
        <f t="shared" ca="1" si="50"/>
        <v>5.2398676152535809E-2</v>
      </c>
      <c r="AA38" s="3">
        <f t="shared" ca="1" si="50"/>
        <v>3.8542617821804522E-2</v>
      </c>
      <c r="AB38" s="3">
        <f t="shared" ca="1" si="50"/>
        <v>6.0927174351363127E-2</v>
      </c>
      <c r="AC38" s="3">
        <f t="shared" ca="1" si="50"/>
        <v>4.817255572484027E-2</v>
      </c>
      <c r="AD38" s="3">
        <f t="shared" ca="1" si="50"/>
        <v>7.0552949575624038E-2</v>
      </c>
      <c r="AE38" s="3">
        <f t="shared" ca="1" si="50"/>
        <v>5.4075933108579437E-2</v>
      </c>
      <c r="AF38" s="3">
        <f t="shared" ca="1" si="50"/>
        <v>8.158715556417874E-2</v>
      </c>
      <c r="AG38" s="3">
        <f t="shared" ca="1" si="50"/>
        <v>6.1277389347350143E-2</v>
      </c>
      <c r="AH38" s="3">
        <f t="shared" ca="1" si="50"/>
        <v>9.241017335713321E-2</v>
      </c>
      <c r="AI38" s="3">
        <f t="shared" ca="1" si="50"/>
        <v>0.10246192958839025</v>
      </c>
      <c r="AJ38" s="3">
        <f t="shared" ca="1" si="50"/>
        <v>0.13917088335100344</v>
      </c>
    </row>
    <row r="39" spans="1:36" x14ac:dyDescent="0.35">
      <c r="A39" t="s">
        <v>63</v>
      </c>
      <c r="B39" t="s">
        <v>61</v>
      </c>
      <c r="C39" s="4">
        <v>6</v>
      </c>
      <c r="D39" s="3">
        <f t="shared" ref="D39:AJ39" ca="1" si="51">MIN(0.99,D20+$D$3)</f>
        <v>1.4970960225025632E-2</v>
      </c>
      <c r="E39" s="3">
        <f t="shared" ca="1" si="51"/>
        <v>1.5006002806789404E-2</v>
      </c>
      <c r="F39" s="3">
        <f t="shared" ca="1" si="51"/>
        <v>1.8363045427415021E-2</v>
      </c>
      <c r="G39" s="3">
        <f t="shared" ca="1" si="51"/>
        <v>1.6884495966732083E-2</v>
      </c>
      <c r="H39" s="3">
        <f t="shared" ca="1" si="51"/>
        <v>1.9579234012875955E-2</v>
      </c>
      <c r="I39" s="3">
        <f t="shared" ca="1" si="51"/>
        <v>1.8441447587045644E-2</v>
      </c>
      <c r="J39" s="3">
        <f t="shared" ca="1" si="51"/>
        <v>2.2950110951396652E-2</v>
      </c>
      <c r="K39" s="3">
        <f t="shared" ca="1" si="51"/>
        <v>1.9050528695585711E-2</v>
      </c>
      <c r="L39" s="3">
        <f t="shared" ca="1" si="51"/>
        <v>2.5323989179398043E-2</v>
      </c>
      <c r="M39" s="3">
        <f t="shared" ca="1" si="51"/>
        <v>2.0728798409588686E-2</v>
      </c>
      <c r="N39" s="3">
        <f t="shared" ca="1" si="51"/>
        <v>2.6662882813241893E-2</v>
      </c>
      <c r="O39" s="3">
        <f t="shared" ca="1" si="51"/>
        <v>2.3311053486308849E-2</v>
      </c>
      <c r="P39" s="3">
        <f t="shared" ca="1" si="51"/>
        <v>2.8688784170756352E-2</v>
      </c>
      <c r="Q39" s="3">
        <f t="shared" ca="1" si="51"/>
        <v>2.6170013296866464E-2</v>
      </c>
      <c r="R39" s="3">
        <f t="shared" ca="1" si="51"/>
        <v>2.9630327529122799E-2</v>
      </c>
      <c r="S39" s="3">
        <f t="shared" ca="1" si="51"/>
        <v>2.8504173285796762E-2</v>
      </c>
      <c r="T39" s="3">
        <f t="shared" ca="1" si="51"/>
        <v>3.2378288666347871E-2</v>
      </c>
      <c r="U39" s="3">
        <f t="shared" ca="1" si="51"/>
        <v>2.9782537071597122E-2</v>
      </c>
      <c r="V39" s="3">
        <f t="shared" ca="1" si="51"/>
        <v>3.5618548104760221E-2</v>
      </c>
      <c r="W39" s="3">
        <f t="shared" ca="1" si="51"/>
        <v>2.9980514234866286E-2</v>
      </c>
      <c r="X39" s="3">
        <f t="shared" ca="1" si="51"/>
        <v>3.9968159915141251E-2</v>
      </c>
      <c r="Y39" s="3">
        <f t="shared" ca="1" si="51"/>
        <v>3.7162082463951272E-2</v>
      </c>
      <c r="Z39" s="3">
        <f t="shared" ca="1" si="51"/>
        <v>5.3338252552760035E-2</v>
      </c>
      <c r="AA39" s="3">
        <f t="shared" ca="1" si="51"/>
        <v>3.9508086926544603E-2</v>
      </c>
      <c r="AB39" s="3">
        <f t="shared" ca="1" si="51"/>
        <v>6.1836267131019335E-2</v>
      </c>
      <c r="AC39" s="3">
        <f t="shared" ca="1" si="51"/>
        <v>4.9102948033483383E-2</v>
      </c>
      <c r="AD39" s="3">
        <f t="shared" ca="1" si="51"/>
        <v>7.1473152505702367E-2</v>
      </c>
      <c r="AE39" s="3">
        <f t="shared" ca="1" si="51"/>
        <v>5.5001270790248961E-2</v>
      </c>
      <c r="AF39" s="3">
        <f t="shared" ca="1" si="51"/>
        <v>8.2513160743016817E-2</v>
      </c>
      <c r="AG39" s="3">
        <f t="shared" ca="1" si="51"/>
        <v>6.2272324017778616E-2</v>
      </c>
      <c r="AH39" s="3">
        <f t="shared" ca="1" si="51"/>
        <v>9.3364991495540492E-2</v>
      </c>
      <c r="AI39" s="3">
        <f t="shared" ca="1" si="51"/>
        <v>0.10338529268917818</v>
      </c>
      <c r="AJ39" s="3">
        <f t="shared" ca="1" si="51"/>
        <v>0.14008608844032561</v>
      </c>
    </row>
    <row r="40" spans="1:36" x14ac:dyDescent="0.35">
      <c r="A40" t="s">
        <v>63</v>
      </c>
      <c r="B40" t="s">
        <v>61</v>
      </c>
      <c r="C40" s="4" t="s">
        <v>73</v>
      </c>
      <c r="D40" s="3">
        <f t="shared" ref="D40:AJ40" ca="1" si="52">MIN(0.99,D21+$D$3)</f>
        <v>1.5941438933984121E-2</v>
      </c>
      <c r="E40" s="3">
        <f t="shared" ca="1" si="52"/>
        <v>1.5971283240850009E-2</v>
      </c>
      <c r="F40" s="3">
        <f t="shared" ca="1" si="52"/>
        <v>1.9349583121652202E-2</v>
      </c>
      <c r="G40" s="3">
        <f t="shared" ca="1" si="52"/>
        <v>1.7814325947342682E-2</v>
      </c>
      <c r="H40" s="3">
        <f t="shared" ca="1" si="52"/>
        <v>2.0512903161412757E-2</v>
      </c>
      <c r="I40" s="3">
        <f t="shared" ca="1" si="52"/>
        <v>1.9380539483678877E-2</v>
      </c>
      <c r="J40" s="3">
        <f t="shared" ca="1" si="52"/>
        <v>2.38928311745682E-2</v>
      </c>
      <c r="K40" s="3">
        <f t="shared" ca="1" si="52"/>
        <v>2.0047413940262843E-2</v>
      </c>
      <c r="L40" s="3">
        <f t="shared" ca="1" si="52"/>
        <v>2.6307975698441604E-2</v>
      </c>
      <c r="M40" s="3">
        <f t="shared" ca="1" si="52"/>
        <v>2.1719134038379759E-2</v>
      </c>
      <c r="N40" s="3">
        <f t="shared" ca="1" si="52"/>
        <v>2.7649376115792646E-2</v>
      </c>
      <c r="O40" s="3">
        <f t="shared" ca="1" si="52"/>
        <v>2.426548700497061E-2</v>
      </c>
      <c r="P40" s="3">
        <f t="shared" ca="1" si="52"/>
        <v>2.9629640961623013E-2</v>
      </c>
      <c r="Q40" s="3">
        <f t="shared" ca="1" si="52"/>
        <v>2.7146799556390121E-2</v>
      </c>
      <c r="R40" s="3">
        <f t="shared" ca="1" si="52"/>
        <v>3.0607185834596293E-2</v>
      </c>
      <c r="S40" s="3">
        <f t="shared" ca="1" si="52"/>
        <v>2.9472686577660622E-2</v>
      </c>
      <c r="T40" s="3">
        <f t="shared" ca="1" si="52"/>
        <v>3.3287143157083664E-2</v>
      </c>
      <c r="U40" s="3">
        <f t="shared" ca="1" si="52"/>
        <v>3.0722496671661569E-2</v>
      </c>
      <c r="V40" s="3">
        <f t="shared" ca="1" si="52"/>
        <v>3.6581786632328576E-2</v>
      </c>
      <c r="W40" s="3">
        <f t="shared" ca="1" si="52"/>
        <v>3.0957107034432722E-2</v>
      </c>
      <c r="X40" s="3">
        <f t="shared" ca="1" si="52"/>
        <v>4.094666905062281E-2</v>
      </c>
      <c r="Y40" s="3">
        <f t="shared" ca="1" si="52"/>
        <v>3.8078918917457537E-2</v>
      </c>
      <c r="Z40" s="3">
        <f t="shared" ca="1" si="52"/>
        <v>5.4334913182412931E-2</v>
      </c>
      <c r="AA40" s="3">
        <f t="shared" ca="1" si="52"/>
        <v>4.0408931423628218E-2</v>
      </c>
      <c r="AB40" s="3">
        <f t="shared" ca="1" si="52"/>
        <v>6.2794528508729783E-2</v>
      </c>
      <c r="AC40" s="3">
        <f t="shared" ca="1" si="52"/>
        <v>5.0102476651004847E-2</v>
      </c>
      <c r="AD40" s="3">
        <f t="shared" ca="1" si="52"/>
        <v>7.2420811871966362E-2</v>
      </c>
      <c r="AE40" s="3">
        <f t="shared" ca="1" si="52"/>
        <v>5.5917039247212891E-2</v>
      </c>
      <c r="AF40" s="3">
        <f t="shared" ca="1" si="52"/>
        <v>8.3499964033390425E-2</v>
      </c>
      <c r="AG40" s="3">
        <f t="shared" ca="1" si="52"/>
        <v>6.3262655806081688E-2</v>
      </c>
      <c r="AH40" s="3">
        <f t="shared" ca="1" si="52"/>
        <v>9.4313227899484667E-2</v>
      </c>
      <c r="AI40" s="3">
        <f t="shared" ca="1" si="52"/>
        <v>0.10434145298080212</v>
      </c>
      <c r="AJ40" s="3">
        <f t="shared" ca="1" si="52"/>
        <v>0.14100767388322996</v>
      </c>
    </row>
    <row r="41" spans="1:36" x14ac:dyDescent="0.35">
      <c r="A41" t="s">
        <v>63</v>
      </c>
      <c r="B41" t="s">
        <v>61</v>
      </c>
      <c r="C41" s="4" t="s">
        <v>74</v>
      </c>
      <c r="D41" s="3">
        <f t="shared" ref="D41:AJ41" ca="1" si="53">MIN(0.99,D22+$D$3)</f>
        <v>1.6898896359240665E-2</v>
      </c>
      <c r="E41" s="3">
        <f t="shared" ca="1" si="53"/>
        <v>1.6954218888753488E-2</v>
      </c>
      <c r="F41" s="3">
        <f t="shared" ca="1" si="53"/>
        <v>2.0290226770066016E-2</v>
      </c>
      <c r="G41" s="3">
        <f t="shared" ca="1" si="53"/>
        <v>1.8752458296207787E-2</v>
      </c>
      <c r="H41" s="3">
        <f t="shared" ca="1" si="53"/>
        <v>2.1500837200920477E-2</v>
      </c>
      <c r="I41" s="3">
        <f t="shared" ca="1" si="53"/>
        <v>2.0351148179154822E-2</v>
      </c>
      <c r="J41" s="3">
        <f t="shared" ca="1" si="53"/>
        <v>2.4876313122492322E-2</v>
      </c>
      <c r="K41" s="3">
        <f t="shared" ca="1" si="53"/>
        <v>2.09751784294324E-2</v>
      </c>
      <c r="L41" s="3">
        <f t="shared" ca="1" si="53"/>
        <v>2.7210746475896535E-2</v>
      </c>
      <c r="M41" s="3">
        <f t="shared" ca="1" si="53"/>
        <v>2.262137423041282E-2</v>
      </c>
      <c r="N41" s="3">
        <f t="shared" ca="1" si="53"/>
        <v>2.8552626250183386E-2</v>
      </c>
      <c r="O41" s="3">
        <f t="shared" ca="1" si="53"/>
        <v>2.5235304255523949E-2</v>
      </c>
      <c r="P41" s="3">
        <f t="shared" ca="1" si="53"/>
        <v>3.0592678381497981E-2</v>
      </c>
      <c r="Q41" s="3">
        <f t="shared" ca="1" si="53"/>
        <v>2.8106199962341948E-2</v>
      </c>
      <c r="R41" s="3">
        <f t="shared" ca="1" si="53"/>
        <v>3.1600899930007025E-2</v>
      </c>
      <c r="S41" s="3">
        <f t="shared" ca="1" si="53"/>
        <v>3.0462693315118132E-2</v>
      </c>
      <c r="T41" s="3">
        <f t="shared" ca="1" si="53"/>
        <v>3.4267995604864432E-2</v>
      </c>
      <c r="U41" s="3">
        <f t="shared" ca="1" si="53"/>
        <v>3.1693317284550528E-2</v>
      </c>
      <c r="V41" s="3">
        <f t="shared" ca="1" si="53"/>
        <v>3.7523707203621456E-2</v>
      </c>
      <c r="W41" s="3">
        <f t="shared" ca="1" si="53"/>
        <v>3.1903900831188554E-2</v>
      </c>
      <c r="X41" s="3">
        <f t="shared" ca="1" si="53"/>
        <v>4.1881290495929535E-2</v>
      </c>
      <c r="Y41" s="3">
        <f t="shared" ca="1" si="53"/>
        <v>3.90542257011504E-2</v>
      </c>
      <c r="Z41" s="3">
        <f t="shared" ca="1" si="53"/>
        <v>5.5297945301703962E-2</v>
      </c>
      <c r="AA41" s="3">
        <f t="shared" ca="1" si="53"/>
        <v>4.1319546827239519E-2</v>
      </c>
      <c r="AB41" s="3">
        <f t="shared" ca="1" si="53"/>
        <v>6.3791338742747811E-2</v>
      </c>
      <c r="AC41" s="3">
        <f t="shared" ca="1" si="53"/>
        <v>5.1059963920532123E-2</v>
      </c>
      <c r="AD41" s="3">
        <f t="shared" ca="1" si="53"/>
        <v>7.3328591280725899E-2</v>
      </c>
      <c r="AE41" s="3">
        <f t="shared" ca="1" si="53"/>
        <v>5.6882987596302691E-2</v>
      </c>
      <c r="AF41" s="3">
        <f t="shared" ca="1" si="53"/>
        <v>8.4445503808110306E-2</v>
      </c>
      <c r="AG41" s="3">
        <f t="shared" ca="1" si="53"/>
        <v>6.4178952137762008E-2</v>
      </c>
      <c r="AH41" s="3">
        <f t="shared" ca="1" si="53"/>
        <v>9.5308145699147112E-2</v>
      </c>
      <c r="AI41" s="3">
        <f t="shared" ca="1" si="53"/>
        <v>0.10529671998418018</v>
      </c>
      <c r="AJ41" s="3">
        <f t="shared" ca="1" si="53"/>
        <v>0.14191627696969997</v>
      </c>
    </row>
    <row r="42" spans="1:36" x14ac:dyDescent="0.35">
      <c r="A42" t="s">
        <v>63</v>
      </c>
      <c r="B42" t="s">
        <v>61</v>
      </c>
      <c r="C42" s="4">
        <v>7</v>
      </c>
      <c r="D42" s="3">
        <f t="shared" ref="D42:AJ42" ca="1" si="54">MIN(0.99,D23+$D$3)</f>
        <v>1.7840782773344586E-2</v>
      </c>
      <c r="E42" s="3">
        <f t="shared" ca="1" si="54"/>
        <v>1.7908550115087841E-2</v>
      </c>
      <c r="F42" s="3">
        <f t="shared" ca="1" si="54"/>
        <v>2.120058288825501E-2</v>
      </c>
      <c r="G42" s="3">
        <f t="shared" ca="1" si="54"/>
        <v>1.9709243248238542E-2</v>
      </c>
      <c r="H42" s="3">
        <f t="shared" ca="1" si="54"/>
        <v>2.2479103901798126E-2</v>
      </c>
      <c r="I42" s="3">
        <f t="shared" ca="1" si="54"/>
        <v>2.1321721369115903E-2</v>
      </c>
      <c r="J42" s="3">
        <f t="shared" ca="1" si="54"/>
        <v>2.5800892642992287E-2</v>
      </c>
      <c r="K42" s="3">
        <f t="shared" ca="1" si="54"/>
        <v>2.1908359212996963E-2</v>
      </c>
      <c r="L42" s="3">
        <f t="shared" ca="1" si="54"/>
        <v>2.815793415797857E-2</v>
      </c>
      <c r="M42" s="3">
        <f t="shared" ca="1" si="54"/>
        <v>2.3522051983000093E-2</v>
      </c>
      <c r="N42" s="3">
        <f t="shared" ca="1" si="54"/>
        <v>2.9546386207429182E-2</v>
      </c>
      <c r="O42" s="3">
        <f t="shared" ca="1" si="54"/>
        <v>2.6150129067042571E-2</v>
      </c>
      <c r="P42" s="3">
        <f t="shared" ca="1" si="54"/>
        <v>3.1578800119039067E-2</v>
      </c>
      <c r="Q42" s="3">
        <f t="shared" ca="1" si="54"/>
        <v>2.9103363753704529E-2</v>
      </c>
      <c r="R42" s="3">
        <f t="shared" ca="1" si="54"/>
        <v>3.2565368070960721E-2</v>
      </c>
      <c r="S42" s="3">
        <f t="shared" ca="1" si="54"/>
        <v>3.1450265289794797E-2</v>
      </c>
      <c r="T42" s="3">
        <f t="shared" ca="1" si="54"/>
        <v>3.5255384463221892E-2</v>
      </c>
      <c r="U42" s="3">
        <f t="shared" ca="1" si="54"/>
        <v>3.2683150111262542E-2</v>
      </c>
      <c r="V42" s="3">
        <f t="shared" ca="1" si="54"/>
        <v>3.8511337076823561E-2</v>
      </c>
      <c r="W42" s="3">
        <f t="shared" ca="1" si="54"/>
        <v>3.2838293996067504E-2</v>
      </c>
      <c r="X42" s="3">
        <f t="shared" ca="1" si="54"/>
        <v>4.2828963375130327E-2</v>
      </c>
      <c r="Y42" s="3">
        <f t="shared" ca="1" si="54"/>
        <v>4.0004388031448533E-2</v>
      </c>
      <c r="Z42" s="3">
        <f t="shared" ca="1" si="54"/>
        <v>5.6250622448529707E-2</v>
      </c>
      <c r="AA42" s="3">
        <f t="shared" ca="1" si="54"/>
        <v>4.227455129189206E-2</v>
      </c>
      <c r="AB42" s="3">
        <f t="shared" ca="1" si="54"/>
        <v>6.4694199843996616E-2</v>
      </c>
      <c r="AC42" s="3">
        <f t="shared" ca="1" si="54"/>
        <v>5.198491494916347E-2</v>
      </c>
      <c r="AD42" s="3">
        <f t="shared" ca="1" si="54"/>
        <v>7.4309326992941613E-2</v>
      </c>
      <c r="AE42" s="3">
        <f t="shared" ca="1" si="54"/>
        <v>5.7790028523985168E-2</v>
      </c>
      <c r="AF42" s="3">
        <f t="shared" ca="1" si="54"/>
        <v>8.5410871658274934E-2</v>
      </c>
      <c r="AG42" s="3">
        <f t="shared" ca="1" si="54"/>
        <v>6.5114292189571585E-2</v>
      </c>
      <c r="AH42" s="3">
        <f t="shared" ca="1" si="54"/>
        <v>9.6285333185327227E-2</v>
      </c>
      <c r="AI42" s="3">
        <f t="shared" ca="1" si="54"/>
        <v>0.10627925400946492</v>
      </c>
      <c r="AJ42" s="3">
        <f t="shared" ca="1" si="54"/>
        <v>0.14282051759209638</v>
      </c>
    </row>
    <row r="43" spans="1:36" x14ac:dyDescent="0.35">
      <c r="A43" t="s">
        <v>63</v>
      </c>
      <c r="B43" t="s">
        <v>61</v>
      </c>
      <c r="C43" s="4" t="s">
        <v>75</v>
      </c>
      <c r="D43" s="3">
        <f t="shared" ref="D43:AJ43" ca="1" si="55">MIN(0.99,D24+$D$3)</f>
        <v>1.8818896010044852E-2</v>
      </c>
      <c r="E43" s="3">
        <f t="shared" ca="1" si="55"/>
        <v>1.8830000834851309E-2</v>
      </c>
      <c r="F43" s="3">
        <f t="shared" ca="1" si="55"/>
        <v>2.2173771869622185E-2</v>
      </c>
      <c r="G43" s="3">
        <f t="shared" ca="1" si="55"/>
        <v>2.0610550581027582E-2</v>
      </c>
      <c r="H43" s="3">
        <f t="shared" ca="1" si="55"/>
        <v>2.3453683490209626E-2</v>
      </c>
      <c r="I43" s="3">
        <f t="shared" ca="1" si="55"/>
        <v>2.2292380706682307E-2</v>
      </c>
      <c r="J43" s="3">
        <f t="shared" ca="1" si="55"/>
        <v>2.6799687461112463E-2</v>
      </c>
      <c r="K43" s="3">
        <f t="shared" ca="1" si="55"/>
        <v>2.2823234018341101E-2</v>
      </c>
      <c r="L43" s="3">
        <f t="shared" ca="1" si="55"/>
        <v>2.9065688911084967E-2</v>
      </c>
      <c r="M43" s="3">
        <f t="shared" ca="1" si="55"/>
        <v>2.4423454540192381E-2</v>
      </c>
      <c r="N43" s="3">
        <f t="shared" ca="1" si="55"/>
        <v>3.0513995510441819E-2</v>
      </c>
      <c r="O43" s="3">
        <f t="shared" ca="1" si="55"/>
        <v>2.7069033195365008E-2</v>
      </c>
      <c r="P43" s="3">
        <f t="shared" ca="1" si="55"/>
        <v>3.2507055929296674E-2</v>
      </c>
      <c r="Q43" s="3">
        <f t="shared" ca="1" si="55"/>
        <v>3.0056694217803426E-2</v>
      </c>
      <c r="R43" s="3">
        <f t="shared" ca="1" si="55"/>
        <v>3.3497352449134821E-2</v>
      </c>
      <c r="S43" s="3">
        <f t="shared" ca="1" si="55"/>
        <v>3.2381384150811612E-2</v>
      </c>
      <c r="T43" s="3">
        <f t="shared" ca="1" si="55"/>
        <v>3.6158335447846621E-2</v>
      </c>
      <c r="U43" s="3">
        <f t="shared" ca="1" si="55"/>
        <v>3.3603192623945531E-2</v>
      </c>
      <c r="V43" s="3">
        <f t="shared" ca="1" si="55"/>
        <v>3.9470695338767556E-2</v>
      </c>
      <c r="W43" s="3">
        <f t="shared" ca="1" si="55"/>
        <v>3.3784196995109685E-2</v>
      </c>
      <c r="X43" s="3">
        <f t="shared" ca="1" si="55"/>
        <v>4.3786435065790011E-2</v>
      </c>
      <c r="Y43" s="3">
        <f t="shared" ca="1" si="55"/>
        <v>4.0982476254653823E-2</v>
      </c>
      <c r="Z43" s="3">
        <f t="shared" ca="1" si="55"/>
        <v>5.7246627711201502E-2</v>
      </c>
      <c r="AA43" s="3">
        <f t="shared" ca="1" si="55"/>
        <v>4.3222569322303797E-2</v>
      </c>
      <c r="AB43" s="3">
        <f t="shared" ca="1" si="55"/>
        <v>6.5687402456049246E-2</v>
      </c>
      <c r="AC43" s="3">
        <f t="shared" ca="1" si="55"/>
        <v>5.2912452012992002E-2</v>
      </c>
      <c r="AD43" s="3">
        <f t="shared" ca="1" si="55"/>
        <v>7.5227067526741465E-2</v>
      </c>
      <c r="AE43" s="3">
        <f t="shared" ca="1" si="55"/>
        <v>5.8707440877526343E-2</v>
      </c>
      <c r="AF43" s="3">
        <f t="shared" ca="1" si="55"/>
        <v>8.6359856541488852E-2</v>
      </c>
      <c r="AG43" s="3">
        <f t="shared" ca="1" si="55"/>
        <v>6.6064678256661805E-2</v>
      </c>
      <c r="AH43" s="3">
        <f t="shared" ca="1" si="55"/>
        <v>9.7275385961712341E-2</v>
      </c>
      <c r="AI43" s="3">
        <f t="shared" ca="1" si="55"/>
        <v>0.10724007329217355</v>
      </c>
      <c r="AJ43" s="3">
        <f t="shared" ca="1" si="55"/>
        <v>0.14376799401159857</v>
      </c>
    </row>
    <row r="44" spans="1:36" x14ac:dyDescent="0.35">
      <c r="A44" t="s">
        <v>63</v>
      </c>
      <c r="B44" t="s">
        <v>62</v>
      </c>
      <c r="C44" s="4">
        <v>1</v>
      </c>
      <c r="D44" s="3">
        <f t="shared" ref="D44:AJ44" ca="1" si="56">MIN(0.99,D25+$D$3)</f>
        <v>2.9087300404890058E-3</v>
      </c>
      <c r="E44" s="3">
        <f t="shared" ca="1" si="56"/>
        <v>2.6927595893449789E-3</v>
      </c>
      <c r="F44" s="3">
        <f t="shared" ca="1" si="56"/>
        <v>6.0652540237142762E-3</v>
      </c>
      <c r="G44" s="3">
        <f t="shared" ca="1" si="56"/>
        <v>4.5276413712607676E-3</v>
      </c>
      <c r="H44" s="3">
        <f t="shared" ca="1" si="56"/>
        <v>7.3545960795522985E-3</v>
      </c>
      <c r="I44" s="3">
        <f t="shared" ca="1" si="56"/>
        <v>5.9972985202008215E-3</v>
      </c>
      <c r="J44" s="3">
        <f t="shared" ca="1" si="56"/>
        <v>1.060060213685473E-2</v>
      </c>
      <c r="K44" s="3">
        <f t="shared" ca="1" si="56"/>
        <v>6.7361214868178476E-3</v>
      </c>
      <c r="L44" s="3">
        <f t="shared" ca="1" si="56"/>
        <v>1.3033100746591135E-2</v>
      </c>
      <c r="M44" s="3">
        <f t="shared" ca="1" si="56"/>
        <v>8.6912997874203334E-3</v>
      </c>
      <c r="N44" s="3">
        <f t="shared" ca="1" si="56"/>
        <v>1.4352141769093232E-2</v>
      </c>
      <c r="O44" s="3">
        <f t="shared" ca="1" si="56"/>
        <v>1.0971978322727921E-2</v>
      </c>
      <c r="P44" s="3">
        <f t="shared" ca="1" si="56"/>
        <v>1.6558639327613131E-2</v>
      </c>
      <c r="Q44" s="3">
        <f t="shared" ca="1" si="56"/>
        <v>1.3890840096464657E-2</v>
      </c>
      <c r="R44" s="3">
        <f t="shared" ca="1" si="56"/>
        <v>1.7149829134986843E-2</v>
      </c>
      <c r="S44" s="3">
        <f t="shared" ca="1" si="56"/>
        <v>1.6256767413286851E-2</v>
      </c>
      <c r="T44" s="3">
        <f t="shared" ca="1" si="56"/>
        <v>1.9955356432827184E-2</v>
      </c>
      <c r="U44" s="3">
        <f t="shared" ca="1" si="56"/>
        <v>1.7548173535937558E-2</v>
      </c>
      <c r="V44" s="3">
        <f t="shared" ca="1" si="56"/>
        <v>2.3237186900709819E-2</v>
      </c>
      <c r="W44" s="3">
        <f t="shared" ca="1" si="56"/>
        <v>1.7813908283122688E-2</v>
      </c>
      <c r="X44" s="3">
        <f t="shared" ca="1" si="56"/>
        <v>2.7555517609274632E-2</v>
      </c>
      <c r="Y44" s="3">
        <f t="shared" ca="1" si="56"/>
        <v>2.5032981014679274E-2</v>
      </c>
      <c r="Z44" s="3">
        <f t="shared" ca="1" si="56"/>
        <v>4.1024006264654377E-2</v>
      </c>
      <c r="AA44" s="3">
        <f t="shared" ca="1" si="56"/>
        <v>2.70510253770034E-2</v>
      </c>
      <c r="AB44" s="3">
        <f t="shared" ca="1" si="56"/>
        <v>4.9531951163118655E-2</v>
      </c>
      <c r="AC44" s="3">
        <f t="shared" ca="1" si="56"/>
        <v>3.6828239336492451E-2</v>
      </c>
      <c r="AD44" s="3">
        <f t="shared" ca="1" si="56"/>
        <v>5.9263963203492288E-2</v>
      </c>
      <c r="AE44" s="3">
        <f t="shared" ca="1" si="56"/>
        <v>4.2556299736701698E-2</v>
      </c>
      <c r="AF44" s="3">
        <f t="shared" ca="1" si="56"/>
        <v>7.0152494778641716E-2</v>
      </c>
      <c r="AG44" s="3">
        <f t="shared" ca="1" si="56"/>
        <v>4.9867218863220486E-2</v>
      </c>
      <c r="AH44" s="3">
        <f t="shared" ca="1" si="56"/>
        <v>8.0813238640697033E-2</v>
      </c>
      <c r="AI44" s="3">
        <f t="shared" ca="1" si="56"/>
        <v>9.1195782167728473E-2</v>
      </c>
      <c r="AJ44" s="3">
        <f t="shared" ca="1" si="56"/>
        <v>0.12771935954470406</v>
      </c>
    </row>
    <row r="45" spans="1:36" x14ac:dyDescent="0.35">
      <c r="A45" t="s">
        <v>63</v>
      </c>
      <c r="B45" t="s">
        <v>62</v>
      </c>
      <c r="C45" s="4" t="s">
        <v>64</v>
      </c>
      <c r="D45" s="3">
        <f t="shared" ref="D45:AJ45" ca="1" si="57">MIN(0.99,D26+$D$3)</f>
        <v>3.8923248160271412E-3</v>
      </c>
      <c r="E45" s="3">
        <f t="shared" ca="1" si="57"/>
        <v>3.664888581433141E-3</v>
      </c>
      <c r="F45" s="3">
        <f t="shared" ca="1" si="57"/>
        <v>7.0327847883175591E-3</v>
      </c>
      <c r="G45" s="3">
        <f t="shared" ca="1" si="57"/>
        <v>5.5087500351485479E-3</v>
      </c>
      <c r="H45" s="3">
        <f t="shared" ca="1" si="57"/>
        <v>8.3489766202988897E-3</v>
      </c>
      <c r="I45" s="3">
        <f t="shared" ca="1" si="57"/>
        <v>6.9375023500262006E-3</v>
      </c>
      <c r="J45" s="3">
        <f t="shared" ca="1" si="57"/>
        <v>1.1504474093247136E-2</v>
      </c>
      <c r="K45" s="3">
        <f t="shared" ca="1" si="57"/>
        <v>7.7261903467697101E-3</v>
      </c>
      <c r="L45" s="3">
        <f t="shared" ca="1" si="57"/>
        <v>1.3971475924379202E-2</v>
      </c>
      <c r="M45" s="3">
        <f t="shared" ca="1" si="57"/>
        <v>9.6158741122472115E-3</v>
      </c>
      <c r="N45" s="3">
        <f t="shared" ca="1" si="57"/>
        <v>1.5348704871006667E-2</v>
      </c>
      <c r="O45" s="3">
        <f t="shared" ca="1" si="57"/>
        <v>1.1943320518571891E-2</v>
      </c>
      <c r="P45" s="3">
        <f t="shared" ca="1" si="57"/>
        <v>1.7533569136115919E-2</v>
      </c>
      <c r="Q45" s="3">
        <f t="shared" ca="1" si="57"/>
        <v>1.4863043207485365E-2</v>
      </c>
      <c r="R45" s="3">
        <f t="shared" ca="1" si="57"/>
        <v>1.8137019195287565E-2</v>
      </c>
      <c r="S45" s="3">
        <f t="shared" ca="1" si="57"/>
        <v>1.7168401506629787E-2</v>
      </c>
      <c r="T45" s="3">
        <f t="shared" ca="1" si="57"/>
        <v>2.0893447229638391E-2</v>
      </c>
      <c r="U45" s="3">
        <f t="shared" ca="1" si="57"/>
        <v>1.8477177760085593E-2</v>
      </c>
      <c r="V45" s="3">
        <f t="shared" ca="1" si="57"/>
        <v>2.4232841445960499E-2</v>
      </c>
      <c r="W45" s="3">
        <f t="shared" ca="1" si="57"/>
        <v>1.8790701080505755E-2</v>
      </c>
      <c r="X45" s="3">
        <f t="shared" ca="1" si="57"/>
        <v>2.8507808972240031E-2</v>
      </c>
      <c r="Y45" s="3">
        <f t="shared" ca="1" si="57"/>
        <v>2.6023842921381386E-2</v>
      </c>
      <c r="Z45" s="3">
        <f t="shared" ca="1" si="57"/>
        <v>4.2016372959340555E-2</v>
      </c>
      <c r="AA45" s="3">
        <f t="shared" ca="1" si="57"/>
        <v>2.8028413948074524E-2</v>
      </c>
      <c r="AB45" s="3">
        <f t="shared" ca="1" si="57"/>
        <v>5.0500111257332621E-2</v>
      </c>
      <c r="AC45" s="3">
        <f t="shared" ca="1" si="57"/>
        <v>3.7822204309944353E-2</v>
      </c>
      <c r="AD45" s="3">
        <f t="shared" ca="1" si="57"/>
        <v>6.0194924649532085E-2</v>
      </c>
      <c r="AE45" s="3">
        <f t="shared" ca="1" si="57"/>
        <v>4.3514275720748778E-2</v>
      </c>
      <c r="AF45" s="3">
        <f t="shared" ca="1" si="57"/>
        <v>7.1132990314950337E-2</v>
      </c>
      <c r="AG45" s="3">
        <f t="shared" ca="1" si="57"/>
        <v>5.0770933949210201E-2</v>
      </c>
      <c r="AH45" s="3">
        <f t="shared" ca="1" si="57"/>
        <v>8.1752745433118362E-2</v>
      </c>
      <c r="AI45" s="3">
        <f t="shared" ca="1" si="57"/>
        <v>9.2178186554154551E-2</v>
      </c>
      <c r="AJ45" s="3">
        <f t="shared" ca="1" si="57"/>
        <v>0.12863798559030423</v>
      </c>
    </row>
    <row r="46" spans="1:36" x14ac:dyDescent="0.35">
      <c r="A46" t="s">
        <v>63</v>
      </c>
      <c r="B46" t="s">
        <v>62</v>
      </c>
      <c r="C46" s="4">
        <v>2</v>
      </c>
      <c r="D46" s="3">
        <f t="shared" ref="D46:AJ46" ca="1" si="58">MIN(0.99,D27+$D$3)</f>
        <v>4.8175283123235765E-3</v>
      </c>
      <c r="E46" s="3">
        <f t="shared" ca="1" si="58"/>
        <v>4.566149816306788E-3</v>
      </c>
      <c r="F46" s="3">
        <f t="shared" ca="1" si="58"/>
        <v>7.9786277688097332E-3</v>
      </c>
      <c r="G46" s="3">
        <f t="shared" ca="1" si="58"/>
        <v>6.4709130266035466E-3</v>
      </c>
      <c r="H46" s="3">
        <f t="shared" ca="1" si="58"/>
        <v>9.3065223403797602E-3</v>
      </c>
      <c r="I46" s="3">
        <f t="shared" ca="1" si="58"/>
        <v>7.8866854652582547E-3</v>
      </c>
      <c r="J46" s="3">
        <f t="shared" ca="1" si="58"/>
        <v>1.2498152202003319E-2</v>
      </c>
      <c r="K46" s="3">
        <f t="shared" ca="1" si="58"/>
        <v>8.6746807055827213E-3</v>
      </c>
      <c r="L46" s="3">
        <f t="shared" ca="1" si="58"/>
        <v>1.4918542449390636E-2</v>
      </c>
      <c r="M46" s="3">
        <f t="shared" ca="1" si="58"/>
        <v>1.0559779056980422E-2</v>
      </c>
      <c r="N46" s="3">
        <f t="shared" ca="1" si="58"/>
        <v>1.6308612899572705E-2</v>
      </c>
      <c r="O46" s="3">
        <f t="shared" ca="1" si="58"/>
        <v>1.2934162095903923E-2</v>
      </c>
      <c r="P46" s="3">
        <f t="shared" ca="1" si="58"/>
        <v>1.846169309997758E-2</v>
      </c>
      <c r="Q46" s="3">
        <f t="shared" ca="1" si="58"/>
        <v>1.5807732661917127E-2</v>
      </c>
      <c r="R46" s="3">
        <f t="shared" ca="1" si="58"/>
        <v>1.9131513792248391E-2</v>
      </c>
      <c r="S46" s="3">
        <f t="shared" ca="1" si="58"/>
        <v>1.8147097961346392E-2</v>
      </c>
      <c r="T46" s="3">
        <f t="shared" ca="1" si="58"/>
        <v>2.1890961198724537E-2</v>
      </c>
      <c r="U46" s="3">
        <f t="shared" ca="1" si="58"/>
        <v>1.9398899535181337E-2</v>
      </c>
      <c r="V46" s="3">
        <f t="shared" ca="1" si="58"/>
        <v>2.5197306942898672E-2</v>
      </c>
      <c r="W46" s="3">
        <f t="shared" ca="1" si="58"/>
        <v>1.9770584804372611E-2</v>
      </c>
      <c r="X46" s="3">
        <f t="shared" ca="1" si="58"/>
        <v>2.9502821120018528E-2</v>
      </c>
      <c r="Y46" s="3">
        <f t="shared" ca="1" si="58"/>
        <v>2.6931889092613983E-2</v>
      </c>
      <c r="Z46" s="3">
        <f t="shared" ca="1" si="58"/>
        <v>4.2982483899587892E-2</v>
      </c>
      <c r="AA46" s="3">
        <f t="shared" ca="1" si="58"/>
        <v>2.8984141786841937E-2</v>
      </c>
      <c r="AB46" s="3">
        <f t="shared" ca="1" si="58"/>
        <v>5.1495649935478748E-2</v>
      </c>
      <c r="AC46" s="3">
        <f t="shared" ca="1" si="58"/>
        <v>3.8801772817457753E-2</v>
      </c>
      <c r="AD46" s="3">
        <f t="shared" ca="1" si="58"/>
        <v>6.1132497473260265E-2</v>
      </c>
      <c r="AE46" s="3">
        <f t="shared" ca="1" si="58"/>
        <v>4.4482183615030466E-2</v>
      </c>
      <c r="AF46" s="3">
        <f t="shared" ca="1" si="58"/>
        <v>7.2118026132022311E-2</v>
      </c>
      <c r="AG46" s="3">
        <f t="shared" ca="1" si="58"/>
        <v>5.1683562113713923E-2</v>
      </c>
      <c r="AH46" s="3">
        <f t="shared" ca="1" si="58"/>
        <v>8.2744363619818004E-2</v>
      </c>
      <c r="AI46" s="3">
        <f t="shared" ca="1" si="58"/>
        <v>9.3122316781703143E-2</v>
      </c>
      <c r="AJ46" s="3">
        <f t="shared" ca="1" si="58"/>
        <v>0.1295705777678533</v>
      </c>
    </row>
    <row r="47" spans="1:36" x14ac:dyDescent="0.35">
      <c r="A47" t="s">
        <v>63</v>
      </c>
      <c r="B47" t="s">
        <v>62</v>
      </c>
      <c r="C47" s="4" t="s">
        <v>65</v>
      </c>
      <c r="D47" s="3">
        <f t="shared" ref="D47:AJ47" ca="1" si="59">MIN(0.99,D28+$D$3)</f>
        <v>5.7830645813786476E-3</v>
      </c>
      <c r="E47" s="3">
        <f t="shared" ca="1" si="59"/>
        <v>5.5483571708422226E-3</v>
      </c>
      <c r="F47" s="3">
        <f t="shared" ca="1" si="59"/>
        <v>8.9540338428589043E-3</v>
      </c>
      <c r="G47" s="3">
        <f t="shared" ca="1" si="59"/>
        <v>7.4383313160036671E-3</v>
      </c>
      <c r="H47" s="3">
        <f t="shared" ca="1" si="59"/>
        <v>1.030131963778869E-2</v>
      </c>
      <c r="I47" s="3">
        <f t="shared" ca="1" si="59"/>
        <v>8.8802864670056818E-3</v>
      </c>
      <c r="J47" s="3">
        <f t="shared" ca="1" si="59"/>
        <v>1.3498099143199872E-2</v>
      </c>
      <c r="K47" s="3">
        <f t="shared" ca="1" si="59"/>
        <v>9.6064933922562351E-3</v>
      </c>
      <c r="L47" s="3">
        <f t="shared" ca="1" si="59"/>
        <v>1.591694571760215E-2</v>
      </c>
      <c r="M47" s="3">
        <f t="shared" ca="1" si="59"/>
        <v>1.1523386305733154E-2</v>
      </c>
      <c r="N47" s="3">
        <f t="shared" ca="1" si="59"/>
        <v>1.7226101717636357E-2</v>
      </c>
      <c r="O47" s="3">
        <f t="shared" ca="1" si="59"/>
        <v>1.3879166913288703E-2</v>
      </c>
      <c r="P47" s="3">
        <f t="shared" ca="1" si="59"/>
        <v>1.942026211893047E-2</v>
      </c>
      <c r="Q47" s="3">
        <f t="shared" ca="1" si="59"/>
        <v>1.6723458355925373E-2</v>
      </c>
      <c r="R47" s="3">
        <f t="shared" ca="1" si="59"/>
        <v>2.0042224596413551E-2</v>
      </c>
      <c r="S47" s="3">
        <f t="shared" ca="1" si="59"/>
        <v>1.911191578904782E-2</v>
      </c>
      <c r="T47" s="3">
        <f t="shared" ca="1" si="59"/>
        <v>2.2879542280953718E-2</v>
      </c>
      <c r="U47" s="3">
        <f t="shared" ca="1" si="59"/>
        <v>2.032349191539114E-2</v>
      </c>
      <c r="V47" s="3">
        <f t="shared" ca="1" si="59"/>
        <v>2.614718912483548E-2</v>
      </c>
      <c r="W47" s="3">
        <f t="shared" ca="1" si="59"/>
        <v>2.0689423310480015E-2</v>
      </c>
      <c r="X47" s="3">
        <f t="shared" ca="1" si="59"/>
        <v>3.0486027651261623E-2</v>
      </c>
      <c r="Y47" s="3">
        <f t="shared" ca="1" si="59"/>
        <v>2.7920292491510061E-2</v>
      </c>
      <c r="Z47" s="3">
        <f t="shared" ca="1" si="59"/>
        <v>4.3954689444067711E-2</v>
      </c>
      <c r="AA47" s="3">
        <f t="shared" ca="1" si="59"/>
        <v>2.9983124688247504E-2</v>
      </c>
      <c r="AB47" s="3">
        <f t="shared" ca="1" si="59"/>
        <v>5.2404865439959224E-2</v>
      </c>
      <c r="AC47" s="3">
        <f t="shared" ca="1" si="59"/>
        <v>3.9729296613929328E-2</v>
      </c>
      <c r="AD47" s="3">
        <f t="shared" ca="1" si="59"/>
        <v>6.2045763044017738E-2</v>
      </c>
      <c r="AE47" s="3">
        <f t="shared" ca="1" si="59"/>
        <v>4.5448810065226886E-2</v>
      </c>
      <c r="AF47" s="3">
        <f t="shared" ca="1" si="59"/>
        <v>7.3059564159562621E-2</v>
      </c>
      <c r="AG47" s="3">
        <f t="shared" ca="1" si="59"/>
        <v>5.2629220363176896E-2</v>
      </c>
      <c r="AH47" s="3">
        <f t="shared" ca="1" si="59"/>
        <v>8.3676396924375743E-2</v>
      </c>
      <c r="AI47" s="3">
        <f t="shared" ca="1" si="59"/>
        <v>9.4026934462099213E-2</v>
      </c>
      <c r="AJ47" s="3">
        <f t="shared" ca="1" si="59"/>
        <v>0.13054648553299342</v>
      </c>
    </row>
    <row r="48" spans="1:36" x14ac:dyDescent="0.35">
      <c r="A48" t="s">
        <v>63</v>
      </c>
      <c r="B48" t="s">
        <v>62</v>
      </c>
      <c r="C48" s="4" t="s">
        <v>66</v>
      </c>
      <c r="D48" s="3">
        <f t="shared" ref="D48:AJ48" ca="1" si="60">MIN(0.99,D29+$D$3)</f>
        <v>6.6922677644790547E-3</v>
      </c>
      <c r="E48" s="3">
        <f t="shared" ca="1" si="60"/>
        <v>6.4820172241278678E-3</v>
      </c>
      <c r="F48" s="3">
        <f t="shared" ca="1" si="60"/>
        <v>9.8939370038932939E-3</v>
      </c>
      <c r="G48" s="3">
        <f t="shared" ca="1" si="60"/>
        <v>8.3692710647424867E-3</v>
      </c>
      <c r="H48" s="3">
        <f t="shared" ca="1" si="60"/>
        <v>1.1214598425263862E-2</v>
      </c>
      <c r="I48" s="3">
        <f t="shared" ca="1" si="60"/>
        <v>9.8059076952283532E-3</v>
      </c>
      <c r="J48" s="3">
        <f t="shared" ca="1" si="60"/>
        <v>1.4455627108915702E-2</v>
      </c>
      <c r="K48" s="3">
        <f t="shared" ca="1" si="60"/>
        <v>1.0568944537241942E-2</v>
      </c>
      <c r="L48" s="3">
        <f t="shared" ca="1" si="60"/>
        <v>1.689495573226734E-2</v>
      </c>
      <c r="M48" s="3">
        <f t="shared" ca="1" si="60"/>
        <v>1.2430498036445106E-2</v>
      </c>
      <c r="N48" s="3">
        <f t="shared" ca="1" si="60"/>
        <v>1.8206448433461638E-2</v>
      </c>
      <c r="O48" s="3">
        <f t="shared" ca="1" si="60"/>
        <v>1.4809673988677174E-2</v>
      </c>
      <c r="P48" s="3">
        <f t="shared" ca="1" si="60"/>
        <v>2.0369095809646208E-2</v>
      </c>
      <c r="Q48" s="3">
        <f t="shared" ca="1" si="60"/>
        <v>1.762431829213798E-2</v>
      </c>
      <c r="R48" s="3">
        <f t="shared" ca="1" si="60"/>
        <v>2.1020270576618944E-2</v>
      </c>
      <c r="S48" s="3">
        <f t="shared" ca="1" si="60"/>
        <v>2.0033599829350296E-2</v>
      </c>
      <c r="T48" s="3">
        <f t="shared" ca="1" si="60"/>
        <v>2.3809126546758944E-2</v>
      </c>
      <c r="U48" s="3">
        <f t="shared" ca="1" si="60"/>
        <v>2.1230744185364848E-2</v>
      </c>
      <c r="V48" s="3">
        <f t="shared" ca="1" si="60"/>
        <v>2.7118359278886475E-2</v>
      </c>
      <c r="W48" s="3">
        <f t="shared" ca="1" si="60"/>
        <v>2.159403408145567E-2</v>
      </c>
      <c r="X48" s="3">
        <f t="shared" ca="1" si="60"/>
        <v>3.1459676690594046E-2</v>
      </c>
      <c r="Y48" s="3">
        <f t="shared" ca="1" si="60"/>
        <v>2.8874524292812662E-2</v>
      </c>
      <c r="Z48" s="3">
        <f t="shared" ca="1" si="60"/>
        <v>4.4870599307143107E-2</v>
      </c>
      <c r="AA48" s="3">
        <f t="shared" ca="1" si="60"/>
        <v>3.0893097680869341E-2</v>
      </c>
      <c r="AB48" s="3">
        <f t="shared" ca="1" si="60"/>
        <v>5.3326774550978888E-2</v>
      </c>
      <c r="AC48" s="3">
        <f t="shared" ca="1" si="60"/>
        <v>4.0686551037000147E-2</v>
      </c>
      <c r="AD48" s="3">
        <f t="shared" ca="1" si="60"/>
        <v>6.3010544036173247E-2</v>
      </c>
      <c r="AE48" s="3">
        <f t="shared" ca="1" si="60"/>
        <v>4.6448747984171736E-2</v>
      </c>
      <c r="AF48" s="3">
        <f t="shared" ca="1" si="60"/>
        <v>7.4049648298112461E-2</v>
      </c>
      <c r="AG48" s="3">
        <f t="shared" ca="1" si="60"/>
        <v>5.3553473582291476E-2</v>
      </c>
      <c r="AH48" s="3">
        <f t="shared" ca="1" si="60"/>
        <v>8.4665708393029337E-2</v>
      </c>
      <c r="AI48" s="3">
        <f t="shared" ca="1" si="60"/>
        <v>9.4970151061225916E-2</v>
      </c>
      <c r="AJ48" s="3">
        <f t="shared" ca="1" si="60"/>
        <v>0.13149818303859589</v>
      </c>
    </row>
    <row r="49" spans="1:36" x14ac:dyDescent="0.35">
      <c r="A49" t="s">
        <v>63</v>
      </c>
      <c r="B49" t="s">
        <v>62</v>
      </c>
      <c r="C49" s="4">
        <v>3</v>
      </c>
      <c r="D49" s="3">
        <f t="shared" ref="D49:AJ49" ca="1" si="61">MIN(0.99,D30+$D$3)</f>
        <v>7.5942744788683163E-3</v>
      </c>
      <c r="E49" s="3">
        <f t="shared" ca="1" si="61"/>
        <v>7.4190479847164219E-3</v>
      </c>
      <c r="F49" s="3">
        <f t="shared" ca="1" si="61"/>
        <v>1.089056697730368E-2</v>
      </c>
      <c r="G49" s="3">
        <f t="shared" ca="1" si="61"/>
        <v>9.3147939684923749E-3</v>
      </c>
      <c r="H49" s="3">
        <f t="shared" ca="1" si="61"/>
        <v>1.2130308044812722E-2</v>
      </c>
      <c r="I49" s="3">
        <f t="shared" ca="1" si="61"/>
        <v>1.0796471344026368E-2</v>
      </c>
      <c r="J49" s="3">
        <f t="shared" ca="1" si="61"/>
        <v>1.5384795807367967E-2</v>
      </c>
      <c r="K49" s="3">
        <f t="shared" ca="1" si="61"/>
        <v>1.1477846831730323E-2</v>
      </c>
      <c r="L49" s="3">
        <f t="shared" ca="1" si="61"/>
        <v>1.7854790669011199E-2</v>
      </c>
      <c r="M49" s="3">
        <f t="shared" ca="1" si="61"/>
        <v>1.3348462197499033E-2</v>
      </c>
      <c r="N49" s="3">
        <f t="shared" ca="1" si="61"/>
        <v>1.9158650349272499E-2</v>
      </c>
      <c r="O49" s="3">
        <f t="shared" ca="1" si="61"/>
        <v>1.5734394468983389E-2</v>
      </c>
      <c r="P49" s="3">
        <f t="shared" ca="1" si="61"/>
        <v>2.128927992888837E-2</v>
      </c>
      <c r="Q49" s="3">
        <f t="shared" ca="1" si="61"/>
        <v>1.8524890609761927E-2</v>
      </c>
      <c r="R49" s="3">
        <f t="shared" ca="1" si="61"/>
        <v>2.1997577619553732E-2</v>
      </c>
      <c r="S49" s="3">
        <f t="shared" ca="1" si="61"/>
        <v>2.0971163398076257E-2</v>
      </c>
      <c r="T49" s="3">
        <f t="shared" ca="1" si="61"/>
        <v>2.4794883616490494E-2</v>
      </c>
      <c r="U49" s="3">
        <f t="shared" ca="1" si="61"/>
        <v>2.2211801856654331E-2</v>
      </c>
      <c r="V49" s="3">
        <f t="shared" ca="1" si="61"/>
        <v>2.8111470461537797E-2</v>
      </c>
      <c r="W49" s="3">
        <f t="shared" ca="1" si="61"/>
        <v>2.2565481561719957E-2</v>
      </c>
      <c r="X49" s="3">
        <f t="shared" ca="1" si="61"/>
        <v>3.2422693033801908E-2</v>
      </c>
      <c r="Y49" s="3">
        <f t="shared" ca="1" si="61"/>
        <v>2.9803373949168706E-2</v>
      </c>
      <c r="Z49" s="3">
        <f t="shared" ca="1" si="61"/>
        <v>4.5864061056313181E-2</v>
      </c>
      <c r="AA49" s="3">
        <f t="shared" ca="1" si="61"/>
        <v>3.1875872752425184E-2</v>
      </c>
      <c r="AB49" s="3">
        <f t="shared" ca="1" si="61"/>
        <v>5.4276655642735788E-2</v>
      </c>
      <c r="AC49" s="3">
        <f t="shared" ca="1" si="61"/>
        <v>4.1652044479067195E-2</v>
      </c>
      <c r="AD49" s="3">
        <f t="shared" ca="1" si="61"/>
        <v>6.3995364053749795E-2</v>
      </c>
      <c r="AE49" s="3">
        <f t="shared" ca="1" si="61"/>
        <v>4.7414545083608151E-2</v>
      </c>
      <c r="AF49" s="3">
        <f t="shared" ca="1" si="61"/>
        <v>7.4981951926338733E-2</v>
      </c>
      <c r="AG49" s="3">
        <f t="shared" ca="1" si="61"/>
        <v>5.4512760441136184E-2</v>
      </c>
      <c r="AH49" s="3">
        <f t="shared" ca="1" si="61"/>
        <v>8.5628916117331796E-2</v>
      </c>
      <c r="AI49" s="3">
        <f t="shared" ca="1" si="61"/>
        <v>9.5911748074339775E-2</v>
      </c>
      <c r="AJ49" s="3">
        <f t="shared" ca="1" si="61"/>
        <v>0.13247900639743301</v>
      </c>
    </row>
    <row r="50" spans="1:36" x14ac:dyDescent="0.35">
      <c r="A50" t="s">
        <v>63</v>
      </c>
      <c r="B50" t="s">
        <v>62</v>
      </c>
      <c r="C50" s="4" t="s">
        <v>67</v>
      </c>
      <c r="D50" s="3">
        <f t="shared" ref="D50:AJ50" ca="1" si="62">MIN(0.99,D31+$D$3)</f>
        <v>8.5072617780631039E-3</v>
      </c>
      <c r="E50" s="3">
        <f t="shared" ca="1" si="62"/>
        <v>8.4186643093365279E-3</v>
      </c>
      <c r="F50" s="3">
        <f t="shared" ca="1" si="62"/>
        <v>1.1838970215703536E-2</v>
      </c>
      <c r="G50" s="3">
        <f t="shared" ca="1" si="62"/>
        <v>1.0270226620715601E-2</v>
      </c>
      <c r="H50" s="3">
        <f t="shared" ca="1" si="62"/>
        <v>1.3039422900349248E-2</v>
      </c>
      <c r="I50" s="3">
        <f t="shared" ca="1" si="62"/>
        <v>1.1766772654257802E-2</v>
      </c>
      <c r="J50" s="3">
        <f t="shared" ca="1" si="62"/>
        <v>1.6288327321147676E-2</v>
      </c>
      <c r="K50" s="3">
        <f t="shared" ca="1" si="62"/>
        <v>1.2430795894998781E-2</v>
      </c>
      <c r="L50" s="3">
        <f t="shared" ca="1" si="62"/>
        <v>1.876835420395025E-2</v>
      </c>
      <c r="M50" s="3">
        <f t="shared" ca="1" si="62"/>
        <v>1.4280189412680624E-2</v>
      </c>
      <c r="N50" s="3">
        <f t="shared" ca="1" si="62"/>
        <v>2.0102802595216969E-2</v>
      </c>
      <c r="O50" s="3">
        <f t="shared" ca="1" si="62"/>
        <v>1.6724009327180284E-2</v>
      </c>
      <c r="P50" s="3">
        <f t="shared" ca="1" si="62"/>
        <v>2.2240793716714693E-2</v>
      </c>
      <c r="Q50" s="3">
        <f t="shared" ca="1" si="62"/>
        <v>1.9435578296083732E-2</v>
      </c>
      <c r="R50" s="3">
        <f t="shared" ca="1" si="62"/>
        <v>2.2982953570196907E-2</v>
      </c>
      <c r="S50" s="3">
        <f t="shared" ca="1" si="62"/>
        <v>2.1927661150257585E-2</v>
      </c>
      <c r="T50" s="3">
        <f t="shared" ca="1" si="62"/>
        <v>2.5726374927918842E-2</v>
      </c>
      <c r="U50" s="3">
        <f t="shared" ca="1" si="62"/>
        <v>2.3137929393930314E-2</v>
      </c>
      <c r="V50" s="3">
        <f t="shared" ca="1" si="62"/>
        <v>2.9076623094779298E-2</v>
      </c>
      <c r="W50" s="3">
        <f t="shared" ca="1" si="62"/>
        <v>2.351981739930455E-2</v>
      </c>
      <c r="X50" s="3">
        <f t="shared" ca="1" si="62"/>
        <v>3.3353232413125003E-2</v>
      </c>
      <c r="Y50" s="3">
        <f t="shared" ca="1" si="62"/>
        <v>3.0766792116739945E-2</v>
      </c>
      <c r="Z50" s="3">
        <f t="shared" ca="1" si="62"/>
        <v>4.6803547748534784E-2</v>
      </c>
      <c r="AA50" s="3">
        <f t="shared" ca="1" si="62"/>
        <v>3.2833864563171999E-2</v>
      </c>
      <c r="AB50" s="3">
        <f t="shared" ca="1" si="62"/>
        <v>5.5192933576772775E-2</v>
      </c>
      <c r="AC50" s="3">
        <f t="shared" ca="1" si="62"/>
        <v>4.2576590048241464E-2</v>
      </c>
      <c r="AD50" s="3">
        <f t="shared" ca="1" si="62"/>
        <v>6.490523472712012E-2</v>
      </c>
      <c r="AE50" s="3">
        <f t="shared" ca="1" si="62"/>
        <v>4.8374736740146154E-2</v>
      </c>
      <c r="AF50" s="3">
        <f t="shared" ca="1" si="62"/>
        <v>7.5918877030336507E-2</v>
      </c>
      <c r="AG50" s="3">
        <f t="shared" ca="1" si="62"/>
        <v>5.5491994473996213E-2</v>
      </c>
      <c r="AH50" s="3">
        <f t="shared" ca="1" si="62"/>
        <v>8.659536511143115E-2</v>
      </c>
      <c r="AI50" s="3">
        <f t="shared" ca="1" si="62"/>
        <v>9.6856220357935577E-2</v>
      </c>
      <c r="AJ50" s="3">
        <f t="shared" ca="1" si="62"/>
        <v>0.1334006732661154</v>
      </c>
    </row>
    <row r="51" spans="1:36" x14ac:dyDescent="0.35">
      <c r="A51" t="s">
        <v>63</v>
      </c>
      <c r="B51" t="s">
        <v>62</v>
      </c>
      <c r="C51" s="4" t="s">
        <v>68</v>
      </c>
      <c r="D51" s="3">
        <f t="shared" ref="D51:AJ51" ca="1" si="63">MIN(0.99,D32+$D$3)</f>
        <v>9.4111620739236838E-3</v>
      </c>
      <c r="E51" s="3">
        <f t="shared" ca="1" si="63"/>
        <v>9.4160473104149406E-3</v>
      </c>
      <c r="F51" s="3">
        <f t="shared" ca="1" si="63"/>
        <v>1.2775310626386774E-2</v>
      </c>
      <c r="G51" s="3">
        <f t="shared" ca="1" si="63"/>
        <v>1.1213014889881811E-2</v>
      </c>
      <c r="H51" s="3">
        <f t="shared" ca="1" si="63"/>
        <v>1.3985507637467705E-2</v>
      </c>
      <c r="I51" s="3">
        <f t="shared" ca="1" si="63"/>
        <v>1.2727067324474081E-2</v>
      </c>
      <c r="J51" s="3">
        <f t="shared" ca="1" si="63"/>
        <v>1.7257844791897858E-2</v>
      </c>
      <c r="K51" s="3">
        <f t="shared" ca="1" si="63"/>
        <v>1.3371411213918008E-2</v>
      </c>
      <c r="L51" s="3">
        <f t="shared" ca="1" si="63"/>
        <v>1.9725915329527097E-2</v>
      </c>
      <c r="M51" s="3">
        <f t="shared" ca="1" si="63"/>
        <v>1.5244380702059544E-2</v>
      </c>
      <c r="N51" s="3">
        <f t="shared" ca="1" si="63"/>
        <v>2.103066990776262E-2</v>
      </c>
      <c r="O51" s="3">
        <f t="shared" ca="1" si="63"/>
        <v>1.7656868639080055E-2</v>
      </c>
      <c r="P51" s="3">
        <f t="shared" ca="1" si="63"/>
        <v>2.3169052522782209E-2</v>
      </c>
      <c r="Q51" s="3">
        <f t="shared" ca="1" si="63"/>
        <v>2.0431167292795021E-2</v>
      </c>
      <c r="R51" s="3">
        <f t="shared" ca="1" si="63"/>
        <v>2.392812464443312E-2</v>
      </c>
      <c r="S51" s="3">
        <f t="shared" ca="1" si="63"/>
        <v>2.290407972554873E-2</v>
      </c>
      <c r="T51" s="3">
        <f t="shared" ca="1" si="63"/>
        <v>2.6627034545963935E-2</v>
      </c>
      <c r="U51" s="3">
        <f t="shared" ca="1" si="63"/>
        <v>2.4051426722053498E-2</v>
      </c>
      <c r="V51" s="3">
        <f t="shared" ca="1" si="63"/>
        <v>3.0018589169893719E-2</v>
      </c>
      <c r="W51" s="3">
        <f t="shared" ca="1" si="63"/>
        <v>2.4446705133094295E-2</v>
      </c>
      <c r="X51" s="3">
        <f t="shared" ca="1" si="63"/>
        <v>3.4261785530811918E-2</v>
      </c>
      <c r="Y51" s="3">
        <f t="shared" ca="1" si="63"/>
        <v>3.1668926958263462E-2</v>
      </c>
      <c r="Z51" s="3">
        <f t="shared" ca="1" si="63"/>
        <v>4.7756592378378211E-2</v>
      </c>
      <c r="AA51" s="3">
        <f t="shared" ca="1" si="63"/>
        <v>3.3801426991201686E-2</v>
      </c>
      <c r="AB51" s="3">
        <f t="shared" ca="1" si="63"/>
        <v>5.6150183509311911E-2</v>
      </c>
      <c r="AC51" s="3">
        <f t="shared" ca="1" si="63"/>
        <v>4.350030262647351E-2</v>
      </c>
      <c r="AD51" s="3">
        <f t="shared" ca="1" si="63"/>
        <v>6.5847408599207041E-2</v>
      </c>
      <c r="AE51" s="3">
        <f t="shared" ca="1" si="63"/>
        <v>4.9309961356073802E-2</v>
      </c>
      <c r="AF51" s="3">
        <f t="shared" ca="1" si="63"/>
        <v>7.6916984195258165E-2</v>
      </c>
      <c r="AG51" s="3">
        <f t="shared" ca="1" si="63"/>
        <v>5.6462096330036564E-2</v>
      </c>
      <c r="AH51" s="3">
        <f t="shared" ca="1" si="63"/>
        <v>8.7580237549320164E-2</v>
      </c>
      <c r="AI51" s="3">
        <f t="shared" ca="1" si="63"/>
        <v>9.784095723948541E-2</v>
      </c>
      <c r="AJ51" s="3">
        <f t="shared" ca="1" si="63"/>
        <v>0.13435023118328371</v>
      </c>
    </row>
    <row r="52" spans="1:36" x14ac:dyDescent="0.35">
      <c r="A52" t="s">
        <v>63</v>
      </c>
      <c r="B52" t="s">
        <v>62</v>
      </c>
      <c r="C52" s="4">
        <v>4</v>
      </c>
      <c r="D52" s="3">
        <f t="shared" ref="D52:AJ52" ca="1" si="64">MIN(0.99,D33+$D$3)</f>
        <v>1.0352080057552511E-2</v>
      </c>
      <c r="E52" s="3">
        <f t="shared" ca="1" si="64"/>
        <v>1.0335862970965098E-2</v>
      </c>
      <c r="F52" s="3">
        <f t="shared" ca="1" si="64"/>
        <v>1.3714404863455733E-2</v>
      </c>
      <c r="G52" s="3">
        <f t="shared" ca="1" si="64"/>
        <v>1.2180053528096584E-2</v>
      </c>
      <c r="H52" s="3">
        <f t="shared" ca="1" si="64"/>
        <v>1.4938500514886568E-2</v>
      </c>
      <c r="I52" s="3">
        <f t="shared" ca="1" si="64"/>
        <v>1.3692401745204388E-2</v>
      </c>
      <c r="J52" s="3">
        <f t="shared" ca="1" si="64"/>
        <v>1.8211337789727753E-2</v>
      </c>
      <c r="K52" s="3">
        <f t="shared" ca="1" si="64"/>
        <v>1.4321227668681047E-2</v>
      </c>
      <c r="L52" s="3">
        <f t="shared" ca="1" si="64"/>
        <v>2.0642544522466125E-2</v>
      </c>
      <c r="M52" s="3">
        <f t="shared" ca="1" si="64"/>
        <v>1.6178911202820917E-2</v>
      </c>
      <c r="N52" s="3">
        <f t="shared" ca="1" si="64"/>
        <v>2.2019778838211879E-2</v>
      </c>
      <c r="O52" s="3">
        <f t="shared" ca="1" si="64"/>
        <v>1.8586177542232477E-2</v>
      </c>
      <c r="P52" s="3">
        <f t="shared" ca="1" si="64"/>
        <v>2.409064190285146E-2</v>
      </c>
      <c r="Q52" s="3">
        <f t="shared" ca="1" si="64"/>
        <v>2.1405564886151952E-2</v>
      </c>
      <c r="R52" s="3">
        <f t="shared" ca="1" si="64"/>
        <v>2.4927124797033684E-2</v>
      </c>
      <c r="S52" s="3">
        <f t="shared" ca="1" si="64"/>
        <v>2.3857040400956549E-2</v>
      </c>
      <c r="T52" s="3">
        <f t="shared" ca="1" si="64"/>
        <v>2.7611720262156962E-2</v>
      </c>
      <c r="U52" s="3">
        <f t="shared" ca="1" si="64"/>
        <v>2.5009661121339347E-2</v>
      </c>
      <c r="V52" s="3">
        <f t="shared" ca="1" si="64"/>
        <v>3.0982982623372759E-2</v>
      </c>
      <c r="W52" s="3">
        <f t="shared" ca="1" si="64"/>
        <v>2.5386539195028892E-2</v>
      </c>
      <c r="X52" s="3">
        <f t="shared" ca="1" si="64"/>
        <v>3.525349389460624E-2</v>
      </c>
      <c r="Y52" s="3">
        <f t="shared" ca="1" si="64"/>
        <v>3.2628156595537375E-2</v>
      </c>
      <c r="Z52" s="3">
        <f t="shared" ca="1" si="64"/>
        <v>4.8686007122657048E-2</v>
      </c>
      <c r="AA52" s="3">
        <f t="shared" ca="1" si="64"/>
        <v>3.48008719692929E-2</v>
      </c>
      <c r="AB52" s="3">
        <f t="shared" ca="1" si="64"/>
        <v>5.7100027381240259E-2</v>
      </c>
      <c r="AC52" s="3">
        <f t="shared" ca="1" si="64"/>
        <v>4.4409454515623871E-2</v>
      </c>
      <c r="AD52" s="3">
        <f t="shared" ca="1" si="64"/>
        <v>6.6814558850557051E-2</v>
      </c>
      <c r="AE52" s="3">
        <f t="shared" ca="1" si="64"/>
        <v>5.0221019353694489E-2</v>
      </c>
      <c r="AF52" s="3">
        <f t="shared" ca="1" si="64"/>
        <v>7.7893395313038044E-2</v>
      </c>
      <c r="AG52" s="3">
        <f t="shared" ca="1" si="64"/>
        <v>5.742115685571525E-2</v>
      </c>
      <c r="AH52" s="3">
        <f t="shared" ca="1" si="64"/>
        <v>8.8569064066841452E-2</v>
      </c>
      <c r="AI52" s="3">
        <f t="shared" ca="1" si="64"/>
        <v>9.8748437723415391E-2</v>
      </c>
      <c r="AJ52" s="3">
        <f t="shared" ca="1" si="64"/>
        <v>0.13534224271623047</v>
      </c>
    </row>
    <row r="53" spans="1:36" x14ac:dyDescent="0.35">
      <c r="A53" t="s">
        <v>63</v>
      </c>
      <c r="B53" t="s">
        <v>62</v>
      </c>
      <c r="C53" s="4" t="s">
        <v>69</v>
      </c>
      <c r="D53" s="3">
        <f t="shared" ref="D53:AJ53" ca="1" si="65">MIN(0.99,D34+$D$3)</f>
        <v>1.1252892781382043E-2</v>
      </c>
      <c r="E53" s="3">
        <f t="shared" ca="1" si="65"/>
        <v>1.1282405117157515E-2</v>
      </c>
      <c r="F53" s="3">
        <f t="shared" ca="1" si="65"/>
        <v>1.4672549182777571E-2</v>
      </c>
      <c r="G53" s="3">
        <f t="shared" ca="1" si="65"/>
        <v>1.3115228540177735E-2</v>
      </c>
      <c r="H53" s="3">
        <f t="shared" ca="1" si="65"/>
        <v>1.5904244730124559E-2</v>
      </c>
      <c r="I53" s="3">
        <f t="shared" ca="1" si="65"/>
        <v>1.4672427692525299E-2</v>
      </c>
      <c r="J53" s="3">
        <f t="shared" ca="1" si="65"/>
        <v>1.9198976618254548E-2</v>
      </c>
      <c r="K53" s="3">
        <f t="shared" ca="1" si="65"/>
        <v>1.5293996462293208E-2</v>
      </c>
      <c r="L53" s="3">
        <f t="shared" ca="1" si="65"/>
        <v>2.1608068838596981E-2</v>
      </c>
      <c r="M53" s="3">
        <f t="shared" ca="1" si="65"/>
        <v>1.7113425867899663E-2</v>
      </c>
      <c r="N53" s="3">
        <f t="shared" ca="1" si="65"/>
        <v>2.294862309886863E-2</v>
      </c>
      <c r="O53" s="3">
        <f t="shared" ca="1" si="65"/>
        <v>1.952804085669068E-2</v>
      </c>
      <c r="P53" s="3">
        <f t="shared" ca="1" si="65"/>
        <v>2.4995507346124671E-2</v>
      </c>
      <c r="Q53" s="3">
        <f t="shared" ca="1" si="65"/>
        <v>2.2403194391290963E-2</v>
      </c>
      <c r="R53" s="3">
        <f t="shared" ca="1" si="65"/>
        <v>2.5884104771294623E-2</v>
      </c>
      <c r="S53" s="3">
        <f t="shared" ca="1" si="65"/>
        <v>2.4800543029163916E-2</v>
      </c>
      <c r="T53" s="3">
        <f t="shared" ca="1" si="65"/>
        <v>2.8555396402967771E-2</v>
      </c>
      <c r="U53" s="3">
        <f t="shared" ca="1" si="65"/>
        <v>2.5954858093652514E-2</v>
      </c>
      <c r="V53" s="3">
        <f t="shared" ca="1" si="65"/>
        <v>3.192153595572679E-2</v>
      </c>
      <c r="W53" s="3">
        <f t="shared" ca="1" si="65"/>
        <v>2.6300833425765099E-2</v>
      </c>
      <c r="X53" s="3">
        <f t="shared" ca="1" si="65"/>
        <v>3.6222654669474573E-2</v>
      </c>
      <c r="Y53" s="3">
        <f t="shared" ca="1" si="65"/>
        <v>3.3535037618145365E-2</v>
      </c>
      <c r="Z53" s="3">
        <f t="shared" ca="1" si="65"/>
        <v>4.9612495434711398E-2</v>
      </c>
      <c r="AA53" s="3">
        <f t="shared" ca="1" si="65"/>
        <v>3.5730030037916291E-2</v>
      </c>
      <c r="AB53" s="3">
        <f t="shared" ca="1" si="65"/>
        <v>5.8084024443282034E-2</v>
      </c>
      <c r="AC53" s="3">
        <f t="shared" ca="1" si="65"/>
        <v>4.5396203139463673E-2</v>
      </c>
      <c r="AD53" s="3">
        <f t="shared" ca="1" si="65"/>
        <v>6.7739844545102623E-2</v>
      </c>
      <c r="AE53" s="3">
        <f t="shared" ca="1" si="65"/>
        <v>5.1189370734790282E-2</v>
      </c>
      <c r="AF53" s="3">
        <f t="shared" ca="1" si="65"/>
        <v>7.8859734385545957E-2</v>
      </c>
      <c r="AG53" s="3">
        <f t="shared" ca="1" si="65"/>
        <v>5.839946795168012E-2</v>
      </c>
      <c r="AH53" s="3">
        <f t="shared" ca="1" si="65"/>
        <v>8.9543067698873366E-2</v>
      </c>
      <c r="AI53" s="3">
        <f t="shared" ca="1" si="65"/>
        <v>9.9703129102216917E-2</v>
      </c>
      <c r="AJ53" s="3">
        <f t="shared" ca="1" si="65"/>
        <v>0.13633512323311783</v>
      </c>
    </row>
    <row r="54" spans="1:36" x14ac:dyDescent="0.35">
      <c r="A54" t="s">
        <v>63</v>
      </c>
      <c r="B54" t="s">
        <v>62</v>
      </c>
      <c r="C54" s="4" t="s">
        <v>70</v>
      </c>
      <c r="D54" s="3">
        <f t="shared" ref="D54:AJ54" ca="1" si="66">MIN(0.99,D35+$D$3)</f>
        <v>1.221790717511799E-2</v>
      </c>
      <c r="E54" s="3">
        <f t="shared" ca="1" si="66"/>
        <v>1.2260425210607336E-2</v>
      </c>
      <c r="F54" s="3">
        <f t="shared" ca="1" si="66"/>
        <v>1.560429757976128E-2</v>
      </c>
      <c r="G54" s="3">
        <f t="shared" ca="1" si="66"/>
        <v>1.4098446303545578E-2</v>
      </c>
      <c r="H54" s="3">
        <f t="shared" ca="1" si="66"/>
        <v>1.6821406506635009E-2</v>
      </c>
      <c r="I54" s="3">
        <f t="shared" ca="1" si="66"/>
        <v>1.5613072348121648E-2</v>
      </c>
      <c r="J54" s="3">
        <f t="shared" ca="1" si="66"/>
        <v>2.0120896269045965E-2</v>
      </c>
      <c r="K54" s="3">
        <f t="shared" ca="1" si="66"/>
        <v>1.6225934381121031E-2</v>
      </c>
      <c r="L54" s="3">
        <f t="shared" ca="1" si="66"/>
        <v>2.2538076483926313E-2</v>
      </c>
      <c r="M54" s="3">
        <f t="shared" ca="1" si="66"/>
        <v>1.8019057466010031E-2</v>
      </c>
      <c r="N54" s="3">
        <f t="shared" ca="1" si="66"/>
        <v>2.389682023195764E-2</v>
      </c>
      <c r="O54" s="3">
        <f t="shared" ca="1" si="66"/>
        <v>2.0470061928958002E-2</v>
      </c>
      <c r="P54" s="3">
        <f t="shared" ca="1" si="66"/>
        <v>2.5941357922615014E-2</v>
      </c>
      <c r="Q54" s="3">
        <f t="shared" ca="1" si="66"/>
        <v>2.3319654618823023E-2</v>
      </c>
      <c r="R54" s="3">
        <f t="shared" ca="1" si="66"/>
        <v>2.6878186785647486E-2</v>
      </c>
      <c r="S54" s="3">
        <f t="shared" ca="1" si="66"/>
        <v>2.5765688578388232E-2</v>
      </c>
      <c r="T54" s="3">
        <f t="shared" ca="1" si="66"/>
        <v>2.9501869293947176E-2</v>
      </c>
      <c r="U54" s="3">
        <f t="shared" ca="1" si="66"/>
        <v>2.6944137006687699E-2</v>
      </c>
      <c r="V54" s="3">
        <f t="shared" ca="1" si="66"/>
        <v>3.2911974268886639E-2</v>
      </c>
      <c r="W54" s="3">
        <f t="shared" ca="1" si="66"/>
        <v>2.7251466371785299E-2</v>
      </c>
      <c r="X54" s="3">
        <f t="shared" ca="1" si="66"/>
        <v>3.7157869967204396E-2</v>
      </c>
      <c r="Y54" s="3">
        <f t="shared" ca="1" si="66"/>
        <v>3.4474682437786688E-2</v>
      </c>
      <c r="Z54" s="3">
        <f t="shared" ca="1" si="66"/>
        <v>5.0578907339580093E-2</v>
      </c>
      <c r="AA54" s="3">
        <f t="shared" ca="1" si="66"/>
        <v>3.6661739532130234E-2</v>
      </c>
      <c r="AB54" s="3">
        <f t="shared" ca="1" si="66"/>
        <v>5.9078184019322258E-2</v>
      </c>
      <c r="AC54" s="3">
        <f t="shared" ca="1" si="66"/>
        <v>4.6379430381883253E-2</v>
      </c>
      <c r="AD54" s="3">
        <f t="shared" ca="1" si="66"/>
        <v>6.8648648288481717E-2</v>
      </c>
      <c r="AE54" s="3">
        <f t="shared" ca="1" si="66"/>
        <v>5.2178590310255339E-2</v>
      </c>
      <c r="AF54" s="3">
        <f t="shared" ca="1" si="66"/>
        <v>7.9811514189398733E-2</v>
      </c>
      <c r="AG54" s="3">
        <f t="shared" ca="1" si="66"/>
        <v>5.9361755985027416E-2</v>
      </c>
      <c r="AH54" s="3">
        <f t="shared" ca="1" si="66"/>
        <v>9.0519854011083589E-2</v>
      </c>
      <c r="AI54" s="3">
        <f t="shared" ca="1" si="66"/>
        <v>0.1006310949236566</v>
      </c>
      <c r="AJ54" s="3">
        <f t="shared" ca="1" si="66"/>
        <v>0.13731527861777904</v>
      </c>
    </row>
    <row r="55" spans="1:36" x14ac:dyDescent="0.35">
      <c r="A55" t="s">
        <v>63</v>
      </c>
      <c r="B55" t="s">
        <v>62</v>
      </c>
      <c r="C55" s="4">
        <v>5</v>
      </c>
      <c r="D55" s="3">
        <f t="shared" ref="D55:AJ55" ca="1" si="67">MIN(0.99,D36+$D$3)</f>
        <v>1.3141127813324344E-2</v>
      </c>
      <c r="E55" s="3">
        <f t="shared" ca="1" si="67"/>
        <v>1.3206307092020031E-2</v>
      </c>
      <c r="F55" s="3">
        <f t="shared" ca="1" si="67"/>
        <v>1.6519127305588389E-2</v>
      </c>
      <c r="G55" s="3">
        <f t="shared" ca="1" si="67"/>
        <v>1.506926515455274E-2</v>
      </c>
      <c r="H55" s="3">
        <f t="shared" ca="1" si="67"/>
        <v>1.7724130101544056E-2</v>
      </c>
      <c r="I55" s="3">
        <f t="shared" ca="1" si="67"/>
        <v>1.6565490926466489E-2</v>
      </c>
      <c r="J55" s="3">
        <f t="shared" ca="1" si="67"/>
        <v>2.1062449914054038E-2</v>
      </c>
      <c r="K55" s="3">
        <f t="shared" ca="1" si="67"/>
        <v>1.7222492722526943E-2</v>
      </c>
      <c r="L55" s="3">
        <f t="shared" ca="1" si="67"/>
        <v>2.3509705172763521E-2</v>
      </c>
      <c r="M55" s="3">
        <f t="shared" ca="1" si="67"/>
        <v>1.8926559332582801E-2</v>
      </c>
      <c r="N55" s="3">
        <f t="shared" ca="1" si="67"/>
        <v>2.4872966120531626E-2</v>
      </c>
      <c r="O55" s="3">
        <f t="shared" ca="1" si="67"/>
        <v>2.1399343335724519E-2</v>
      </c>
      <c r="P55" s="3">
        <f t="shared" ca="1" si="67"/>
        <v>2.6855146679280694E-2</v>
      </c>
      <c r="Q55" s="3">
        <f t="shared" ca="1" si="67"/>
        <v>2.4289760714600702E-2</v>
      </c>
      <c r="R55" s="3">
        <f t="shared" ca="1" si="67"/>
        <v>2.7875759237192783E-2</v>
      </c>
      <c r="S55" s="3">
        <f t="shared" ca="1" si="67"/>
        <v>2.6678778355925529E-2</v>
      </c>
      <c r="T55" s="3">
        <f t="shared" ca="1" si="67"/>
        <v>3.0459356794746508E-2</v>
      </c>
      <c r="U55" s="3">
        <f t="shared" ca="1" si="67"/>
        <v>2.7904221102308578E-2</v>
      </c>
      <c r="V55" s="3">
        <f t="shared" ca="1" si="67"/>
        <v>3.3829100213476029E-2</v>
      </c>
      <c r="W55" s="3">
        <f t="shared" ca="1" si="67"/>
        <v>2.8169232363111179E-2</v>
      </c>
      <c r="X55" s="3">
        <f t="shared" ca="1" si="67"/>
        <v>3.8119424562016217E-2</v>
      </c>
      <c r="Y55" s="3">
        <f t="shared" ca="1" si="67"/>
        <v>3.5381735075919303E-2</v>
      </c>
      <c r="Z55" s="3">
        <f t="shared" ca="1" si="67"/>
        <v>5.1513950057985432E-2</v>
      </c>
      <c r="AA55" s="3">
        <f t="shared" ca="1" si="67"/>
        <v>3.7624776193692762E-2</v>
      </c>
      <c r="AB55" s="3">
        <f t="shared" ca="1" si="67"/>
        <v>6.0042020244689388E-2</v>
      </c>
      <c r="AC55" s="3">
        <f t="shared" ca="1" si="67"/>
        <v>4.7298200315280745E-2</v>
      </c>
      <c r="AD55" s="3">
        <f t="shared" ca="1" si="67"/>
        <v>6.9648332340733171E-2</v>
      </c>
      <c r="AE55" s="3">
        <f t="shared" ca="1" si="67"/>
        <v>5.3091919330193138E-2</v>
      </c>
      <c r="AF55" s="3">
        <f t="shared" ca="1" si="67"/>
        <v>8.0718608990060295E-2</v>
      </c>
      <c r="AG55" s="3">
        <f t="shared" ca="1" si="67"/>
        <v>6.0349041190509184E-2</v>
      </c>
      <c r="AH55" s="3">
        <f t="shared" ca="1" si="67"/>
        <v>9.1493998608522809E-2</v>
      </c>
      <c r="AI55" s="3">
        <f t="shared" ca="1" si="67"/>
        <v>0.10161929079525005</v>
      </c>
      <c r="AJ55" s="3">
        <f t="shared" ca="1" si="67"/>
        <v>0.13824457796971182</v>
      </c>
    </row>
    <row r="56" spans="1:36" x14ac:dyDescent="0.35">
      <c r="A56" t="s">
        <v>63</v>
      </c>
      <c r="B56" t="s">
        <v>62</v>
      </c>
      <c r="C56" s="4" t="s">
        <v>71</v>
      </c>
      <c r="D56" s="3">
        <f t="shared" ref="D56:AJ56" ca="1" si="68">MIN(0.99,D37+$D$3)</f>
        <v>1.4047898189398753E-2</v>
      </c>
      <c r="E56" s="3">
        <f t="shared" ca="1" si="68"/>
        <v>1.4193947782503186E-2</v>
      </c>
      <c r="F56" s="3">
        <f t="shared" ca="1" si="68"/>
        <v>1.7486662318163135E-2</v>
      </c>
      <c r="G56" s="3">
        <f t="shared" ca="1" si="68"/>
        <v>1.605317419400059E-2</v>
      </c>
      <c r="H56" s="3">
        <f t="shared" ca="1" si="68"/>
        <v>1.8642036865934304E-2</v>
      </c>
      <c r="I56" s="3">
        <f t="shared" ca="1" si="68"/>
        <v>1.75602115021611E-2</v>
      </c>
      <c r="J56" s="3">
        <f t="shared" ca="1" si="68"/>
        <v>2.204953485906502E-2</v>
      </c>
      <c r="K56" s="3">
        <f t="shared" ca="1" si="68"/>
        <v>1.8169060962864667E-2</v>
      </c>
      <c r="L56" s="3">
        <f t="shared" ca="1" si="68"/>
        <v>2.4430331738163228E-2</v>
      </c>
      <c r="M56" s="3">
        <f t="shared" ca="1" si="68"/>
        <v>1.9876624426681432E-2</v>
      </c>
      <c r="N56" s="3">
        <f t="shared" ca="1" si="68"/>
        <v>2.580981345524774E-2</v>
      </c>
      <c r="O56" s="3">
        <f t="shared" ca="1" si="68"/>
        <v>2.2377995931433935E-2</v>
      </c>
      <c r="P56" s="3">
        <f t="shared" ca="1" si="68"/>
        <v>2.7793216574067952E-2</v>
      </c>
      <c r="Q56" s="3">
        <f t="shared" ca="1" si="68"/>
        <v>2.5258419452100191E-2</v>
      </c>
      <c r="R56" s="3">
        <f t="shared" ca="1" si="68"/>
        <v>2.8777278326176582E-2</v>
      </c>
      <c r="S56" s="3">
        <f t="shared" ca="1" si="68"/>
        <v>2.7646409761639856E-2</v>
      </c>
      <c r="T56" s="3">
        <f t="shared" ca="1" si="68"/>
        <v>3.1415216781662487E-2</v>
      </c>
      <c r="U56" s="3">
        <f t="shared" ca="1" si="68"/>
        <v>2.8804867165896145E-2</v>
      </c>
      <c r="V56" s="3">
        <f t="shared" ca="1" si="68"/>
        <v>3.4730977380573944E-2</v>
      </c>
      <c r="W56" s="3">
        <f t="shared" ca="1" si="68"/>
        <v>2.9087726139519519E-2</v>
      </c>
      <c r="X56" s="3">
        <f t="shared" ca="1" si="68"/>
        <v>3.9095100583476615E-2</v>
      </c>
      <c r="Y56" s="3">
        <f t="shared" ca="1" si="68"/>
        <v>3.6334191895975053E-2</v>
      </c>
      <c r="Z56" s="3">
        <f t="shared" ca="1" si="68"/>
        <v>5.2455706509084314E-2</v>
      </c>
      <c r="AA56" s="3">
        <f t="shared" ca="1" si="68"/>
        <v>3.8556358937544492E-2</v>
      </c>
      <c r="AB56" s="3">
        <f t="shared" ca="1" si="68"/>
        <v>6.0948572433135069E-2</v>
      </c>
      <c r="AC56" s="3">
        <f t="shared" ca="1" si="68"/>
        <v>4.8230392305639545E-2</v>
      </c>
      <c r="AD56" s="3">
        <f t="shared" ca="1" si="68"/>
        <v>7.0563937466386131E-2</v>
      </c>
      <c r="AE56" s="3">
        <f t="shared" ca="1" si="68"/>
        <v>5.4082503672523735E-2</v>
      </c>
      <c r="AF56" s="3">
        <f t="shared" ca="1" si="68"/>
        <v>8.1668273245599096E-2</v>
      </c>
      <c r="AG56" s="3">
        <f t="shared" ca="1" si="68"/>
        <v>6.130096739624432E-2</v>
      </c>
      <c r="AH56" s="3">
        <f t="shared" ca="1" si="68"/>
        <v>9.2447017454676012E-2</v>
      </c>
      <c r="AI56" s="3">
        <f t="shared" ca="1" si="68"/>
        <v>0.10252284634534332</v>
      </c>
      <c r="AJ56" s="3">
        <f t="shared" ca="1" si="68"/>
        <v>0.13920877061491066</v>
      </c>
    </row>
    <row r="57" spans="1:36" x14ac:dyDescent="0.35">
      <c r="A57" t="s">
        <v>63</v>
      </c>
      <c r="B57" t="s">
        <v>62</v>
      </c>
      <c r="C57" s="4" t="s">
        <v>72</v>
      </c>
      <c r="D57" s="3">
        <f t="shared" ref="D57:AJ57" ca="1" si="69">MIN(0.99,D38+$D$3)</f>
        <v>1.501350516586715E-2</v>
      </c>
      <c r="E57" s="3">
        <f t="shared" ca="1" si="69"/>
        <v>1.5101137214670268E-2</v>
      </c>
      <c r="F57" s="3">
        <f t="shared" ca="1" si="69"/>
        <v>1.8410918885738127E-2</v>
      </c>
      <c r="G57" s="3">
        <f t="shared" ca="1" si="69"/>
        <v>1.6954117364351564E-2</v>
      </c>
      <c r="H57" s="3">
        <f t="shared" ca="1" si="69"/>
        <v>1.9587022473391679E-2</v>
      </c>
      <c r="I57" s="3">
        <f t="shared" ca="1" si="69"/>
        <v>1.8522164274478337E-2</v>
      </c>
      <c r="J57" s="3">
        <f t="shared" ca="1" si="69"/>
        <v>2.3022467919716686E-2</v>
      </c>
      <c r="K57" s="3">
        <f t="shared" ca="1" si="69"/>
        <v>1.9131211947502551E-2</v>
      </c>
      <c r="L57" s="3">
        <f t="shared" ca="1" si="69"/>
        <v>2.5353501189013531E-2</v>
      </c>
      <c r="M57" s="3">
        <f t="shared" ca="1" si="69"/>
        <v>2.0792964892850069E-2</v>
      </c>
      <c r="N57" s="3">
        <f t="shared" ca="1" si="69"/>
        <v>2.6760148147333476E-2</v>
      </c>
      <c r="O57" s="3">
        <f t="shared" ca="1" si="69"/>
        <v>2.3367970339510231E-2</v>
      </c>
      <c r="P57" s="3">
        <f t="shared" ca="1" si="69"/>
        <v>2.8718818699454082E-2</v>
      </c>
      <c r="Q57" s="3">
        <f t="shared" ca="1" si="69"/>
        <v>2.6188982618582532E-2</v>
      </c>
      <c r="R57" s="3">
        <f t="shared" ca="1" si="69"/>
        <v>2.9719875408066282E-2</v>
      </c>
      <c r="S57" s="3">
        <f t="shared" ca="1" si="69"/>
        <v>2.8584865961715784E-2</v>
      </c>
      <c r="T57" s="3">
        <f t="shared" ca="1" si="69"/>
        <v>3.2401563884860166E-2</v>
      </c>
      <c r="U57" s="3">
        <f t="shared" ca="1" si="69"/>
        <v>2.9783487034411103E-2</v>
      </c>
      <c r="V57" s="3">
        <f t="shared" ca="1" si="69"/>
        <v>3.5659832673463239E-2</v>
      </c>
      <c r="W57" s="3">
        <f t="shared" ca="1" si="69"/>
        <v>3.0058065415066487E-2</v>
      </c>
      <c r="X57" s="3">
        <f t="shared" ca="1" si="69"/>
        <v>4.0059878139085181E-2</v>
      </c>
      <c r="Y57" s="3">
        <f t="shared" ca="1" si="69"/>
        <v>3.7235837176143489E-2</v>
      </c>
      <c r="Z57" s="3">
        <f t="shared" ca="1" si="69"/>
        <v>5.3398676152535809E-2</v>
      </c>
      <c r="AA57" s="3">
        <f t="shared" ca="1" si="69"/>
        <v>3.9542617821804522E-2</v>
      </c>
      <c r="AB57" s="3">
        <f t="shared" ca="1" si="69"/>
        <v>6.1927174351363128E-2</v>
      </c>
      <c r="AC57" s="3">
        <f t="shared" ca="1" si="69"/>
        <v>4.9172555724840271E-2</v>
      </c>
      <c r="AD57" s="3">
        <f t="shared" ca="1" si="69"/>
        <v>7.1552949575624039E-2</v>
      </c>
      <c r="AE57" s="3">
        <f t="shared" ca="1" si="69"/>
        <v>5.5075933108579438E-2</v>
      </c>
      <c r="AF57" s="3">
        <f t="shared" ca="1" si="69"/>
        <v>8.2587155564178741E-2</v>
      </c>
      <c r="AG57" s="3">
        <f t="shared" ca="1" si="69"/>
        <v>6.2277389347350144E-2</v>
      </c>
      <c r="AH57" s="3">
        <f t="shared" ca="1" si="69"/>
        <v>9.3410173357133211E-2</v>
      </c>
      <c r="AI57" s="3">
        <f t="shared" ca="1" si="69"/>
        <v>0.10346192958839025</v>
      </c>
      <c r="AJ57" s="3">
        <f t="shared" ca="1" si="69"/>
        <v>0.14017088335100344</v>
      </c>
    </row>
    <row r="58" spans="1:36" x14ac:dyDescent="0.35">
      <c r="A58" t="s">
        <v>63</v>
      </c>
      <c r="B58" t="s">
        <v>62</v>
      </c>
      <c r="C58" s="4">
        <v>6</v>
      </c>
      <c r="D58" s="3">
        <f t="shared" ref="D58:AJ58" ca="1" si="70">MIN(0.99,D39+$D$3)</f>
        <v>1.5970960225025633E-2</v>
      </c>
      <c r="E58" s="3">
        <f t="shared" ca="1" si="70"/>
        <v>1.6006002806789404E-2</v>
      </c>
      <c r="F58" s="3">
        <f t="shared" ca="1" si="70"/>
        <v>1.9363045427415022E-2</v>
      </c>
      <c r="G58" s="3">
        <f t="shared" ca="1" si="70"/>
        <v>1.7884495966732084E-2</v>
      </c>
      <c r="H58" s="3">
        <f t="shared" ca="1" si="70"/>
        <v>2.0579234012875956E-2</v>
      </c>
      <c r="I58" s="3">
        <f t="shared" ca="1" si="70"/>
        <v>1.9441447587045645E-2</v>
      </c>
      <c r="J58" s="3">
        <f t="shared" ca="1" si="70"/>
        <v>2.3950110951396653E-2</v>
      </c>
      <c r="K58" s="3">
        <f t="shared" ca="1" si="70"/>
        <v>2.0050528695585712E-2</v>
      </c>
      <c r="L58" s="3">
        <f t="shared" ca="1" si="70"/>
        <v>2.6323989179398044E-2</v>
      </c>
      <c r="M58" s="3">
        <f t="shared" ca="1" si="70"/>
        <v>2.1728798409588686E-2</v>
      </c>
      <c r="N58" s="3">
        <f t="shared" ca="1" si="70"/>
        <v>2.7662882813241894E-2</v>
      </c>
      <c r="O58" s="3">
        <f t="shared" ca="1" si="70"/>
        <v>2.431105348630885E-2</v>
      </c>
      <c r="P58" s="3">
        <f t="shared" ca="1" si="70"/>
        <v>2.9688784170756353E-2</v>
      </c>
      <c r="Q58" s="3">
        <f t="shared" ca="1" si="70"/>
        <v>2.7170013296866465E-2</v>
      </c>
      <c r="R58" s="3">
        <f t="shared" ca="1" si="70"/>
        <v>3.06303275291228E-2</v>
      </c>
      <c r="S58" s="3">
        <f t="shared" ca="1" si="70"/>
        <v>2.9504173285796763E-2</v>
      </c>
      <c r="T58" s="3">
        <f t="shared" ca="1" si="70"/>
        <v>3.3378288666347872E-2</v>
      </c>
      <c r="U58" s="3">
        <f t="shared" ca="1" si="70"/>
        <v>3.0782537071597123E-2</v>
      </c>
      <c r="V58" s="3">
        <f t="shared" ca="1" si="70"/>
        <v>3.6618548104760222E-2</v>
      </c>
      <c r="W58" s="3">
        <f t="shared" ca="1" si="70"/>
        <v>3.0980514234866287E-2</v>
      </c>
      <c r="X58" s="3">
        <f t="shared" ca="1" si="70"/>
        <v>4.0968159915141251E-2</v>
      </c>
      <c r="Y58" s="3">
        <f t="shared" ca="1" si="70"/>
        <v>3.8162082463951273E-2</v>
      </c>
      <c r="Z58" s="3">
        <f t="shared" ca="1" si="70"/>
        <v>5.4338252552760036E-2</v>
      </c>
      <c r="AA58" s="3">
        <f t="shared" ca="1" si="70"/>
        <v>4.0508086926544604E-2</v>
      </c>
      <c r="AB58" s="3">
        <f t="shared" ca="1" si="70"/>
        <v>6.2836267131019335E-2</v>
      </c>
      <c r="AC58" s="3">
        <f t="shared" ca="1" si="70"/>
        <v>5.0102948033483384E-2</v>
      </c>
      <c r="AD58" s="3">
        <f t="shared" ca="1" si="70"/>
        <v>7.2473152505702368E-2</v>
      </c>
      <c r="AE58" s="3">
        <f t="shared" ca="1" si="70"/>
        <v>5.6001270790248962E-2</v>
      </c>
      <c r="AF58" s="3">
        <f t="shared" ca="1" si="70"/>
        <v>8.3513160743016818E-2</v>
      </c>
      <c r="AG58" s="3">
        <f t="shared" ca="1" si="70"/>
        <v>6.3272324017778617E-2</v>
      </c>
      <c r="AH58" s="3">
        <f t="shared" ca="1" si="70"/>
        <v>9.4364991495540493E-2</v>
      </c>
      <c r="AI58" s="3">
        <f t="shared" ca="1" si="70"/>
        <v>0.10438529268917818</v>
      </c>
      <c r="AJ58" s="3">
        <f t="shared" ca="1" si="70"/>
        <v>0.14108608844032561</v>
      </c>
    </row>
    <row r="59" spans="1:36" x14ac:dyDescent="0.35">
      <c r="A59" t="s">
        <v>63</v>
      </c>
      <c r="B59" t="s">
        <v>62</v>
      </c>
      <c r="C59" s="4" t="s">
        <v>73</v>
      </c>
      <c r="D59" s="3">
        <f t="shared" ref="D59:AJ59" ca="1" si="71">MIN(0.99,D40+$D$3)</f>
        <v>1.6941438933984122E-2</v>
      </c>
      <c r="E59" s="3">
        <f t="shared" ca="1" si="71"/>
        <v>1.697128324085001E-2</v>
      </c>
      <c r="F59" s="3">
        <f t="shared" ca="1" si="71"/>
        <v>2.0349583121652203E-2</v>
      </c>
      <c r="G59" s="3">
        <f t="shared" ca="1" si="71"/>
        <v>1.8814325947342683E-2</v>
      </c>
      <c r="H59" s="3">
        <f t="shared" ca="1" si="71"/>
        <v>2.1512903161412758E-2</v>
      </c>
      <c r="I59" s="3">
        <f t="shared" ca="1" si="71"/>
        <v>2.0380539483678878E-2</v>
      </c>
      <c r="J59" s="3">
        <f t="shared" ca="1" si="71"/>
        <v>2.4892831174568201E-2</v>
      </c>
      <c r="K59" s="3">
        <f t="shared" ca="1" si="71"/>
        <v>2.1047413940262844E-2</v>
      </c>
      <c r="L59" s="3">
        <f t="shared" ca="1" si="71"/>
        <v>2.7307975698441605E-2</v>
      </c>
      <c r="M59" s="3">
        <f t="shared" ca="1" si="71"/>
        <v>2.271913403837976E-2</v>
      </c>
      <c r="N59" s="3">
        <f t="shared" ca="1" si="71"/>
        <v>2.8649376115792647E-2</v>
      </c>
      <c r="O59" s="3">
        <f t="shared" ca="1" si="71"/>
        <v>2.526548700497061E-2</v>
      </c>
      <c r="P59" s="3">
        <f t="shared" ca="1" si="71"/>
        <v>3.0629640961623014E-2</v>
      </c>
      <c r="Q59" s="3">
        <f t="shared" ca="1" si="71"/>
        <v>2.8146799556390122E-2</v>
      </c>
      <c r="R59" s="3">
        <f t="shared" ca="1" si="71"/>
        <v>3.1607185834596291E-2</v>
      </c>
      <c r="S59" s="3">
        <f t="shared" ca="1" si="71"/>
        <v>3.0472686577660623E-2</v>
      </c>
      <c r="T59" s="3">
        <f t="shared" ca="1" si="71"/>
        <v>3.4287143157083665E-2</v>
      </c>
      <c r="U59" s="3">
        <f t="shared" ca="1" si="71"/>
        <v>3.1722496671661569E-2</v>
      </c>
      <c r="V59" s="3">
        <f t="shared" ca="1" si="71"/>
        <v>3.7581786632328577E-2</v>
      </c>
      <c r="W59" s="3">
        <f t="shared" ca="1" si="71"/>
        <v>3.1957107034432719E-2</v>
      </c>
      <c r="X59" s="3">
        <f t="shared" ca="1" si="71"/>
        <v>4.194666905062281E-2</v>
      </c>
      <c r="Y59" s="3">
        <f t="shared" ca="1" si="71"/>
        <v>3.9078918917457538E-2</v>
      </c>
      <c r="Z59" s="3">
        <f t="shared" ca="1" si="71"/>
        <v>5.5334913182412931E-2</v>
      </c>
      <c r="AA59" s="3">
        <f t="shared" ca="1" si="71"/>
        <v>4.1408931423628219E-2</v>
      </c>
      <c r="AB59" s="3">
        <f t="shared" ca="1" si="71"/>
        <v>6.3794528508729784E-2</v>
      </c>
      <c r="AC59" s="3">
        <f t="shared" ca="1" si="71"/>
        <v>5.1102476651004848E-2</v>
      </c>
      <c r="AD59" s="3">
        <f t="shared" ca="1" si="71"/>
        <v>7.3420811871966363E-2</v>
      </c>
      <c r="AE59" s="3">
        <f t="shared" ca="1" si="71"/>
        <v>5.6917039247212892E-2</v>
      </c>
      <c r="AF59" s="3">
        <f t="shared" ca="1" si="71"/>
        <v>8.4499964033390426E-2</v>
      </c>
      <c r="AG59" s="3">
        <f t="shared" ca="1" si="71"/>
        <v>6.4262655806081689E-2</v>
      </c>
      <c r="AH59" s="3">
        <f t="shared" ca="1" si="71"/>
        <v>9.5313227899484668E-2</v>
      </c>
      <c r="AI59" s="3">
        <f t="shared" ca="1" si="71"/>
        <v>0.10534145298080212</v>
      </c>
      <c r="AJ59" s="3">
        <f t="shared" ca="1" si="71"/>
        <v>0.14200767388322996</v>
      </c>
    </row>
    <row r="60" spans="1:36" x14ac:dyDescent="0.35">
      <c r="A60" t="s">
        <v>63</v>
      </c>
      <c r="B60" t="s">
        <v>62</v>
      </c>
      <c r="C60" s="4" t="s">
        <v>74</v>
      </c>
      <c r="D60" s="3">
        <f t="shared" ref="D60:AJ60" ca="1" si="72">MIN(0.99,D41+$D$3)</f>
        <v>1.7898896359240666E-2</v>
      </c>
      <c r="E60" s="3">
        <f t="shared" ca="1" si="72"/>
        <v>1.7954218888753488E-2</v>
      </c>
      <c r="F60" s="3">
        <f t="shared" ca="1" si="72"/>
        <v>2.1290226770066017E-2</v>
      </c>
      <c r="G60" s="3">
        <f t="shared" ca="1" si="72"/>
        <v>1.9752458296207788E-2</v>
      </c>
      <c r="H60" s="3">
        <f t="shared" ca="1" si="72"/>
        <v>2.2500837200920477E-2</v>
      </c>
      <c r="I60" s="3">
        <f t="shared" ca="1" si="72"/>
        <v>2.1351148179154823E-2</v>
      </c>
      <c r="J60" s="3">
        <f t="shared" ca="1" si="72"/>
        <v>2.5876313122492323E-2</v>
      </c>
      <c r="K60" s="3">
        <f t="shared" ca="1" si="72"/>
        <v>2.1975178429432401E-2</v>
      </c>
      <c r="L60" s="3">
        <f t="shared" ca="1" si="72"/>
        <v>2.8210746475896536E-2</v>
      </c>
      <c r="M60" s="3">
        <f t="shared" ca="1" si="72"/>
        <v>2.3621374230412821E-2</v>
      </c>
      <c r="N60" s="3">
        <f t="shared" ca="1" si="72"/>
        <v>2.9552626250183386E-2</v>
      </c>
      <c r="O60" s="3">
        <f t="shared" ca="1" si="72"/>
        <v>2.623530425552395E-2</v>
      </c>
      <c r="P60" s="3">
        <f t="shared" ca="1" si="72"/>
        <v>3.1592678381497978E-2</v>
      </c>
      <c r="Q60" s="3">
        <f t="shared" ca="1" si="72"/>
        <v>2.9106199962341948E-2</v>
      </c>
      <c r="R60" s="3">
        <f t="shared" ca="1" si="72"/>
        <v>3.2600899930007025E-2</v>
      </c>
      <c r="S60" s="3">
        <f t="shared" ca="1" si="72"/>
        <v>3.1462693315118133E-2</v>
      </c>
      <c r="T60" s="3">
        <f t="shared" ca="1" si="72"/>
        <v>3.5267995604864433E-2</v>
      </c>
      <c r="U60" s="3">
        <f t="shared" ca="1" si="72"/>
        <v>3.2693317284550528E-2</v>
      </c>
      <c r="V60" s="3">
        <f t="shared" ca="1" si="72"/>
        <v>3.8523707203621457E-2</v>
      </c>
      <c r="W60" s="3">
        <f t="shared" ca="1" si="72"/>
        <v>3.2903900831188555E-2</v>
      </c>
      <c r="X60" s="3">
        <f t="shared" ca="1" si="72"/>
        <v>4.2881290495929536E-2</v>
      </c>
      <c r="Y60" s="3">
        <f t="shared" ca="1" si="72"/>
        <v>4.00542257011504E-2</v>
      </c>
      <c r="Z60" s="3">
        <f t="shared" ca="1" si="72"/>
        <v>5.6297945301703962E-2</v>
      </c>
      <c r="AA60" s="3">
        <f t="shared" ca="1" si="72"/>
        <v>4.2319546827239519E-2</v>
      </c>
      <c r="AB60" s="3">
        <f t="shared" ca="1" si="72"/>
        <v>6.4791338742747812E-2</v>
      </c>
      <c r="AC60" s="3">
        <f t="shared" ca="1" si="72"/>
        <v>5.2059963920532124E-2</v>
      </c>
      <c r="AD60" s="3">
        <f t="shared" ca="1" si="72"/>
        <v>7.43285912807259E-2</v>
      </c>
      <c r="AE60" s="3">
        <f t="shared" ca="1" si="72"/>
        <v>5.7882987596302692E-2</v>
      </c>
      <c r="AF60" s="3">
        <f t="shared" ca="1" si="72"/>
        <v>8.5445503808110307E-2</v>
      </c>
      <c r="AG60" s="3">
        <f t="shared" ca="1" si="72"/>
        <v>6.5178952137762008E-2</v>
      </c>
      <c r="AH60" s="3">
        <f t="shared" ca="1" si="72"/>
        <v>9.6308145699147113E-2</v>
      </c>
      <c r="AI60" s="3">
        <f t="shared" ca="1" si="72"/>
        <v>0.10629671998418018</v>
      </c>
      <c r="AJ60" s="3">
        <f t="shared" ca="1" si="72"/>
        <v>0.14291627696969997</v>
      </c>
    </row>
    <row r="61" spans="1:36" x14ac:dyDescent="0.35">
      <c r="A61" t="s">
        <v>63</v>
      </c>
      <c r="B61" t="s">
        <v>62</v>
      </c>
      <c r="C61" s="4">
        <v>7</v>
      </c>
      <c r="D61" s="3">
        <f t="shared" ref="D61:AJ61" ca="1" si="73">MIN(0.99,D42+$D$3)</f>
        <v>1.8840782773344587E-2</v>
      </c>
      <c r="E61" s="3">
        <f t="shared" ca="1" si="73"/>
        <v>1.8908550115087842E-2</v>
      </c>
      <c r="F61" s="3">
        <f t="shared" ca="1" si="73"/>
        <v>2.2200582888255011E-2</v>
      </c>
      <c r="G61" s="3">
        <f t="shared" ca="1" si="73"/>
        <v>2.0709243248238543E-2</v>
      </c>
      <c r="H61" s="3">
        <f t="shared" ca="1" si="73"/>
        <v>2.3479103901798127E-2</v>
      </c>
      <c r="I61" s="3">
        <f t="shared" ca="1" si="73"/>
        <v>2.2321721369115904E-2</v>
      </c>
      <c r="J61" s="3">
        <f t="shared" ca="1" si="73"/>
        <v>2.6800892642992288E-2</v>
      </c>
      <c r="K61" s="3">
        <f t="shared" ca="1" si="73"/>
        <v>2.2908359212996963E-2</v>
      </c>
      <c r="L61" s="3">
        <f t="shared" ca="1" si="73"/>
        <v>2.9157934157978571E-2</v>
      </c>
      <c r="M61" s="3">
        <f t="shared" ca="1" si="73"/>
        <v>2.4522051983000094E-2</v>
      </c>
      <c r="N61" s="3">
        <f t="shared" ca="1" si="73"/>
        <v>3.0546386207429183E-2</v>
      </c>
      <c r="O61" s="3">
        <f t="shared" ca="1" si="73"/>
        <v>2.7150129067042571E-2</v>
      </c>
      <c r="P61" s="3">
        <f t="shared" ca="1" si="73"/>
        <v>3.2578800119039068E-2</v>
      </c>
      <c r="Q61" s="3">
        <f t="shared" ca="1" si="73"/>
        <v>3.010336375370453E-2</v>
      </c>
      <c r="R61" s="3">
        <f t="shared" ca="1" si="73"/>
        <v>3.3565368070960722E-2</v>
      </c>
      <c r="S61" s="3">
        <f t="shared" ca="1" si="73"/>
        <v>3.2450265289794798E-2</v>
      </c>
      <c r="T61" s="3">
        <f t="shared" ca="1" si="73"/>
        <v>3.6255384463221893E-2</v>
      </c>
      <c r="U61" s="3">
        <f t="shared" ca="1" si="73"/>
        <v>3.3683150111262543E-2</v>
      </c>
      <c r="V61" s="3">
        <f t="shared" ca="1" si="73"/>
        <v>3.9511337076823562E-2</v>
      </c>
      <c r="W61" s="3">
        <f t="shared" ca="1" si="73"/>
        <v>3.3838293996067505E-2</v>
      </c>
      <c r="X61" s="3">
        <f t="shared" ca="1" si="73"/>
        <v>4.3828963375130328E-2</v>
      </c>
      <c r="Y61" s="3">
        <f t="shared" ca="1" si="73"/>
        <v>4.1004388031448534E-2</v>
      </c>
      <c r="Z61" s="3">
        <f t="shared" ca="1" si="73"/>
        <v>5.7250622448529707E-2</v>
      </c>
      <c r="AA61" s="3">
        <f t="shared" ca="1" si="73"/>
        <v>4.3274551291892061E-2</v>
      </c>
      <c r="AB61" s="3">
        <f t="shared" ca="1" si="73"/>
        <v>6.5694199843996617E-2</v>
      </c>
      <c r="AC61" s="3">
        <f t="shared" ca="1" si="73"/>
        <v>5.2984914949163471E-2</v>
      </c>
      <c r="AD61" s="3">
        <f t="shared" ca="1" si="73"/>
        <v>7.5309326992941614E-2</v>
      </c>
      <c r="AE61" s="3">
        <f t="shared" ca="1" si="73"/>
        <v>5.8790028523985169E-2</v>
      </c>
      <c r="AF61" s="3">
        <f t="shared" ca="1" si="73"/>
        <v>8.6410871658274935E-2</v>
      </c>
      <c r="AG61" s="3">
        <f t="shared" ca="1" si="73"/>
        <v>6.6114292189571586E-2</v>
      </c>
      <c r="AH61" s="3">
        <f t="shared" ca="1" si="73"/>
        <v>9.7285333185327227E-2</v>
      </c>
      <c r="AI61" s="3">
        <f t="shared" ca="1" si="73"/>
        <v>0.10727925400946492</v>
      </c>
      <c r="AJ61" s="3">
        <f t="shared" ca="1" si="73"/>
        <v>0.14382051759209638</v>
      </c>
    </row>
    <row r="62" spans="1:36" x14ac:dyDescent="0.35">
      <c r="A62" t="s">
        <v>63</v>
      </c>
      <c r="B62" t="s">
        <v>62</v>
      </c>
      <c r="C62" s="4" t="s">
        <v>75</v>
      </c>
      <c r="D62" s="3">
        <f t="shared" ref="D62:AJ62" ca="1" si="74">MIN(0.99,D43+$D$3)</f>
        <v>1.9818896010044853E-2</v>
      </c>
      <c r="E62" s="3">
        <f t="shared" ca="1" si="74"/>
        <v>1.983000083485131E-2</v>
      </c>
      <c r="F62" s="3">
        <f t="shared" ca="1" si="74"/>
        <v>2.3173771869622186E-2</v>
      </c>
      <c r="G62" s="3">
        <f t="shared" ca="1" si="74"/>
        <v>2.1610550581027583E-2</v>
      </c>
      <c r="H62" s="3">
        <f t="shared" ca="1" si="74"/>
        <v>2.4453683490209627E-2</v>
      </c>
      <c r="I62" s="3">
        <f t="shared" ca="1" si="74"/>
        <v>2.3292380706682308E-2</v>
      </c>
      <c r="J62" s="3">
        <f t="shared" ca="1" si="74"/>
        <v>2.7799687461112464E-2</v>
      </c>
      <c r="K62" s="3">
        <f t="shared" ca="1" si="74"/>
        <v>2.3823234018341102E-2</v>
      </c>
      <c r="L62" s="3">
        <f t="shared" ca="1" si="74"/>
        <v>3.0065688911084968E-2</v>
      </c>
      <c r="M62" s="3">
        <f t="shared" ca="1" si="74"/>
        <v>2.5423454540192382E-2</v>
      </c>
      <c r="N62" s="3">
        <f t="shared" ca="1" si="74"/>
        <v>3.1513995510441817E-2</v>
      </c>
      <c r="O62" s="3">
        <f t="shared" ca="1" si="74"/>
        <v>2.8069033195365009E-2</v>
      </c>
      <c r="P62" s="3">
        <f t="shared" ca="1" si="74"/>
        <v>3.3507055929296675E-2</v>
      </c>
      <c r="Q62" s="3">
        <f t="shared" ca="1" si="74"/>
        <v>3.1056694217803427E-2</v>
      </c>
      <c r="R62" s="3">
        <f t="shared" ca="1" si="74"/>
        <v>3.4497352449134822E-2</v>
      </c>
      <c r="S62" s="3">
        <f t="shared" ca="1" si="74"/>
        <v>3.3381384150811613E-2</v>
      </c>
      <c r="T62" s="3">
        <f t="shared" ca="1" si="74"/>
        <v>3.7158335447846622E-2</v>
      </c>
      <c r="U62" s="3">
        <f t="shared" ca="1" si="74"/>
        <v>3.4603192623945532E-2</v>
      </c>
      <c r="V62" s="3">
        <f t="shared" ca="1" si="74"/>
        <v>4.0470695338767557E-2</v>
      </c>
      <c r="W62" s="3">
        <f t="shared" ca="1" si="74"/>
        <v>3.4784196995109685E-2</v>
      </c>
      <c r="X62" s="3">
        <f t="shared" ca="1" si="74"/>
        <v>4.4786435065790012E-2</v>
      </c>
      <c r="Y62" s="3">
        <f t="shared" ca="1" si="74"/>
        <v>4.1982476254653824E-2</v>
      </c>
      <c r="Z62" s="3">
        <f t="shared" ca="1" si="74"/>
        <v>5.8246627711201503E-2</v>
      </c>
      <c r="AA62" s="3">
        <f t="shared" ca="1" si="74"/>
        <v>4.4222569322303798E-2</v>
      </c>
      <c r="AB62" s="3">
        <f t="shared" ca="1" si="74"/>
        <v>6.6687402456049247E-2</v>
      </c>
      <c r="AC62" s="3">
        <f t="shared" ca="1" si="74"/>
        <v>5.3912452012992003E-2</v>
      </c>
      <c r="AD62" s="3">
        <f t="shared" ca="1" si="74"/>
        <v>7.6227067526741465E-2</v>
      </c>
      <c r="AE62" s="3">
        <f t="shared" ca="1" si="74"/>
        <v>5.9707440877526344E-2</v>
      </c>
      <c r="AF62" s="3">
        <f t="shared" ca="1" si="74"/>
        <v>8.7359856541488853E-2</v>
      </c>
      <c r="AG62" s="3">
        <f t="shared" ca="1" si="74"/>
        <v>6.7064678256661805E-2</v>
      </c>
      <c r="AH62" s="3">
        <f t="shared" ca="1" si="74"/>
        <v>9.8275385961712342E-2</v>
      </c>
      <c r="AI62" s="3">
        <f t="shared" ca="1" si="74"/>
        <v>0.10824007329217356</v>
      </c>
      <c r="AJ62" s="3">
        <f t="shared" ca="1" si="74"/>
        <v>0.14476799401159857</v>
      </c>
    </row>
    <row r="63" spans="1:36" x14ac:dyDescent="0.35">
      <c r="A63" t="s">
        <v>77</v>
      </c>
      <c r="B63" t="s">
        <v>76</v>
      </c>
      <c r="C63" s="4">
        <v>1</v>
      </c>
      <c r="D63" s="3">
        <f ca="1">MIN(0.99,D6+$O$3)</f>
        <v>2.3908730040489004E-2</v>
      </c>
      <c r="E63" s="3">
        <f t="shared" ref="E63:AA74" ca="1" si="75">MIN(0.99,E6+$O$3)</f>
        <v>2.369275958934498E-2</v>
      </c>
      <c r="F63" s="3">
        <f t="shared" ca="1" si="75"/>
        <v>2.7065254023714277E-2</v>
      </c>
      <c r="G63" s="3">
        <f t="shared" ca="1" si="75"/>
        <v>2.5527641371260769E-2</v>
      </c>
      <c r="H63" s="3">
        <f t="shared" ca="1" si="75"/>
        <v>2.8354596079552298E-2</v>
      </c>
      <c r="I63" s="3">
        <f t="shared" ca="1" si="75"/>
        <v>2.6997298520200823E-2</v>
      </c>
      <c r="J63" s="3">
        <f t="shared" ca="1" si="75"/>
        <v>3.1600602136854727E-2</v>
      </c>
      <c r="K63" s="3">
        <f t="shared" ca="1" si="75"/>
        <v>2.7736121486817845E-2</v>
      </c>
      <c r="L63" s="3">
        <f t="shared" ca="1" si="75"/>
        <v>3.4033100746591133E-2</v>
      </c>
      <c r="M63" s="3">
        <f t="shared" ca="1" si="75"/>
        <v>2.9691299787420335E-2</v>
      </c>
      <c r="N63" s="3">
        <f t="shared" ca="1" si="75"/>
        <v>3.535214176909323E-2</v>
      </c>
      <c r="O63" s="3">
        <f t="shared" ca="1" si="75"/>
        <v>3.1971978322727919E-2</v>
      </c>
      <c r="P63" s="3">
        <f t="shared" ca="1" si="75"/>
        <v>3.7558639327613129E-2</v>
      </c>
      <c r="Q63" s="3">
        <f t="shared" ca="1" si="75"/>
        <v>3.4890840096464655E-2</v>
      </c>
      <c r="R63" s="3">
        <f t="shared" ca="1" si="75"/>
        <v>3.8149829134986844E-2</v>
      </c>
      <c r="S63" s="3">
        <f t="shared" ca="1" si="75"/>
        <v>3.7256767413286852E-2</v>
      </c>
      <c r="T63" s="3">
        <f t="shared" ca="1" si="75"/>
        <v>4.0955356432827182E-2</v>
      </c>
      <c r="U63" s="3">
        <f t="shared" ca="1" si="75"/>
        <v>3.8548173535937556E-2</v>
      </c>
      <c r="V63" s="3">
        <f t="shared" ca="1" si="75"/>
        <v>4.4237186900709817E-2</v>
      </c>
      <c r="W63" s="3">
        <f t="shared" ca="1" si="75"/>
        <v>3.8813908283122686E-2</v>
      </c>
      <c r="X63" s="3">
        <f t="shared" ca="1" si="75"/>
        <v>4.855551760927463E-2</v>
      </c>
      <c r="Y63" s="3">
        <f t="shared" ca="1" si="75"/>
        <v>4.6032981014679272E-2</v>
      </c>
      <c r="Z63" s="3">
        <f t="shared" ca="1" si="75"/>
        <v>6.2024006264654374E-2</v>
      </c>
      <c r="AA63" s="3">
        <f t="shared" ca="1" si="75"/>
        <v>4.8051025377003398E-2</v>
      </c>
      <c r="AB63" s="3">
        <f ca="1">MIN(0.99,AB6+$O$3)</f>
        <v>7.0531951163118653E-2</v>
      </c>
      <c r="AC63" s="3">
        <f t="shared" ref="AC63:AJ78" ca="1" si="76">MIN(0.99,AC6+$O$3)</f>
        <v>5.7828239336492449E-2</v>
      </c>
      <c r="AD63" s="3">
        <f t="shared" ca="1" si="76"/>
        <v>8.0263963203492286E-2</v>
      </c>
      <c r="AE63" s="3">
        <f t="shared" ca="1" si="76"/>
        <v>6.3556299736701696E-2</v>
      </c>
      <c r="AF63" s="3">
        <f t="shared" ca="1" si="76"/>
        <v>9.1152494778641707E-2</v>
      </c>
      <c r="AG63" s="3">
        <f t="shared" ca="1" si="76"/>
        <v>7.0867218863220477E-2</v>
      </c>
      <c r="AH63" s="3">
        <f t="shared" ca="1" si="76"/>
        <v>0.10181323864069702</v>
      </c>
      <c r="AI63" s="3">
        <f t="shared" ca="1" si="76"/>
        <v>0.11219578216772846</v>
      </c>
      <c r="AJ63" s="3">
        <f t="shared" ca="1" si="76"/>
        <v>0.14871935954470406</v>
      </c>
    </row>
    <row r="64" spans="1:36" x14ac:dyDescent="0.35">
      <c r="A64" t="s">
        <v>77</v>
      </c>
      <c r="B64" t="s">
        <v>76</v>
      </c>
      <c r="C64" s="4" t="s">
        <v>64</v>
      </c>
      <c r="D64" s="3">
        <f t="shared" ref="D64:S119" ca="1" si="77">MIN(0.99,D7+$O$3)</f>
        <v>2.4892324816027142E-2</v>
      </c>
      <c r="E64" s="3">
        <f t="shared" ca="1" si="77"/>
        <v>2.4664888581433141E-2</v>
      </c>
      <c r="F64" s="3">
        <f t="shared" ca="1" si="77"/>
        <v>2.8032784788317559E-2</v>
      </c>
      <c r="G64" s="3">
        <f t="shared" ca="1" si="77"/>
        <v>2.6508750035148548E-2</v>
      </c>
      <c r="H64" s="3">
        <f t="shared" ca="1" si="77"/>
        <v>2.9348976620298887E-2</v>
      </c>
      <c r="I64" s="3">
        <f t="shared" ca="1" si="77"/>
        <v>2.7937502350026198E-2</v>
      </c>
      <c r="J64" s="3">
        <f t="shared" ca="1" si="77"/>
        <v>3.2504474093247138E-2</v>
      </c>
      <c r="K64" s="3">
        <f t="shared" ca="1" si="77"/>
        <v>2.8726190346769709E-2</v>
      </c>
      <c r="L64" s="3">
        <f t="shared" ca="1" si="77"/>
        <v>3.49714759243792E-2</v>
      </c>
      <c r="M64" s="3">
        <f t="shared" ca="1" si="77"/>
        <v>3.0615874112247213E-2</v>
      </c>
      <c r="N64" s="3">
        <f t="shared" ca="1" si="77"/>
        <v>3.6348704871006665E-2</v>
      </c>
      <c r="O64" s="3">
        <f t="shared" ca="1" si="77"/>
        <v>3.2943320518571892E-2</v>
      </c>
      <c r="P64" s="3">
        <f t="shared" ca="1" si="77"/>
        <v>3.8533569136115914E-2</v>
      </c>
      <c r="Q64" s="3">
        <f t="shared" ca="1" si="77"/>
        <v>3.5863043207485366E-2</v>
      </c>
      <c r="R64" s="3">
        <f t="shared" ca="1" si="77"/>
        <v>3.9137019195287559E-2</v>
      </c>
      <c r="S64" s="3">
        <f t="shared" ca="1" si="77"/>
        <v>3.8168401506629784E-2</v>
      </c>
      <c r="T64" s="3">
        <f t="shared" ca="1" si="75"/>
        <v>4.1893447229638392E-2</v>
      </c>
      <c r="U64" s="3">
        <f t="shared" ca="1" si="75"/>
        <v>3.9477177760085594E-2</v>
      </c>
      <c r="V64" s="3">
        <f t="shared" ca="1" si="75"/>
        <v>4.52328414459605E-2</v>
      </c>
      <c r="W64" s="3">
        <f t="shared" ca="1" si="75"/>
        <v>3.9790701080505753E-2</v>
      </c>
      <c r="X64" s="3">
        <f t="shared" ca="1" si="75"/>
        <v>4.9507808972240025E-2</v>
      </c>
      <c r="Y64" s="3">
        <f t="shared" ca="1" si="75"/>
        <v>4.7023842921381384E-2</v>
      </c>
      <c r="Z64" s="3">
        <f t="shared" ca="1" si="75"/>
        <v>6.3016372959340552E-2</v>
      </c>
      <c r="AA64" s="3">
        <f t="shared" ca="1" si="75"/>
        <v>4.9028413948074522E-2</v>
      </c>
      <c r="AB64" s="3">
        <f t="shared" ref="AB64:AJ64" ca="1" si="78">MIN(0.99,AB7+$O$3)</f>
        <v>7.1500111257332619E-2</v>
      </c>
      <c r="AC64" s="3">
        <f t="shared" ca="1" si="78"/>
        <v>5.8822204309944351E-2</v>
      </c>
      <c r="AD64" s="3">
        <f t="shared" ca="1" si="78"/>
        <v>8.1194924649532083E-2</v>
      </c>
      <c r="AE64" s="3">
        <f t="shared" ca="1" si="78"/>
        <v>6.4514275720748776E-2</v>
      </c>
      <c r="AF64" s="3">
        <f t="shared" ca="1" si="78"/>
        <v>9.2132990314950342E-2</v>
      </c>
      <c r="AG64" s="3">
        <f t="shared" ca="1" si="78"/>
        <v>7.1770933949210192E-2</v>
      </c>
      <c r="AH64" s="3">
        <f t="shared" ca="1" si="78"/>
        <v>0.10275274543311835</v>
      </c>
      <c r="AI64" s="3">
        <f t="shared" ca="1" si="78"/>
        <v>0.11317818655415454</v>
      </c>
      <c r="AJ64" s="3">
        <f t="shared" ca="1" si="78"/>
        <v>0.14963798559030422</v>
      </c>
    </row>
    <row r="65" spans="1:36" x14ac:dyDescent="0.35">
      <c r="A65" t="s">
        <v>77</v>
      </c>
      <c r="B65" t="s">
        <v>76</v>
      </c>
      <c r="C65" s="4">
        <v>2</v>
      </c>
      <c r="D65" s="3">
        <f t="shared" ca="1" si="77"/>
        <v>2.5817528312323576E-2</v>
      </c>
      <c r="E65" s="3">
        <f t="shared" ca="1" si="75"/>
        <v>2.5566149816306789E-2</v>
      </c>
      <c r="F65" s="3">
        <f t="shared" ca="1" si="75"/>
        <v>2.8978627768809731E-2</v>
      </c>
      <c r="G65" s="3">
        <f t="shared" ca="1" si="75"/>
        <v>2.7470913026603545E-2</v>
      </c>
      <c r="H65" s="3">
        <f t="shared" ca="1" si="75"/>
        <v>3.0306522340379758E-2</v>
      </c>
      <c r="I65" s="3">
        <f t="shared" ca="1" si="75"/>
        <v>2.8886685465258254E-2</v>
      </c>
      <c r="J65" s="3">
        <f t="shared" ca="1" si="75"/>
        <v>3.349815220200332E-2</v>
      </c>
      <c r="K65" s="3">
        <f t="shared" ca="1" si="75"/>
        <v>2.9674680705582723E-2</v>
      </c>
      <c r="L65" s="3">
        <f t="shared" ca="1" si="75"/>
        <v>3.5918542449390634E-2</v>
      </c>
      <c r="M65" s="3">
        <f t="shared" ca="1" si="75"/>
        <v>3.1559779056980417E-2</v>
      </c>
      <c r="N65" s="3">
        <f t="shared" ca="1" si="75"/>
        <v>3.7308612899572706E-2</v>
      </c>
      <c r="O65" s="3">
        <f t="shared" ca="1" si="75"/>
        <v>3.3934162095903921E-2</v>
      </c>
      <c r="P65" s="3">
        <f t="shared" ca="1" si="75"/>
        <v>3.9461693099977574E-2</v>
      </c>
      <c r="Q65" s="3">
        <f t="shared" ca="1" si="75"/>
        <v>3.6807732661917128E-2</v>
      </c>
      <c r="R65" s="3">
        <f t="shared" ca="1" si="75"/>
        <v>4.0131513792248386E-2</v>
      </c>
      <c r="S65" s="3">
        <f t="shared" ca="1" si="75"/>
        <v>3.914709796134639E-2</v>
      </c>
      <c r="T65" s="3">
        <f t="shared" ca="1" si="75"/>
        <v>4.2890961198724535E-2</v>
      </c>
      <c r="U65" s="3">
        <f t="shared" ca="1" si="75"/>
        <v>4.0398899535181332E-2</v>
      </c>
      <c r="V65" s="3">
        <f t="shared" ca="1" si="75"/>
        <v>4.6197306942898669E-2</v>
      </c>
      <c r="W65" s="3">
        <f t="shared" ca="1" si="75"/>
        <v>4.0770584804372609E-2</v>
      </c>
      <c r="X65" s="3">
        <f t="shared" ca="1" si="75"/>
        <v>5.0502821120018526E-2</v>
      </c>
      <c r="Y65" s="3">
        <f t="shared" ca="1" si="75"/>
        <v>4.7931889092613977E-2</v>
      </c>
      <c r="Z65" s="3">
        <f t="shared" ca="1" si="75"/>
        <v>6.3982483899587883E-2</v>
      </c>
      <c r="AA65" s="3">
        <f t="shared" ca="1" si="75"/>
        <v>4.9984141786841935E-2</v>
      </c>
      <c r="AB65" s="3">
        <f t="shared" ref="AB65" ca="1" si="79">MIN(0.99,AB8+$O$3)</f>
        <v>7.2495649935478745E-2</v>
      </c>
      <c r="AC65" s="3">
        <f t="shared" ca="1" si="76"/>
        <v>5.980177281745775E-2</v>
      </c>
      <c r="AD65" s="3">
        <f t="shared" ca="1" si="76"/>
        <v>8.2132497473260263E-2</v>
      </c>
      <c r="AE65" s="3">
        <f t="shared" ca="1" si="76"/>
        <v>6.548218361503047E-2</v>
      </c>
      <c r="AF65" s="3">
        <f t="shared" ca="1" si="76"/>
        <v>9.3118026132022302E-2</v>
      </c>
      <c r="AG65" s="3">
        <f t="shared" ca="1" si="76"/>
        <v>7.268356211371392E-2</v>
      </c>
      <c r="AH65" s="3">
        <f t="shared" ca="1" si="76"/>
        <v>0.10374436361981801</v>
      </c>
      <c r="AI65" s="3">
        <f t="shared" ca="1" si="76"/>
        <v>0.11412231678170315</v>
      </c>
      <c r="AJ65" s="3">
        <f t="shared" ca="1" si="76"/>
        <v>0.15057057776785329</v>
      </c>
    </row>
    <row r="66" spans="1:36" x14ac:dyDescent="0.35">
      <c r="A66" t="s">
        <v>77</v>
      </c>
      <c r="B66" t="s">
        <v>76</v>
      </c>
      <c r="C66" s="4" t="s">
        <v>65</v>
      </c>
      <c r="D66" s="3">
        <f t="shared" ca="1" si="77"/>
        <v>2.6783064581378649E-2</v>
      </c>
      <c r="E66" s="3">
        <f t="shared" ca="1" si="75"/>
        <v>2.6548357170842224E-2</v>
      </c>
      <c r="F66" s="3">
        <f t="shared" ca="1" si="75"/>
        <v>2.9954033842858902E-2</v>
      </c>
      <c r="G66" s="3">
        <f t="shared" ca="1" si="75"/>
        <v>2.8438331316003665E-2</v>
      </c>
      <c r="H66" s="3">
        <f t="shared" ca="1" si="75"/>
        <v>3.1301319637788691E-2</v>
      </c>
      <c r="I66" s="3">
        <f t="shared" ca="1" si="75"/>
        <v>2.9880286467005683E-2</v>
      </c>
      <c r="J66" s="3">
        <f t="shared" ca="1" si="75"/>
        <v>3.4498099143199873E-2</v>
      </c>
      <c r="K66" s="3">
        <f t="shared" ca="1" si="75"/>
        <v>3.0606493392256233E-2</v>
      </c>
      <c r="L66" s="3">
        <f t="shared" ca="1" si="75"/>
        <v>3.6916945717602151E-2</v>
      </c>
      <c r="M66" s="3">
        <f t="shared" ca="1" si="75"/>
        <v>3.2523386305733148E-2</v>
      </c>
      <c r="N66" s="3">
        <f t="shared" ca="1" si="75"/>
        <v>3.8226101717636359E-2</v>
      </c>
      <c r="O66" s="3">
        <f t="shared" ca="1" si="75"/>
        <v>3.4879166913288705E-2</v>
      </c>
      <c r="P66" s="3">
        <f t="shared" ca="1" si="75"/>
        <v>4.0420262118930468E-2</v>
      </c>
      <c r="Q66" s="3">
        <f t="shared" ca="1" si="75"/>
        <v>3.7723458355925374E-2</v>
      </c>
      <c r="R66" s="3">
        <f t="shared" ca="1" si="75"/>
        <v>4.1042224596413546E-2</v>
      </c>
      <c r="S66" s="3">
        <f t="shared" ca="1" si="75"/>
        <v>4.0111915789047818E-2</v>
      </c>
      <c r="T66" s="3">
        <f t="shared" ca="1" si="75"/>
        <v>4.3879542280953712E-2</v>
      </c>
      <c r="U66" s="3">
        <f t="shared" ca="1" si="75"/>
        <v>4.1323491915391142E-2</v>
      </c>
      <c r="V66" s="3">
        <f t="shared" ca="1" si="75"/>
        <v>4.7147189124835481E-2</v>
      </c>
      <c r="W66" s="3">
        <f t="shared" ca="1" si="75"/>
        <v>4.1689423310480013E-2</v>
      </c>
      <c r="X66" s="3">
        <f t="shared" ca="1" si="75"/>
        <v>5.1486027651261618E-2</v>
      </c>
      <c r="Y66" s="3">
        <f t="shared" ca="1" si="75"/>
        <v>4.8920292491510059E-2</v>
      </c>
      <c r="Z66" s="3">
        <f t="shared" ca="1" si="75"/>
        <v>6.4954689444067709E-2</v>
      </c>
      <c r="AA66" s="3">
        <f t="shared" ca="1" si="75"/>
        <v>5.0983124688247505E-2</v>
      </c>
      <c r="AB66" s="3">
        <f t="shared" ref="AB66" ca="1" si="80">MIN(0.99,AB9+$O$3)</f>
        <v>7.3404865439959222E-2</v>
      </c>
      <c r="AC66" s="3">
        <f t="shared" ca="1" si="76"/>
        <v>6.0729296613929326E-2</v>
      </c>
      <c r="AD66" s="3">
        <f t="shared" ca="1" si="76"/>
        <v>8.3045763044017729E-2</v>
      </c>
      <c r="AE66" s="3">
        <f t="shared" ca="1" si="76"/>
        <v>6.6448810065226876E-2</v>
      </c>
      <c r="AF66" s="3">
        <f t="shared" ca="1" si="76"/>
        <v>9.4059564159562625E-2</v>
      </c>
      <c r="AG66" s="3">
        <f t="shared" ca="1" si="76"/>
        <v>7.36292203631769E-2</v>
      </c>
      <c r="AH66" s="3">
        <f t="shared" ca="1" si="76"/>
        <v>0.10467639692437575</v>
      </c>
      <c r="AI66" s="3">
        <f t="shared" ca="1" si="76"/>
        <v>0.11502693446209922</v>
      </c>
      <c r="AJ66" s="3">
        <f t="shared" ca="1" si="76"/>
        <v>0.15154648553299341</v>
      </c>
    </row>
    <row r="67" spans="1:36" x14ac:dyDescent="0.35">
      <c r="A67" t="s">
        <v>77</v>
      </c>
      <c r="B67" t="s">
        <v>76</v>
      </c>
      <c r="C67" s="4" t="s">
        <v>66</v>
      </c>
      <c r="D67" s="3">
        <f t="shared" ca="1" si="77"/>
        <v>2.7692267764479056E-2</v>
      </c>
      <c r="E67" s="3">
        <f t="shared" ca="1" si="75"/>
        <v>2.7482017224127867E-2</v>
      </c>
      <c r="F67" s="3">
        <f t="shared" ca="1" si="75"/>
        <v>3.0893937003893292E-2</v>
      </c>
      <c r="G67" s="3">
        <f t="shared" ca="1" si="75"/>
        <v>2.9369271064742485E-2</v>
      </c>
      <c r="H67" s="3">
        <f t="shared" ca="1" si="75"/>
        <v>3.2214598425263863E-2</v>
      </c>
      <c r="I67" s="3">
        <f t="shared" ca="1" si="75"/>
        <v>3.0805907695228351E-2</v>
      </c>
      <c r="J67" s="3">
        <f t="shared" ca="1" si="75"/>
        <v>3.5455627108915699E-2</v>
      </c>
      <c r="K67" s="3">
        <f t="shared" ca="1" si="75"/>
        <v>3.156894453724194E-2</v>
      </c>
      <c r="L67" s="3">
        <f t="shared" ca="1" si="75"/>
        <v>3.7894955732267338E-2</v>
      </c>
      <c r="M67" s="3">
        <f t="shared" ca="1" si="75"/>
        <v>3.3430498036445107E-2</v>
      </c>
      <c r="N67" s="3">
        <f t="shared" ca="1" si="75"/>
        <v>3.9206448433461633E-2</v>
      </c>
      <c r="O67" s="3">
        <f t="shared" ca="1" si="75"/>
        <v>3.5809673988677175E-2</v>
      </c>
      <c r="P67" s="3">
        <f t="shared" ca="1" si="75"/>
        <v>4.1369095809646206E-2</v>
      </c>
      <c r="Q67" s="3">
        <f t="shared" ca="1" si="75"/>
        <v>3.8624318292137978E-2</v>
      </c>
      <c r="R67" s="3">
        <f t="shared" ca="1" si="75"/>
        <v>4.2020270576618945E-2</v>
      </c>
      <c r="S67" s="3">
        <f t="shared" ca="1" si="75"/>
        <v>4.1033599829350294E-2</v>
      </c>
      <c r="T67" s="3">
        <f t="shared" ca="1" si="75"/>
        <v>4.4809126546758941E-2</v>
      </c>
      <c r="U67" s="3">
        <f t="shared" ca="1" si="75"/>
        <v>4.2230744185364849E-2</v>
      </c>
      <c r="V67" s="3">
        <f t="shared" ca="1" si="75"/>
        <v>4.8118359278886469E-2</v>
      </c>
      <c r="W67" s="3">
        <f t="shared" ca="1" si="75"/>
        <v>4.2594034081455664E-2</v>
      </c>
      <c r="X67" s="3">
        <f t="shared" ca="1" si="75"/>
        <v>5.2459676690594051E-2</v>
      </c>
      <c r="Y67" s="3">
        <f t="shared" ca="1" si="75"/>
        <v>4.9874524292812659E-2</v>
      </c>
      <c r="Z67" s="3">
        <f t="shared" ca="1" si="75"/>
        <v>6.5870599307143105E-2</v>
      </c>
      <c r="AA67" s="3">
        <f t="shared" ca="1" si="75"/>
        <v>5.1893097680869339E-2</v>
      </c>
      <c r="AB67" s="3">
        <f t="shared" ref="AB67" ca="1" si="81">MIN(0.99,AB10+$O$3)</f>
        <v>7.4326774550978886E-2</v>
      </c>
      <c r="AC67" s="3">
        <f t="shared" ca="1" si="76"/>
        <v>6.1686551037000145E-2</v>
      </c>
      <c r="AD67" s="3">
        <f t="shared" ca="1" si="76"/>
        <v>8.4010544036173251E-2</v>
      </c>
      <c r="AE67" s="3">
        <f t="shared" ca="1" si="76"/>
        <v>6.7448747984171734E-2</v>
      </c>
      <c r="AF67" s="3">
        <f t="shared" ca="1" si="76"/>
        <v>9.5049648298112466E-2</v>
      </c>
      <c r="AG67" s="3">
        <f t="shared" ca="1" si="76"/>
        <v>7.4553473582291474E-2</v>
      </c>
      <c r="AH67" s="3">
        <f t="shared" ca="1" si="76"/>
        <v>0.10566570839302933</v>
      </c>
      <c r="AI67" s="3">
        <f t="shared" ca="1" si="76"/>
        <v>0.11597015106122591</v>
      </c>
      <c r="AJ67" s="3">
        <f t="shared" ca="1" si="76"/>
        <v>0.15249818303859589</v>
      </c>
    </row>
    <row r="68" spans="1:36" x14ac:dyDescent="0.35">
      <c r="A68" t="s">
        <v>77</v>
      </c>
      <c r="B68" t="s">
        <v>76</v>
      </c>
      <c r="C68" s="4">
        <v>3</v>
      </c>
      <c r="D68" s="3">
        <f t="shared" ca="1" si="77"/>
        <v>2.8594274478868316E-2</v>
      </c>
      <c r="E68" s="3">
        <f t="shared" ca="1" si="75"/>
        <v>2.8419047984716422E-2</v>
      </c>
      <c r="F68" s="3">
        <f t="shared" ca="1" si="75"/>
        <v>3.1890566977303678E-2</v>
      </c>
      <c r="G68" s="3">
        <f t="shared" ca="1" si="75"/>
        <v>3.0314793968492373E-2</v>
      </c>
      <c r="H68" s="3">
        <f t="shared" ca="1" si="75"/>
        <v>3.313030804481272E-2</v>
      </c>
      <c r="I68" s="3">
        <f t="shared" ca="1" si="75"/>
        <v>3.179647134402637E-2</v>
      </c>
      <c r="J68" s="3">
        <f t="shared" ca="1" si="75"/>
        <v>3.6384795807367962E-2</v>
      </c>
      <c r="K68" s="3">
        <f t="shared" ca="1" si="75"/>
        <v>3.2477846831730321E-2</v>
      </c>
      <c r="L68" s="3">
        <f t="shared" ca="1" si="75"/>
        <v>3.8854790669011194E-2</v>
      </c>
      <c r="M68" s="3">
        <f t="shared" ca="1" si="75"/>
        <v>3.4348462197499034E-2</v>
      </c>
      <c r="N68" s="3">
        <f t="shared" ca="1" si="75"/>
        <v>4.0158650349272497E-2</v>
      </c>
      <c r="O68" s="3">
        <f t="shared" ca="1" si="75"/>
        <v>3.673439446898339E-2</v>
      </c>
      <c r="P68" s="3">
        <f t="shared" ca="1" si="75"/>
        <v>4.2289279928888368E-2</v>
      </c>
      <c r="Q68" s="3">
        <f t="shared" ca="1" si="75"/>
        <v>3.9524890609761928E-2</v>
      </c>
      <c r="R68" s="3">
        <f t="shared" ca="1" si="75"/>
        <v>4.299757761955373E-2</v>
      </c>
      <c r="S68" s="3">
        <f t="shared" ca="1" si="75"/>
        <v>4.1971163398076258E-2</v>
      </c>
      <c r="T68" s="3">
        <f t="shared" ca="1" si="75"/>
        <v>4.5794883616490492E-2</v>
      </c>
      <c r="U68" s="3">
        <f t="shared" ca="1" si="75"/>
        <v>4.3211801856654325E-2</v>
      </c>
      <c r="V68" s="3">
        <f t="shared" ca="1" si="75"/>
        <v>4.9111470461537798E-2</v>
      </c>
      <c r="W68" s="3">
        <f t="shared" ca="1" si="75"/>
        <v>4.3565481561719951E-2</v>
      </c>
      <c r="X68" s="3">
        <f t="shared" ca="1" si="75"/>
        <v>5.3422693033801906E-2</v>
      </c>
      <c r="Y68" s="3">
        <f t="shared" ca="1" si="75"/>
        <v>5.0803373949168701E-2</v>
      </c>
      <c r="Z68" s="3">
        <f t="shared" ca="1" si="75"/>
        <v>6.6864061056313179E-2</v>
      </c>
      <c r="AA68" s="3">
        <f t="shared" ca="1" si="75"/>
        <v>5.2875872752425182E-2</v>
      </c>
      <c r="AB68" s="3">
        <f t="shared" ref="AB68" ca="1" si="82">MIN(0.99,AB11+$O$3)</f>
        <v>7.5276655642735779E-2</v>
      </c>
      <c r="AC68" s="3">
        <f t="shared" ca="1" si="76"/>
        <v>6.2652044479067193E-2</v>
      </c>
      <c r="AD68" s="3">
        <f t="shared" ca="1" si="76"/>
        <v>8.49953640537498E-2</v>
      </c>
      <c r="AE68" s="3">
        <f t="shared" ca="1" si="76"/>
        <v>6.8414545083608141E-2</v>
      </c>
      <c r="AF68" s="3">
        <f t="shared" ca="1" si="76"/>
        <v>9.5981951926338738E-2</v>
      </c>
      <c r="AG68" s="3">
        <f t="shared" ca="1" si="76"/>
        <v>7.5512760441136181E-2</v>
      </c>
      <c r="AH68" s="3">
        <f t="shared" ca="1" si="76"/>
        <v>0.1066289161173318</v>
      </c>
      <c r="AI68" s="3">
        <f t="shared" ca="1" si="76"/>
        <v>0.11691174807433977</v>
      </c>
      <c r="AJ68" s="3">
        <f t="shared" ca="1" si="76"/>
        <v>0.153479006397433</v>
      </c>
    </row>
    <row r="69" spans="1:36" x14ac:dyDescent="0.35">
      <c r="A69" t="s">
        <v>77</v>
      </c>
      <c r="B69" t="s">
        <v>76</v>
      </c>
      <c r="C69" s="4" t="s">
        <v>67</v>
      </c>
      <c r="D69" s="3">
        <f t="shared" ca="1" si="77"/>
        <v>2.9507261778063103E-2</v>
      </c>
      <c r="E69" s="3">
        <f t="shared" ca="1" si="75"/>
        <v>2.9418664309336529E-2</v>
      </c>
      <c r="F69" s="3">
        <f t="shared" ca="1" si="75"/>
        <v>3.2838970215703533E-2</v>
      </c>
      <c r="G69" s="3">
        <f t="shared" ca="1" si="75"/>
        <v>3.1270226620715602E-2</v>
      </c>
      <c r="H69" s="3">
        <f t="shared" ca="1" si="75"/>
        <v>3.4039422900349246E-2</v>
      </c>
      <c r="I69" s="3">
        <f t="shared" ca="1" si="75"/>
        <v>3.27667726542578E-2</v>
      </c>
      <c r="J69" s="3">
        <f t="shared" ca="1" si="75"/>
        <v>3.7288327321147674E-2</v>
      </c>
      <c r="K69" s="3">
        <f t="shared" ca="1" si="75"/>
        <v>3.3430795894998783E-2</v>
      </c>
      <c r="L69" s="3">
        <f t="shared" ca="1" si="75"/>
        <v>3.9768354203950251E-2</v>
      </c>
      <c r="M69" s="3">
        <f t="shared" ca="1" si="75"/>
        <v>3.5280189412680622E-2</v>
      </c>
      <c r="N69" s="3">
        <f t="shared" ca="1" si="75"/>
        <v>4.1102802595216967E-2</v>
      </c>
      <c r="O69" s="3">
        <f t="shared" ca="1" si="75"/>
        <v>3.7724009327180286E-2</v>
      </c>
      <c r="P69" s="3">
        <f t="shared" ca="1" si="75"/>
        <v>4.3240793716714687E-2</v>
      </c>
      <c r="Q69" s="3">
        <f t="shared" ca="1" si="75"/>
        <v>4.0435578296083727E-2</v>
      </c>
      <c r="R69" s="3">
        <f t="shared" ca="1" si="75"/>
        <v>4.3982953570196909E-2</v>
      </c>
      <c r="S69" s="3">
        <f t="shared" ca="1" si="75"/>
        <v>4.2927661150257583E-2</v>
      </c>
      <c r="T69" s="3">
        <f t="shared" ca="1" si="75"/>
        <v>4.672637492791884E-2</v>
      </c>
      <c r="U69" s="3">
        <f t="shared" ca="1" si="75"/>
        <v>4.4137929393930311E-2</v>
      </c>
      <c r="V69" s="3">
        <f t="shared" ca="1" si="75"/>
        <v>5.0076623094779296E-2</v>
      </c>
      <c r="W69" s="3">
        <f t="shared" ca="1" si="75"/>
        <v>4.4519817399304551E-2</v>
      </c>
      <c r="X69" s="3">
        <f t="shared" ca="1" si="75"/>
        <v>5.4353232413125001E-2</v>
      </c>
      <c r="Y69" s="3">
        <f t="shared" ca="1" si="75"/>
        <v>5.1766792116739943E-2</v>
      </c>
      <c r="Z69" s="3">
        <f t="shared" ca="1" si="75"/>
        <v>6.7803547748534782E-2</v>
      </c>
      <c r="AA69" s="3">
        <f t="shared" ca="1" si="75"/>
        <v>5.3833864563171997E-2</v>
      </c>
      <c r="AB69" s="3">
        <f t="shared" ref="AB69" ca="1" si="83">MIN(0.99,AB12+$O$3)</f>
        <v>7.6192933576772773E-2</v>
      </c>
      <c r="AC69" s="3">
        <f t="shared" ca="1" si="76"/>
        <v>6.3576590048241455E-2</v>
      </c>
      <c r="AD69" s="3">
        <f t="shared" ca="1" si="76"/>
        <v>8.5905234727120111E-2</v>
      </c>
      <c r="AE69" s="3">
        <f t="shared" ca="1" si="76"/>
        <v>6.9374736740146159E-2</v>
      </c>
      <c r="AF69" s="3">
        <f t="shared" ca="1" si="76"/>
        <v>9.6918877030336498E-2</v>
      </c>
      <c r="AG69" s="3">
        <f t="shared" ca="1" si="76"/>
        <v>7.6491994473996211E-2</v>
      </c>
      <c r="AH69" s="3">
        <f t="shared" ca="1" si="76"/>
        <v>0.10759536511143114</v>
      </c>
      <c r="AI69" s="3">
        <f t="shared" ca="1" si="76"/>
        <v>0.11785622035793558</v>
      </c>
      <c r="AJ69" s="3">
        <f t="shared" ca="1" si="76"/>
        <v>0.1544006732661154</v>
      </c>
    </row>
    <row r="70" spans="1:36" x14ac:dyDescent="0.35">
      <c r="A70" t="s">
        <v>77</v>
      </c>
      <c r="B70" t="s">
        <v>76</v>
      </c>
      <c r="C70" s="4" t="s">
        <v>68</v>
      </c>
      <c r="D70" s="3">
        <f t="shared" ca="1" si="77"/>
        <v>3.0411162073923685E-2</v>
      </c>
      <c r="E70" s="3">
        <f t="shared" ca="1" si="75"/>
        <v>3.0416047310414942E-2</v>
      </c>
      <c r="F70" s="3">
        <f t="shared" ca="1" si="75"/>
        <v>3.3775310626386772E-2</v>
      </c>
      <c r="G70" s="3">
        <f t="shared" ca="1" si="75"/>
        <v>3.2213014889881812E-2</v>
      </c>
      <c r="H70" s="3">
        <f t="shared" ca="1" si="75"/>
        <v>3.4985507637467703E-2</v>
      </c>
      <c r="I70" s="3">
        <f t="shared" ca="1" si="75"/>
        <v>3.3727067324474079E-2</v>
      </c>
      <c r="J70" s="3">
        <f t="shared" ca="1" si="75"/>
        <v>3.8257844791897859E-2</v>
      </c>
      <c r="K70" s="3">
        <f t="shared" ca="1" si="75"/>
        <v>3.4371411213918006E-2</v>
      </c>
      <c r="L70" s="3">
        <f t="shared" ca="1" si="75"/>
        <v>4.0725915329527095E-2</v>
      </c>
      <c r="M70" s="3">
        <f t="shared" ca="1" si="75"/>
        <v>3.6244380702059542E-2</v>
      </c>
      <c r="N70" s="3">
        <f t="shared" ca="1" si="75"/>
        <v>4.2030669907762622E-2</v>
      </c>
      <c r="O70" s="3">
        <f t="shared" ca="1" si="75"/>
        <v>3.865686863908005E-2</v>
      </c>
      <c r="P70" s="3">
        <f t="shared" ca="1" si="75"/>
        <v>4.4169052522782207E-2</v>
      </c>
      <c r="Q70" s="3">
        <f t="shared" ca="1" si="75"/>
        <v>4.1431167292795015E-2</v>
      </c>
      <c r="R70" s="3">
        <f t="shared" ca="1" si="75"/>
        <v>4.4928124644433118E-2</v>
      </c>
      <c r="S70" s="3">
        <f t="shared" ca="1" si="75"/>
        <v>4.3904079725548731E-2</v>
      </c>
      <c r="T70" s="3">
        <f t="shared" ca="1" si="75"/>
        <v>4.7627034545963932E-2</v>
      </c>
      <c r="U70" s="3">
        <f t="shared" ca="1" si="75"/>
        <v>4.5051426722053492E-2</v>
      </c>
      <c r="V70" s="3">
        <f t="shared" ca="1" si="75"/>
        <v>5.1018589169893713E-2</v>
      </c>
      <c r="W70" s="3">
        <f t="shared" ca="1" si="75"/>
        <v>4.5446705133094289E-2</v>
      </c>
      <c r="X70" s="3">
        <f t="shared" ca="1" si="75"/>
        <v>5.5261785530811916E-2</v>
      </c>
      <c r="Y70" s="3">
        <f t="shared" ca="1" si="75"/>
        <v>5.2668926958263459E-2</v>
      </c>
      <c r="Z70" s="3">
        <f t="shared" ca="1" si="75"/>
        <v>6.8756592378378209E-2</v>
      </c>
      <c r="AA70" s="3">
        <f t="shared" ca="1" si="75"/>
        <v>5.4801426991201684E-2</v>
      </c>
      <c r="AB70" s="3">
        <f t="shared" ref="AB70" ca="1" si="84">MIN(0.99,AB13+$O$3)</f>
        <v>7.7150183509311909E-2</v>
      </c>
      <c r="AC70" s="3">
        <f t="shared" ca="1" si="76"/>
        <v>6.4500302626473507E-2</v>
      </c>
      <c r="AD70" s="3">
        <f t="shared" ca="1" si="76"/>
        <v>8.6847408599207032E-2</v>
      </c>
      <c r="AE70" s="3">
        <f t="shared" ca="1" si="76"/>
        <v>7.03099613560738E-2</v>
      </c>
      <c r="AF70" s="3">
        <f t="shared" ca="1" si="76"/>
        <v>9.7916984195258155E-2</v>
      </c>
      <c r="AG70" s="3">
        <f t="shared" ca="1" si="76"/>
        <v>7.7462096330036562E-2</v>
      </c>
      <c r="AH70" s="3">
        <f t="shared" ca="1" si="76"/>
        <v>0.10858023754932017</v>
      </c>
      <c r="AI70" s="3">
        <f t="shared" ca="1" si="76"/>
        <v>0.1188409572394854</v>
      </c>
      <c r="AJ70" s="3">
        <f t="shared" ca="1" si="76"/>
        <v>0.1553502311832837</v>
      </c>
    </row>
    <row r="71" spans="1:36" x14ac:dyDescent="0.35">
      <c r="A71" t="s">
        <v>77</v>
      </c>
      <c r="B71" t="s">
        <v>76</v>
      </c>
      <c r="C71" s="4">
        <v>4</v>
      </c>
      <c r="D71" s="3">
        <f t="shared" ca="1" si="77"/>
        <v>3.1352080057552509E-2</v>
      </c>
      <c r="E71" s="3">
        <f t="shared" ca="1" si="75"/>
        <v>3.1335862970965099E-2</v>
      </c>
      <c r="F71" s="3">
        <f t="shared" ca="1" si="75"/>
        <v>3.4714404863455735E-2</v>
      </c>
      <c r="G71" s="3">
        <f t="shared" ca="1" si="75"/>
        <v>3.3180053528096581E-2</v>
      </c>
      <c r="H71" s="3">
        <f t="shared" ca="1" si="75"/>
        <v>3.5938500514886569E-2</v>
      </c>
      <c r="I71" s="3">
        <f t="shared" ca="1" si="75"/>
        <v>3.4692401745204382E-2</v>
      </c>
      <c r="J71" s="3">
        <f t="shared" ca="1" si="75"/>
        <v>3.9211337789727754E-2</v>
      </c>
      <c r="K71" s="3">
        <f t="shared" ca="1" si="75"/>
        <v>3.5321227668681045E-2</v>
      </c>
      <c r="L71" s="3">
        <f t="shared" ca="1" si="75"/>
        <v>4.1642544522466123E-2</v>
      </c>
      <c r="M71" s="3">
        <f t="shared" ca="1" si="75"/>
        <v>3.7178911202820915E-2</v>
      </c>
      <c r="N71" s="3">
        <f t="shared" ca="1" si="75"/>
        <v>4.3019778838211876E-2</v>
      </c>
      <c r="O71" s="3">
        <f t="shared" ca="1" si="75"/>
        <v>3.9586177542232474E-2</v>
      </c>
      <c r="P71" s="3">
        <f t="shared" ca="1" si="75"/>
        <v>4.5090641902851461E-2</v>
      </c>
      <c r="Q71" s="3">
        <f t="shared" ca="1" si="75"/>
        <v>4.240556488615195E-2</v>
      </c>
      <c r="R71" s="3">
        <f t="shared" ca="1" si="75"/>
        <v>4.5927124797033682E-2</v>
      </c>
      <c r="S71" s="3">
        <f t="shared" ca="1" si="75"/>
        <v>4.4857040400956547E-2</v>
      </c>
      <c r="T71" s="3">
        <f t="shared" ca="1" si="75"/>
        <v>4.861172026215696E-2</v>
      </c>
      <c r="U71" s="3">
        <f t="shared" ca="1" si="75"/>
        <v>4.6009661121339349E-2</v>
      </c>
      <c r="V71" s="3">
        <f t="shared" ca="1" si="75"/>
        <v>5.1982982623372753E-2</v>
      </c>
      <c r="W71" s="3">
        <f t="shared" ca="1" si="75"/>
        <v>4.6386539195028886E-2</v>
      </c>
      <c r="X71" s="3">
        <f t="shared" ca="1" si="75"/>
        <v>5.6253493894606238E-2</v>
      </c>
      <c r="Y71" s="3">
        <f t="shared" ca="1" si="75"/>
        <v>5.3628156595537373E-2</v>
      </c>
      <c r="Z71" s="3">
        <f t="shared" ca="1" si="75"/>
        <v>6.9686007122657045E-2</v>
      </c>
      <c r="AA71" s="3">
        <f t="shared" ca="1" si="75"/>
        <v>5.5800871969292898E-2</v>
      </c>
      <c r="AB71" s="3">
        <f t="shared" ref="AB71" ca="1" si="85">MIN(0.99,AB14+$O$3)</f>
        <v>7.810002738124025E-2</v>
      </c>
      <c r="AC71" s="3">
        <f t="shared" ca="1" si="76"/>
        <v>6.5409454515623869E-2</v>
      </c>
      <c r="AD71" s="3">
        <f t="shared" ca="1" si="76"/>
        <v>8.7814558850557056E-2</v>
      </c>
      <c r="AE71" s="3">
        <f t="shared" ca="1" si="76"/>
        <v>7.1221019353694487E-2</v>
      </c>
      <c r="AF71" s="3">
        <f t="shared" ca="1" si="76"/>
        <v>9.8893395313038035E-2</v>
      </c>
      <c r="AG71" s="3">
        <f t="shared" ca="1" si="76"/>
        <v>7.8421156855715241E-2</v>
      </c>
      <c r="AH71" s="3">
        <f t="shared" ca="1" si="76"/>
        <v>0.10956906406684144</v>
      </c>
      <c r="AI71" s="3">
        <f t="shared" ca="1" si="76"/>
        <v>0.1197484377234154</v>
      </c>
      <c r="AJ71" s="3">
        <f t="shared" ca="1" si="76"/>
        <v>0.15634224271623046</v>
      </c>
    </row>
    <row r="72" spans="1:36" x14ac:dyDescent="0.35">
      <c r="A72" t="s">
        <v>77</v>
      </c>
      <c r="B72" t="s">
        <v>76</v>
      </c>
      <c r="C72" s="4" t="s">
        <v>69</v>
      </c>
      <c r="D72" s="3">
        <f t="shared" ca="1" si="77"/>
        <v>3.2252892781382041E-2</v>
      </c>
      <c r="E72" s="3">
        <f t="shared" ca="1" si="75"/>
        <v>3.2282405117157513E-2</v>
      </c>
      <c r="F72" s="3">
        <f t="shared" ca="1" si="75"/>
        <v>3.5672549182777569E-2</v>
      </c>
      <c r="G72" s="3">
        <f t="shared" ca="1" si="75"/>
        <v>3.4115228540177733E-2</v>
      </c>
      <c r="H72" s="3">
        <f t="shared" ca="1" si="75"/>
        <v>3.6904244730124561E-2</v>
      </c>
      <c r="I72" s="3">
        <f t="shared" ca="1" si="75"/>
        <v>3.5672427692525301E-2</v>
      </c>
      <c r="J72" s="3">
        <f t="shared" ca="1" si="75"/>
        <v>4.0198976618254542E-2</v>
      </c>
      <c r="K72" s="3">
        <f t="shared" ca="1" si="75"/>
        <v>3.6293996462293206E-2</v>
      </c>
      <c r="L72" s="3">
        <f t="shared" ca="1" si="75"/>
        <v>4.2608068838596982E-2</v>
      </c>
      <c r="M72" s="3">
        <f t="shared" ca="1" si="75"/>
        <v>3.8113425867899661E-2</v>
      </c>
      <c r="N72" s="3">
        <f t="shared" ca="1" si="75"/>
        <v>4.3948623098868628E-2</v>
      </c>
      <c r="O72" s="3">
        <f t="shared" ca="1" si="75"/>
        <v>4.0528040856690678E-2</v>
      </c>
      <c r="P72" s="3">
        <f t="shared" ca="1" si="75"/>
        <v>4.5995507346124669E-2</v>
      </c>
      <c r="Q72" s="3">
        <f t="shared" ca="1" si="75"/>
        <v>4.3403194391290964E-2</v>
      </c>
      <c r="R72" s="3">
        <f t="shared" ca="1" si="75"/>
        <v>4.6884104771294621E-2</v>
      </c>
      <c r="S72" s="3">
        <f t="shared" ca="1" si="75"/>
        <v>4.5800543029163913E-2</v>
      </c>
      <c r="T72" s="3">
        <f t="shared" ca="1" si="75"/>
        <v>4.9555396402967772E-2</v>
      </c>
      <c r="U72" s="3">
        <f t="shared" ca="1" si="75"/>
        <v>4.6954858093652511E-2</v>
      </c>
      <c r="V72" s="3">
        <f t="shared" ca="1" si="75"/>
        <v>5.2921535955726788E-2</v>
      </c>
      <c r="W72" s="3">
        <f t="shared" ca="1" si="75"/>
        <v>4.7300833425765097E-2</v>
      </c>
      <c r="X72" s="3">
        <f t="shared" ca="1" si="75"/>
        <v>5.7222654669474571E-2</v>
      </c>
      <c r="Y72" s="3">
        <f t="shared" ca="1" si="75"/>
        <v>5.4535037618145363E-2</v>
      </c>
      <c r="Z72" s="3">
        <f t="shared" ca="1" si="75"/>
        <v>7.0612495434711403E-2</v>
      </c>
      <c r="AA72" s="3">
        <f t="shared" ca="1" si="75"/>
        <v>5.6730030037916289E-2</v>
      </c>
      <c r="AB72" s="3">
        <f t="shared" ref="AB72" ca="1" si="86">MIN(0.99,AB15+$O$3)</f>
        <v>7.9084024443282025E-2</v>
      </c>
      <c r="AC72" s="3">
        <f t="shared" ca="1" si="76"/>
        <v>6.6396203139463678E-2</v>
      </c>
      <c r="AD72" s="3">
        <f t="shared" ca="1" si="76"/>
        <v>8.8739844545102614E-2</v>
      </c>
      <c r="AE72" s="3">
        <f t="shared" ca="1" si="76"/>
        <v>7.2189370734790287E-2</v>
      </c>
      <c r="AF72" s="3">
        <f t="shared" ca="1" si="76"/>
        <v>9.9859734385545962E-2</v>
      </c>
      <c r="AG72" s="3">
        <f t="shared" ca="1" si="76"/>
        <v>7.9399467951680125E-2</v>
      </c>
      <c r="AH72" s="3">
        <f t="shared" ca="1" si="76"/>
        <v>0.11054306769887337</v>
      </c>
      <c r="AI72" s="3">
        <f t="shared" ca="1" si="76"/>
        <v>0.12070312910221692</v>
      </c>
      <c r="AJ72" s="3">
        <f t="shared" ca="1" si="76"/>
        <v>0.15733512323311782</v>
      </c>
    </row>
    <row r="73" spans="1:36" x14ac:dyDescent="0.35">
      <c r="A73" t="s">
        <v>77</v>
      </c>
      <c r="B73" t="s">
        <v>76</v>
      </c>
      <c r="C73" s="4" t="s">
        <v>70</v>
      </c>
      <c r="D73" s="3">
        <f t="shared" ca="1" si="77"/>
        <v>3.3217907175117987E-2</v>
      </c>
      <c r="E73" s="3">
        <f t="shared" ca="1" si="75"/>
        <v>3.3260425210607333E-2</v>
      </c>
      <c r="F73" s="3">
        <f t="shared" ca="1" si="75"/>
        <v>3.6604297579761275E-2</v>
      </c>
      <c r="G73" s="3">
        <f t="shared" ca="1" si="75"/>
        <v>3.5098446303545576E-2</v>
      </c>
      <c r="H73" s="3">
        <f t="shared" ca="1" si="75"/>
        <v>3.7821406506635007E-2</v>
      </c>
      <c r="I73" s="3">
        <f t="shared" ca="1" si="75"/>
        <v>3.6613072348121646E-2</v>
      </c>
      <c r="J73" s="3">
        <f t="shared" ca="1" si="75"/>
        <v>4.1120896269045963E-2</v>
      </c>
      <c r="K73" s="3">
        <f t="shared" ca="1" si="75"/>
        <v>3.7225934381121033E-2</v>
      </c>
      <c r="L73" s="3">
        <f t="shared" ca="1" si="75"/>
        <v>4.3538076483926311E-2</v>
      </c>
      <c r="M73" s="3">
        <f t="shared" ca="1" si="75"/>
        <v>3.9019057466010032E-2</v>
      </c>
      <c r="N73" s="3">
        <f t="shared" ca="1" si="75"/>
        <v>4.4896820231957638E-2</v>
      </c>
      <c r="O73" s="3">
        <f t="shared" ca="1" si="75"/>
        <v>4.1470061928957996E-2</v>
      </c>
      <c r="P73" s="3">
        <f t="shared" ca="1" si="75"/>
        <v>4.6941357922615015E-2</v>
      </c>
      <c r="Q73" s="3">
        <f t="shared" ca="1" si="75"/>
        <v>4.4319654618823021E-2</v>
      </c>
      <c r="R73" s="3">
        <f t="shared" ca="1" si="75"/>
        <v>4.7878186785647481E-2</v>
      </c>
      <c r="S73" s="3">
        <f t="shared" ca="1" si="75"/>
        <v>4.6765688578388226E-2</v>
      </c>
      <c r="T73" s="3">
        <f t="shared" ca="1" si="75"/>
        <v>5.0501869293947177E-2</v>
      </c>
      <c r="U73" s="3">
        <f t="shared" ca="1" si="75"/>
        <v>4.7944137006687697E-2</v>
      </c>
      <c r="V73" s="3">
        <f t="shared" ca="1" si="75"/>
        <v>5.3911974268886637E-2</v>
      </c>
      <c r="W73" s="3">
        <f t="shared" ca="1" si="75"/>
        <v>4.8251466371785297E-2</v>
      </c>
      <c r="X73" s="3">
        <f t="shared" ca="1" si="75"/>
        <v>5.8157869967204394E-2</v>
      </c>
      <c r="Y73" s="3">
        <f t="shared" ca="1" si="75"/>
        <v>5.5474682437786686E-2</v>
      </c>
      <c r="Z73" s="3">
        <f t="shared" ca="1" si="75"/>
        <v>7.1578907339580083E-2</v>
      </c>
      <c r="AA73" s="3">
        <f t="shared" ca="1" si="75"/>
        <v>5.7661739532130232E-2</v>
      </c>
      <c r="AB73" s="3">
        <f t="shared" ref="AB73" ca="1" si="87">MIN(0.99,AB16+$O$3)</f>
        <v>8.0078184019322263E-2</v>
      </c>
      <c r="AC73" s="3">
        <f t="shared" ca="1" si="76"/>
        <v>6.7379430381883251E-2</v>
      </c>
      <c r="AD73" s="3">
        <f t="shared" ca="1" si="76"/>
        <v>8.9648648288481708E-2</v>
      </c>
      <c r="AE73" s="3">
        <f t="shared" ca="1" si="76"/>
        <v>7.3178590310255337E-2</v>
      </c>
      <c r="AF73" s="3">
        <f t="shared" ca="1" si="76"/>
        <v>0.10081151418939874</v>
      </c>
      <c r="AG73" s="3">
        <f t="shared" ca="1" si="76"/>
        <v>8.0361755985027414E-2</v>
      </c>
      <c r="AH73" s="3">
        <f t="shared" ca="1" si="76"/>
        <v>0.11151985401108358</v>
      </c>
      <c r="AI73" s="3">
        <f t="shared" ca="1" si="76"/>
        <v>0.12163109492365659</v>
      </c>
      <c r="AJ73" s="3">
        <f t="shared" ca="1" si="76"/>
        <v>0.15831527861777903</v>
      </c>
    </row>
    <row r="74" spans="1:36" x14ac:dyDescent="0.35">
      <c r="A74" t="s">
        <v>77</v>
      </c>
      <c r="B74" t="s">
        <v>76</v>
      </c>
      <c r="C74" s="4">
        <v>5</v>
      </c>
      <c r="D74" s="3">
        <f t="shared" ca="1" si="77"/>
        <v>3.4141127813324346E-2</v>
      </c>
      <c r="E74" s="3">
        <f t="shared" ca="1" si="75"/>
        <v>3.4206307092020029E-2</v>
      </c>
      <c r="F74" s="3">
        <f t="shared" ca="1" si="75"/>
        <v>3.7519127305588387E-2</v>
      </c>
      <c r="G74" s="3">
        <f t="shared" ca="1" si="75"/>
        <v>3.6069265154552735E-2</v>
      </c>
      <c r="H74" s="3">
        <f t="shared" ca="1" si="75"/>
        <v>3.8724130101544053E-2</v>
      </c>
      <c r="I74" s="3">
        <f t="shared" ca="1" si="75"/>
        <v>3.7565490926466487E-2</v>
      </c>
      <c r="J74" s="3">
        <f t="shared" ca="1" si="75"/>
        <v>4.2062449914054036E-2</v>
      </c>
      <c r="K74" s="3">
        <f t="shared" ca="1" si="75"/>
        <v>3.8222492722526945E-2</v>
      </c>
      <c r="L74" s="3">
        <f t="shared" ca="1" si="75"/>
        <v>4.4509705172763522E-2</v>
      </c>
      <c r="M74" s="3">
        <f t="shared" ca="1" si="75"/>
        <v>3.9926559332582795E-2</v>
      </c>
      <c r="N74" s="3">
        <f t="shared" ca="1" si="75"/>
        <v>4.5872966120531627E-2</v>
      </c>
      <c r="O74" s="3">
        <f t="shared" ca="1" si="75"/>
        <v>4.2399343335724517E-2</v>
      </c>
      <c r="P74" s="3">
        <f t="shared" ca="1" si="75"/>
        <v>4.7855146679280688E-2</v>
      </c>
      <c r="Q74" s="3">
        <f t="shared" ca="1" si="75"/>
        <v>4.5289760714600696E-2</v>
      </c>
      <c r="R74" s="3">
        <f t="shared" ca="1" si="75"/>
        <v>4.8875759237192784E-2</v>
      </c>
      <c r="S74" s="3">
        <f t="shared" ca="1" si="75"/>
        <v>4.767877835592553E-2</v>
      </c>
      <c r="T74" s="3">
        <f t="shared" ca="1" si="75"/>
        <v>5.1459356794746502E-2</v>
      </c>
      <c r="U74" s="3">
        <f t="shared" ca="1" si="75"/>
        <v>4.8904221102308576E-2</v>
      </c>
      <c r="V74" s="3">
        <f t="shared" ref="E74:AA85" ca="1" si="88">MIN(0.99,V17+$O$3)</f>
        <v>5.4829100213476027E-2</v>
      </c>
      <c r="W74" s="3">
        <f t="shared" ca="1" si="88"/>
        <v>4.9169232363111173E-2</v>
      </c>
      <c r="X74" s="3">
        <f t="shared" ca="1" si="88"/>
        <v>5.9119424562016215E-2</v>
      </c>
      <c r="Y74" s="3">
        <f t="shared" ca="1" si="88"/>
        <v>5.6381735075919301E-2</v>
      </c>
      <c r="Z74" s="3">
        <f t="shared" ca="1" si="88"/>
        <v>7.251395005798543E-2</v>
      </c>
      <c r="AA74" s="3">
        <f t="shared" ca="1" si="88"/>
        <v>5.862477619369276E-2</v>
      </c>
      <c r="AB74" s="3">
        <f t="shared" ref="AB74" ca="1" si="89">MIN(0.99,AB17+$O$3)</f>
        <v>8.1042020244689386E-2</v>
      </c>
      <c r="AC74" s="3">
        <f t="shared" ca="1" si="76"/>
        <v>6.8298200315280749E-2</v>
      </c>
      <c r="AD74" s="3">
        <f t="shared" ca="1" si="76"/>
        <v>9.0648332340733162E-2</v>
      </c>
      <c r="AE74" s="3">
        <f t="shared" ca="1" si="76"/>
        <v>7.4091919330193129E-2</v>
      </c>
      <c r="AF74" s="3">
        <f t="shared" ca="1" si="76"/>
        <v>0.1017186089900603</v>
      </c>
      <c r="AG74" s="3">
        <f t="shared" ca="1" si="76"/>
        <v>8.1349041190509175E-2</v>
      </c>
      <c r="AH74" s="3">
        <f t="shared" ca="1" si="76"/>
        <v>0.1124939986085228</v>
      </c>
      <c r="AI74" s="3">
        <f t="shared" ca="1" si="76"/>
        <v>0.12261929079525005</v>
      </c>
      <c r="AJ74" s="3">
        <f t="shared" ca="1" si="76"/>
        <v>0.15924457796971181</v>
      </c>
    </row>
    <row r="75" spans="1:36" x14ac:dyDescent="0.35">
      <c r="A75" t="s">
        <v>77</v>
      </c>
      <c r="B75" t="s">
        <v>76</v>
      </c>
      <c r="C75" s="4" t="s">
        <v>71</v>
      </c>
      <c r="D75" s="3">
        <f t="shared" ca="1" si="77"/>
        <v>3.5047898189398755E-2</v>
      </c>
      <c r="E75" s="3">
        <f t="shared" ca="1" si="88"/>
        <v>3.5193947782503184E-2</v>
      </c>
      <c r="F75" s="3">
        <f t="shared" ca="1" si="88"/>
        <v>3.8486662318163133E-2</v>
      </c>
      <c r="G75" s="3">
        <f t="shared" ca="1" si="88"/>
        <v>3.7053174194000588E-2</v>
      </c>
      <c r="H75" s="3">
        <f t="shared" ca="1" si="88"/>
        <v>3.9642036865934302E-2</v>
      </c>
      <c r="I75" s="3">
        <f t="shared" ca="1" si="88"/>
        <v>3.8560211502161101E-2</v>
      </c>
      <c r="J75" s="3">
        <f t="shared" ca="1" si="88"/>
        <v>4.3049534859065014E-2</v>
      </c>
      <c r="K75" s="3">
        <f t="shared" ca="1" si="88"/>
        <v>3.9169060962864669E-2</v>
      </c>
      <c r="L75" s="3">
        <f t="shared" ca="1" si="88"/>
        <v>4.5430331738163229E-2</v>
      </c>
      <c r="M75" s="3">
        <f t="shared" ca="1" si="88"/>
        <v>4.0876624426681427E-2</v>
      </c>
      <c r="N75" s="3">
        <f t="shared" ca="1" si="88"/>
        <v>4.6809813455247734E-2</v>
      </c>
      <c r="O75" s="3">
        <f t="shared" ca="1" si="88"/>
        <v>4.3377995931433933E-2</v>
      </c>
      <c r="P75" s="3">
        <f t="shared" ca="1" si="88"/>
        <v>4.8793216574067946E-2</v>
      </c>
      <c r="Q75" s="3">
        <f t="shared" ca="1" si="88"/>
        <v>4.6258419452100186E-2</v>
      </c>
      <c r="R75" s="3">
        <f t="shared" ca="1" si="88"/>
        <v>4.977727832617658E-2</v>
      </c>
      <c r="S75" s="3">
        <f t="shared" ca="1" si="88"/>
        <v>4.864640976163985E-2</v>
      </c>
      <c r="T75" s="3">
        <f t="shared" ca="1" si="88"/>
        <v>5.2415216781662485E-2</v>
      </c>
      <c r="U75" s="3">
        <f t="shared" ca="1" si="88"/>
        <v>4.9804867165896147E-2</v>
      </c>
      <c r="V75" s="3">
        <f t="shared" ca="1" si="88"/>
        <v>5.5730977380573941E-2</v>
      </c>
      <c r="W75" s="3">
        <f t="shared" ca="1" si="88"/>
        <v>5.008772613951952E-2</v>
      </c>
      <c r="X75" s="3">
        <f t="shared" ca="1" si="88"/>
        <v>6.0095100583476613E-2</v>
      </c>
      <c r="Y75" s="3">
        <f t="shared" ca="1" si="88"/>
        <v>5.7334191895975051E-2</v>
      </c>
      <c r="Z75" s="3">
        <f t="shared" ca="1" si="88"/>
        <v>7.3455706509084312E-2</v>
      </c>
      <c r="AA75" s="3">
        <f t="shared" ca="1" si="88"/>
        <v>5.955635893754449E-2</v>
      </c>
      <c r="AB75" s="3">
        <f t="shared" ref="AB75" ca="1" si="90">MIN(0.99,AB18+$O$3)</f>
        <v>8.1948572433135067E-2</v>
      </c>
      <c r="AC75" s="3">
        <f t="shared" ca="1" si="76"/>
        <v>6.9230392305639543E-2</v>
      </c>
      <c r="AD75" s="3">
        <f t="shared" ca="1" si="76"/>
        <v>9.1563937466386136E-2</v>
      </c>
      <c r="AE75" s="3">
        <f t="shared" ca="1" si="76"/>
        <v>7.5082503672523726E-2</v>
      </c>
      <c r="AF75" s="3">
        <f t="shared" ca="1" si="76"/>
        <v>0.1026682732455991</v>
      </c>
      <c r="AG75" s="3">
        <f t="shared" ca="1" si="76"/>
        <v>8.2300967396244318E-2</v>
      </c>
      <c r="AH75" s="3">
        <f t="shared" ca="1" si="76"/>
        <v>0.113447017454676</v>
      </c>
      <c r="AI75" s="3">
        <f t="shared" ca="1" si="76"/>
        <v>0.12352284634534333</v>
      </c>
      <c r="AJ75" s="3">
        <f t="shared" ca="1" si="76"/>
        <v>0.16020877061491065</v>
      </c>
    </row>
    <row r="76" spans="1:36" x14ac:dyDescent="0.35">
      <c r="A76" t="s">
        <v>77</v>
      </c>
      <c r="B76" t="s">
        <v>76</v>
      </c>
      <c r="C76" s="4" t="s">
        <v>72</v>
      </c>
      <c r="D76" s="3">
        <f t="shared" ca="1" si="77"/>
        <v>3.6013505165867148E-2</v>
      </c>
      <c r="E76" s="3">
        <f t="shared" ca="1" si="88"/>
        <v>3.6101137214670266E-2</v>
      </c>
      <c r="F76" s="3">
        <f t="shared" ca="1" si="88"/>
        <v>3.9410918885738125E-2</v>
      </c>
      <c r="G76" s="3">
        <f t="shared" ca="1" si="88"/>
        <v>3.7954117364351565E-2</v>
      </c>
      <c r="H76" s="3">
        <f t="shared" ca="1" si="88"/>
        <v>4.0587022473391673E-2</v>
      </c>
      <c r="I76" s="3">
        <f t="shared" ca="1" si="88"/>
        <v>3.9522164274478334E-2</v>
      </c>
      <c r="J76" s="3">
        <f t="shared" ca="1" si="88"/>
        <v>4.4022467919716687E-2</v>
      </c>
      <c r="K76" s="3">
        <f t="shared" ca="1" si="88"/>
        <v>4.0131211947502549E-2</v>
      </c>
      <c r="L76" s="3">
        <f t="shared" ca="1" si="88"/>
        <v>4.6353501189013532E-2</v>
      </c>
      <c r="M76" s="3">
        <f t="shared" ca="1" si="88"/>
        <v>4.1792964892850067E-2</v>
      </c>
      <c r="N76" s="3">
        <f t="shared" ca="1" si="88"/>
        <v>4.7760148147333474E-2</v>
      </c>
      <c r="O76" s="3">
        <f t="shared" ca="1" si="88"/>
        <v>4.4367970339510232E-2</v>
      </c>
      <c r="P76" s="3">
        <f t="shared" ca="1" si="88"/>
        <v>4.9718818699454076E-2</v>
      </c>
      <c r="Q76" s="3">
        <f t="shared" ca="1" si="88"/>
        <v>4.718898261858253E-2</v>
      </c>
      <c r="R76" s="3">
        <f t="shared" ca="1" si="88"/>
        <v>5.071987540806628E-2</v>
      </c>
      <c r="S76" s="3">
        <f t="shared" ca="1" si="88"/>
        <v>4.9584865961715782E-2</v>
      </c>
      <c r="T76" s="3">
        <f t="shared" ca="1" si="88"/>
        <v>5.340156388486017E-2</v>
      </c>
      <c r="U76" s="3">
        <f t="shared" ca="1" si="88"/>
        <v>5.0783487034411101E-2</v>
      </c>
      <c r="V76" s="3">
        <f t="shared" ca="1" si="88"/>
        <v>5.6659832673463237E-2</v>
      </c>
      <c r="W76" s="3">
        <f t="shared" ca="1" si="88"/>
        <v>5.1058065415066481E-2</v>
      </c>
      <c r="X76" s="3">
        <f t="shared" ca="1" si="88"/>
        <v>6.1059878139085179E-2</v>
      </c>
      <c r="Y76" s="3">
        <f t="shared" ca="1" si="88"/>
        <v>5.8235837176143487E-2</v>
      </c>
      <c r="Z76" s="3">
        <f t="shared" ca="1" si="88"/>
        <v>7.4398676152535814E-2</v>
      </c>
      <c r="AA76" s="3">
        <f t="shared" ca="1" si="88"/>
        <v>6.054261782180452E-2</v>
      </c>
      <c r="AB76" s="3">
        <f t="shared" ref="AB76" ca="1" si="91">MIN(0.99,AB19+$O$3)</f>
        <v>8.2927174351363125E-2</v>
      </c>
      <c r="AC76" s="3">
        <f t="shared" ca="1" si="76"/>
        <v>7.0172555724840269E-2</v>
      </c>
      <c r="AD76" s="3">
        <f t="shared" ca="1" si="76"/>
        <v>9.2552949575624044E-2</v>
      </c>
      <c r="AE76" s="3">
        <f t="shared" ca="1" si="76"/>
        <v>7.6075933108579435E-2</v>
      </c>
      <c r="AF76" s="3">
        <f t="shared" ca="1" si="76"/>
        <v>0.10358715556417875</v>
      </c>
      <c r="AG76" s="3">
        <f t="shared" ca="1" si="76"/>
        <v>8.3277389347350142E-2</v>
      </c>
      <c r="AH76" s="3">
        <f t="shared" ca="1" si="76"/>
        <v>0.11441017335713322</v>
      </c>
      <c r="AI76" s="3">
        <f t="shared" ca="1" si="76"/>
        <v>0.12446192958839025</v>
      </c>
      <c r="AJ76" s="3">
        <f t="shared" ca="1" si="76"/>
        <v>0.16117088335100344</v>
      </c>
    </row>
    <row r="77" spans="1:36" x14ac:dyDescent="0.35">
      <c r="A77" t="s">
        <v>77</v>
      </c>
      <c r="B77" t="s">
        <v>76</v>
      </c>
      <c r="C77" s="4">
        <v>6</v>
      </c>
      <c r="D77" s="3">
        <f t="shared" ca="1" si="77"/>
        <v>3.6970960225025634E-2</v>
      </c>
      <c r="E77" s="3">
        <f t="shared" ca="1" si="88"/>
        <v>3.7006002806789402E-2</v>
      </c>
      <c r="F77" s="3">
        <f t="shared" ca="1" si="88"/>
        <v>4.036304542741502E-2</v>
      </c>
      <c r="G77" s="3">
        <f t="shared" ca="1" si="88"/>
        <v>3.8884495966732081E-2</v>
      </c>
      <c r="H77" s="3">
        <f t="shared" ca="1" si="88"/>
        <v>4.1579234012875957E-2</v>
      </c>
      <c r="I77" s="3">
        <f t="shared" ca="1" si="88"/>
        <v>4.044144758704564E-2</v>
      </c>
      <c r="J77" s="3">
        <f t="shared" ca="1" si="88"/>
        <v>4.495011095139665E-2</v>
      </c>
      <c r="K77" s="3">
        <f t="shared" ca="1" si="88"/>
        <v>4.105052869558571E-2</v>
      </c>
      <c r="L77" s="3">
        <f t="shared" ca="1" si="88"/>
        <v>4.7323989179398042E-2</v>
      </c>
      <c r="M77" s="3">
        <f t="shared" ca="1" si="88"/>
        <v>4.2728798409588681E-2</v>
      </c>
      <c r="N77" s="3">
        <f t="shared" ca="1" si="88"/>
        <v>4.8662882813241895E-2</v>
      </c>
      <c r="O77" s="3">
        <f t="shared" ca="1" si="88"/>
        <v>4.5311053486308844E-2</v>
      </c>
      <c r="P77" s="3">
        <f t="shared" ca="1" si="88"/>
        <v>5.0688784170756354E-2</v>
      </c>
      <c r="Q77" s="3">
        <f t="shared" ca="1" si="88"/>
        <v>4.817001329686646E-2</v>
      </c>
      <c r="R77" s="3">
        <f t="shared" ca="1" si="88"/>
        <v>5.1630327529122798E-2</v>
      </c>
      <c r="S77" s="3">
        <f t="shared" ca="1" si="88"/>
        <v>5.0504173285796761E-2</v>
      </c>
      <c r="T77" s="3">
        <f t="shared" ca="1" si="88"/>
        <v>5.437828866634787E-2</v>
      </c>
      <c r="U77" s="3">
        <f t="shared" ca="1" si="88"/>
        <v>5.1782537071597121E-2</v>
      </c>
      <c r="V77" s="3">
        <f t="shared" ca="1" si="88"/>
        <v>5.761854810476022E-2</v>
      </c>
      <c r="W77" s="3">
        <f t="shared" ca="1" si="88"/>
        <v>5.1980514234866285E-2</v>
      </c>
      <c r="X77" s="3">
        <f t="shared" ca="1" si="88"/>
        <v>6.1968159915141249E-2</v>
      </c>
      <c r="Y77" s="3">
        <f t="shared" ca="1" si="88"/>
        <v>5.9162082463951271E-2</v>
      </c>
      <c r="Z77" s="3">
        <f t="shared" ca="1" si="88"/>
        <v>7.5338252552760027E-2</v>
      </c>
      <c r="AA77" s="3">
        <f t="shared" ca="1" si="88"/>
        <v>6.1508086926544601E-2</v>
      </c>
      <c r="AB77" s="3">
        <f t="shared" ref="AB77" ca="1" si="92">MIN(0.99,AB20+$O$3)</f>
        <v>8.3836267131019326E-2</v>
      </c>
      <c r="AC77" s="3">
        <f t="shared" ca="1" si="76"/>
        <v>7.1102948033483382E-2</v>
      </c>
      <c r="AD77" s="3">
        <f t="shared" ca="1" si="76"/>
        <v>9.3473152505702373E-2</v>
      </c>
      <c r="AE77" s="3">
        <f t="shared" ca="1" si="76"/>
        <v>7.700127079024896E-2</v>
      </c>
      <c r="AF77" s="3">
        <f t="shared" ca="1" si="76"/>
        <v>0.10451316074301681</v>
      </c>
      <c r="AG77" s="3">
        <f t="shared" ca="1" si="76"/>
        <v>8.4272324017778621E-2</v>
      </c>
      <c r="AH77" s="3">
        <f t="shared" ca="1" si="76"/>
        <v>0.1153649914955405</v>
      </c>
      <c r="AI77" s="3">
        <f t="shared" ca="1" si="76"/>
        <v>0.12538529268917817</v>
      </c>
      <c r="AJ77" s="3">
        <f t="shared" ca="1" si="76"/>
        <v>0.1620860884403256</v>
      </c>
    </row>
    <row r="78" spans="1:36" x14ac:dyDescent="0.35">
      <c r="A78" t="s">
        <v>77</v>
      </c>
      <c r="B78" t="s">
        <v>76</v>
      </c>
      <c r="C78" s="4" t="s">
        <v>73</v>
      </c>
      <c r="D78" s="3">
        <f t="shared" ca="1" si="77"/>
        <v>3.794143893398412E-2</v>
      </c>
      <c r="E78" s="3">
        <f t="shared" ca="1" si="88"/>
        <v>3.7971283240850008E-2</v>
      </c>
      <c r="F78" s="3">
        <f t="shared" ca="1" si="88"/>
        <v>4.1349583121652198E-2</v>
      </c>
      <c r="G78" s="3">
        <f t="shared" ca="1" si="88"/>
        <v>3.9814325947342681E-2</v>
      </c>
      <c r="H78" s="3">
        <f t="shared" ca="1" si="88"/>
        <v>4.2512903161412756E-2</v>
      </c>
      <c r="I78" s="3">
        <f t="shared" ca="1" si="88"/>
        <v>4.1380539483678876E-2</v>
      </c>
      <c r="J78" s="3">
        <f t="shared" ca="1" si="88"/>
        <v>4.5892831174568202E-2</v>
      </c>
      <c r="K78" s="3">
        <f t="shared" ca="1" si="88"/>
        <v>4.2047413940262846E-2</v>
      </c>
      <c r="L78" s="3">
        <f t="shared" ca="1" si="88"/>
        <v>4.8307975698441599E-2</v>
      </c>
      <c r="M78" s="3">
        <f t="shared" ca="1" si="88"/>
        <v>4.3719134038379757E-2</v>
      </c>
      <c r="N78" s="3">
        <f t="shared" ca="1" si="88"/>
        <v>4.9649376115792648E-2</v>
      </c>
      <c r="O78" s="3">
        <f t="shared" ca="1" si="88"/>
        <v>4.6265487004970608E-2</v>
      </c>
      <c r="P78" s="3">
        <f t="shared" ca="1" si="88"/>
        <v>5.1629640961623008E-2</v>
      </c>
      <c r="Q78" s="3">
        <f t="shared" ca="1" si="88"/>
        <v>4.9146799556390119E-2</v>
      </c>
      <c r="R78" s="3">
        <f t="shared" ca="1" si="88"/>
        <v>5.2607185834596296E-2</v>
      </c>
      <c r="S78" s="3">
        <f t="shared" ca="1" si="88"/>
        <v>5.1472686577660617E-2</v>
      </c>
      <c r="T78" s="3">
        <f t="shared" ca="1" si="88"/>
        <v>5.5287143157083662E-2</v>
      </c>
      <c r="U78" s="3">
        <f t="shared" ca="1" si="88"/>
        <v>5.2722496671661567E-2</v>
      </c>
      <c r="V78" s="3">
        <f t="shared" ca="1" si="88"/>
        <v>5.8581786632328575E-2</v>
      </c>
      <c r="W78" s="3">
        <f t="shared" ca="1" si="88"/>
        <v>5.2957107034432724E-2</v>
      </c>
      <c r="X78" s="3">
        <f t="shared" ca="1" si="88"/>
        <v>6.2946669050622808E-2</v>
      </c>
      <c r="Y78" s="3">
        <f t="shared" ca="1" si="88"/>
        <v>6.0078918917457536E-2</v>
      </c>
      <c r="Z78" s="3">
        <f t="shared" ca="1" si="88"/>
        <v>7.6334913182412922E-2</v>
      </c>
      <c r="AA78" s="3">
        <f t="shared" ca="1" si="88"/>
        <v>6.2408931423628217E-2</v>
      </c>
      <c r="AB78" s="3">
        <f t="shared" ref="AB78" ca="1" si="93">MIN(0.99,AB21+$O$3)</f>
        <v>8.4794528508729788E-2</v>
      </c>
      <c r="AC78" s="3">
        <f t="shared" ca="1" si="76"/>
        <v>7.2102476651004846E-2</v>
      </c>
      <c r="AD78" s="3">
        <f t="shared" ca="1" si="76"/>
        <v>9.4420811871966354E-2</v>
      </c>
      <c r="AE78" s="3">
        <f t="shared" ca="1" si="76"/>
        <v>7.7917039247212883E-2</v>
      </c>
      <c r="AF78" s="3">
        <f t="shared" ca="1" si="76"/>
        <v>0.10549996403339043</v>
      </c>
      <c r="AG78" s="3">
        <f t="shared" ca="1" si="76"/>
        <v>8.5262655806081694E-2</v>
      </c>
      <c r="AH78" s="3">
        <f t="shared" ca="1" si="76"/>
        <v>0.11631322789948467</v>
      </c>
      <c r="AI78" s="3">
        <f t="shared" ca="1" si="76"/>
        <v>0.12634145298080213</v>
      </c>
      <c r="AJ78" s="3">
        <f t="shared" ca="1" si="76"/>
        <v>0.16300767388322995</v>
      </c>
    </row>
    <row r="79" spans="1:36" x14ac:dyDescent="0.35">
      <c r="A79" t="s">
        <v>77</v>
      </c>
      <c r="B79" t="s">
        <v>76</v>
      </c>
      <c r="C79" s="4" t="s">
        <v>74</v>
      </c>
      <c r="D79" s="3">
        <f t="shared" ca="1" si="77"/>
        <v>3.8898896359240667E-2</v>
      </c>
      <c r="E79" s="3">
        <f t="shared" ca="1" si="88"/>
        <v>3.8954218888753486E-2</v>
      </c>
      <c r="F79" s="3">
        <f t="shared" ca="1" si="88"/>
        <v>4.2290226770066011E-2</v>
      </c>
      <c r="G79" s="3">
        <f t="shared" ca="1" si="88"/>
        <v>4.0752458296207786E-2</v>
      </c>
      <c r="H79" s="3">
        <f t="shared" ca="1" si="88"/>
        <v>4.3500837200920475E-2</v>
      </c>
      <c r="I79" s="3">
        <f t="shared" ca="1" si="88"/>
        <v>4.2351148179154821E-2</v>
      </c>
      <c r="J79" s="3">
        <f t="shared" ca="1" si="88"/>
        <v>4.6876313122492325E-2</v>
      </c>
      <c r="K79" s="3">
        <f t="shared" ca="1" si="88"/>
        <v>4.2975178429432395E-2</v>
      </c>
      <c r="L79" s="3">
        <f t="shared" ca="1" si="88"/>
        <v>4.921074647589653E-2</v>
      </c>
      <c r="M79" s="3">
        <f t="shared" ca="1" si="88"/>
        <v>4.4621374230412819E-2</v>
      </c>
      <c r="N79" s="3">
        <f t="shared" ca="1" si="88"/>
        <v>5.0552626250183384E-2</v>
      </c>
      <c r="O79" s="3">
        <f t="shared" ca="1" si="88"/>
        <v>4.7235304255523948E-2</v>
      </c>
      <c r="P79" s="3">
        <f t="shared" ca="1" si="88"/>
        <v>5.2592678381497976E-2</v>
      </c>
      <c r="Q79" s="3">
        <f t="shared" ca="1" si="88"/>
        <v>5.0106199962341946E-2</v>
      </c>
      <c r="R79" s="3">
        <f t="shared" ca="1" si="88"/>
        <v>5.3600899930007023E-2</v>
      </c>
      <c r="S79" s="3">
        <f t="shared" ca="1" si="88"/>
        <v>5.2462693315118131E-2</v>
      </c>
      <c r="T79" s="3">
        <f t="shared" ca="1" si="88"/>
        <v>5.6267995604864431E-2</v>
      </c>
      <c r="U79" s="3">
        <f t="shared" ca="1" si="88"/>
        <v>5.3693317284550526E-2</v>
      </c>
      <c r="V79" s="3">
        <f t="shared" ca="1" si="88"/>
        <v>5.9523707203621455E-2</v>
      </c>
      <c r="W79" s="3">
        <f t="shared" ca="1" si="88"/>
        <v>5.3903900831188553E-2</v>
      </c>
      <c r="X79" s="3">
        <f t="shared" ca="1" si="88"/>
        <v>6.3881290495929527E-2</v>
      </c>
      <c r="Y79" s="3">
        <f t="shared" ca="1" si="88"/>
        <v>6.1054225701150398E-2</v>
      </c>
      <c r="Z79" s="3">
        <f t="shared" ca="1" si="88"/>
        <v>7.729794530170396E-2</v>
      </c>
      <c r="AA79" s="3">
        <f t="shared" ca="1" si="88"/>
        <v>6.3319546827239517E-2</v>
      </c>
      <c r="AB79" s="3">
        <f t="shared" ref="AB79:AJ94" ca="1" si="94">MIN(0.99,AB22+$O$3)</f>
        <v>8.5791338742747802E-2</v>
      </c>
      <c r="AC79" s="3">
        <f t="shared" ca="1" si="94"/>
        <v>7.3059963920532128E-2</v>
      </c>
      <c r="AD79" s="3">
        <f t="shared" ca="1" si="94"/>
        <v>9.5328591280725905E-2</v>
      </c>
      <c r="AE79" s="3">
        <f t="shared" ca="1" si="94"/>
        <v>7.8882987596302689E-2</v>
      </c>
      <c r="AF79" s="3">
        <f t="shared" ca="1" si="94"/>
        <v>0.1064455038081103</v>
      </c>
      <c r="AG79" s="3">
        <f t="shared" ca="1" si="94"/>
        <v>8.6178952137761999E-2</v>
      </c>
      <c r="AH79" s="3">
        <f t="shared" ca="1" si="94"/>
        <v>0.1173081456991471</v>
      </c>
      <c r="AI79" s="3">
        <f t="shared" ca="1" si="94"/>
        <v>0.12729671998418018</v>
      </c>
      <c r="AJ79" s="3">
        <f t="shared" ca="1" si="94"/>
        <v>0.16391627696969996</v>
      </c>
    </row>
    <row r="80" spans="1:36" x14ac:dyDescent="0.35">
      <c r="A80" t="s">
        <v>77</v>
      </c>
      <c r="B80" t="s">
        <v>76</v>
      </c>
      <c r="C80" s="4">
        <v>7</v>
      </c>
      <c r="D80" s="3">
        <f t="shared" ca="1" si="77"/>
        <v>3.9840782773344588E-2</v>
      </c>
      <c r="E80" s="3">
        <f t="shared" ca="1" si="88"/>
        <v>3.9908550115087843E-2</v>
      </c>
      <c r="F80" s="3">
        <f t="shared" ca="1" si="88"/>
        <v>4.3200582888255012E-2</v>
      </c>
      <c r="G80" s="3">
        <f t="shared" ca="1" si="88"/>
        <v>4.1709243248238541E-2</v>
      </c>
      <c r="H80" s="3">
        <f t="shared" ca="1" si="88"/>
        <v>4.4479103901798128E-2</v>
      </c>
      <c r="I80" s="3">
        <f t="shared" ca="1" si="88"/>
        <v>4.3321721369115898E-2</v>
      </c>
      <c r="J80" s="3">
        <f t="shared" ca="1" si="88"/>
        <v>4.7800892642992282E-2</v>
      </c>
      <c r="K80" s="3">
        <f t="shared" ca="1" si="88"/>
        <v>4.3908359212996961E-2</v>
      </c>
      <c r="L80" s="3">
        <f t="shared" ca="1" si="88"/>
        <v>5.0157934157978569E-2</v>
      </c>
      <c r="M80" s="3">
        <f t="shared" ca="1" si="88"/>
        <v>4.5522051983000092E-2</v>
      </c>
      <c r="N80" s="3">
        <f t="shared" ca="1" si="88"/>
        <v>5.1546386207429185E-2</v>
      </c>
      <c r="O80" s="3">
        <f t="shared" ca="1" si="88"/>
        <v>4.8150129067042566E-2</v>
      </c>
      <c r="P80" s="3">
        <f t="shared" ca="1" si="88"/>
        <v>5.3578800119039066E-2</v>
      </c>
      <c r="Q80" s="3">
        <f t="shared" ca="1" si="88"/>
        <v>5.1103363753704528E-2</v>
      </c>
      <c r="R80" s="3">
        <f t="shared" ca="1" si="88"/>
        <v>5.4565368070960719E-2</v>
      </c>
      <c r="S80" s="3">
        <f t="shared" ca="1" si="88"/>
        <v>5.3450265289794796E-2</v>
      </c>
      <c r="T80" s="3">
        <f t="shared" ca="1" si="88"/>
        <v>5.7255384463221891E-2</v>
      </c>
      <c r="U80" s="3">
        <f t="shared" ca="1" si="88"/>
        <v>5.4683150111262541E-2</v>
      </c>
      <c r="V80" s="3">
        <f t="shared" ca="1" si="88"/>
        <v>6.051133707682356E-2</v>
      </c>
      <c r="W80" s="3">
        <f t="shared" ca="1" si="88"/>
        <v>5.4838293996067503E-2</v>
      </c>
      <c r="X80" s="3">
        <f t="shared" ca="1" si="88"/>
        <v>6.4828963375130333E-2</v>
      </c>
      <c r="Y80" s="3">
        <f t="shared" ca="1" si="88"/>
        <v>6.2004388031448532E-2</v>
      </c>
      <c r="Z80" s="3">
        <f t="shared" ca="1" si="88"/>
        <v>7.8250622448529705E-2</v>
      </c>
      <c r="AA80" s="3">
        <f t="shared" ca="1" si="88"/>
        <v>6.4274551291892051E-2</v>
      </c>
      <c r="AB80" s="3">
        <f t="shared" ref="AB80" ca="1" si="95">MIN(0.99,AB23+$O$3)</f>
        <v>8.6694199843996622E-2</v>
      </c>
      <c r="AC80" s="3">
        <f t="shared" ca="1" si="94"/>
        <v>7.3984914949163469E-2</v>
      </c>
      <c r="AD80" s="3">
        <f t="shared" ca="1" si="94"/>
        <v>9.6309326992941618E-2</v>
      </c>
      <c r="AE80" s="3">
        <f t="shared" ca="1" si="94"/>
        <v>7.9790028523985174E-2</v>
      </c>
      <c r="AF80" s="3">
        <f t="shared" ca="1" si="94"/>
        <v>0.10741087165827493</v>
      </c>
      <c r="AG80" s="3">
        <f t="shared" ca="1" si="94"/>
        <v>8.711429218957159E-2</v>
      </c>
      <c r="AH80" s="3">
        <f t="shared" ca="1" si="94"/>
        <v>0.11828533318532722</v>
      </c>
      <c r="AI80" s="3">
        <f t="shared" ca="1" si="94"/>
        <v>0.12827925400946491</v>
      </c>
      <c r="AJ80" s="3">
        <f t="shared" ca="1" si="94"/>
        <v>0.16482051759209637</v>
      </c>
    </row>
    <row r="81" spans="1:36" x14ac:dyDescent="0.35">
      <c r="A81" t="s">
        <v>77</v>
      </c>
      <c r="B81" t="s">
        <v>76</v>
      </c>
      <c r="C81" s="4" t="s">
        <v>75</v>
      </c>
      <c r="D81" s="3">
        <f t="shared" ca="1" si="77"/>
        <v>4.0818896010044847E-2</v>
      </c>
      <c r="E81" s="3">
        <f t="shared" ca="1" si="88"/>
        <v>4.0830000834851304E-2</v>
      </c>
      <c r="F81" s="3">
        <f t="shared" ca="1" si="88"/>
        <v>4.417377186962218E-2</v>
      </c>
      <c r="G81" s="3">
        <f t="shared" ca="1" si="88"/>
        <v>4.2610550581027584E-2</v>
      </c>
      <c r="H81" s="3">
        <f t="shared" ca="1" si="88"/>
        <v>4.5453683490209625E-2</v>
      </c>
      <c r="I81" s="3">
        <f t="shared" ca="1" si="88"/>
        <v>4.4292380706682302E-2</v>
      </c>
      <c r="J81" s="3">
        <f t="shared" ca="1" si="88"/>
        <v>4.8799687461112462E-2</v>
      </c>
      <c r="K81" s="3">
        <f t="shared" ca="1" si="88"/>
        <v>4.4823234018341096E-2</v>
      </c>
      <c r="L81" s="3">
        <f t="shared" ca="1" si="88"/>
        <v>5.1065688911084969E-2</v>
      </c>
      <c r="M81" s="3">
        <f t="shared" ca="1" si="88"/>
        <v>4.642345454019238E-2</v>
      </c>
      <c r="N81" s="3">
        <f t="shared" ca="1" si="88"/>
        <v>5.2513995510441822E-2</v>
      </c>
      <c r="O81" s="3">
        <f t="shared" ca="1" si="88"/>
        <v>4.9069033195365007E-2</v>
      </c>
      <c r="P81" s="3">
        <f t="shared" ca="1" si="88"/>
        <v>5.4507055929296673E-2</v>
      </c>
      <c r="Q81" s="3">
        <f t="shared" ca="1" si="88"/>
        <v>5.2056694217803429E-2</v>
      </c>
      <c r="R81" s="3">
        <f t="shared" ca="1" si="88"/>
        <v>5.5497352449134819E-2</v>
      </c>
      <c r="S81" s="3">
        <f t="shared" ca="1" si="88"/>
        <v>5.4381384150811611E-2</v>
      </c>
      <c r="T81" s="3">
        <f t="shared" ca="1" si="88"/>
        <v>5.8158335447846619E-2</v>
      </c>
      <c r="U81" s="3">
        <f t="shared" ca="1" si="88"/>
        <v>5.560319262394553E-2</v>
      </c>
      <c r="V81" s="3">
        <f t="shared" ca="1" si="88"/>
        <v>6.1470695338767554E-2</v>
      </c>
      <c r="W81" s="3">
        <f t="shared" ca="1" si="88"/>
        <v>5.5784196995109683E-2</v>
      </c>
      <c r="X81" s="3">
        <f t="shared" ca="1" si="88"/>
        <v>6.5786435065790017E-2</v>
      </c>
      <c r="Y81" s="3">
        <f t="shared" ca="1" si="88"/>
        <v>6.2982476254653821E-2</v>
      </c>
      <c r="Z81" s="3">
        <f t="shared" ca="1" si="88"/>
        <v>7.9246627711201501E-2</v>
      </c>
      <c r="AA81" s="3">
        <f t="shared" ca="1" si="88"/>
        <v>6.5222569322303803E-2</v>
      </c>
      <c r="AB81" s="3">
        <f t="shared" ref="AB81" ca="1" si="96">MIN(0.99,AB24+$O$3)</f>
        <v>8.7687402456049252E-2</v>
      </c>
      <c r="AC81" s="3">
        <f t="shared" ca="1" si="94"/>
        <v>7.4912452012992001E-2</v>
      </c>
      <c r="AD81" s="3">
        <f t="shared" ca="1" si="94"/>
        <v>9.7227067526741456E-2</v>
      </c>
      <c r="AE81" s="3">
        <f t="shared" ca="1" si="94"/>
        <v>8.0707440877526349E-2</v>
      </c>
      <c r="AF81" s="3">
        <f t="shared" ca="1" si="94"/>
        <v>0.10835985654148886</v>
      </c>
      <c r="AG81" s="3">
        <f t="shared" ca="1" si="94"/>
        <v>8.806467825666181E-2</v>
      </c>
      <c r="AH81" s="3">
        <f t="shared" ca="1" si="94"/>
        <v>0.11927538596171233</v>
      </c>
      <c r="AI81" s="3">
        <f t="shared" ca="1" si="94"/>
        <v>0.12924007329217355</v>
      </c>
      <c r="AJ81" s="3">
        <f t="shared" ca="1" si="94"/>
        <v>0.16576799401159856</v>
      </c>
    </row>
    <row r="82" spans="1:36" x14ac:dyDescent="0.35">
      <c r="A82" t="s">
        <v>77</v>
      </c>
      <c r="B82" t="s">
        <v>61</v>
      </c>
      <c r="C82" s="4">
        <v>1</v>
      </c>
      <c r="D82" s="3">
        <f t="shared" ca="1" si="77"/>
        <v>2.4908730040489005E-2</v>
      </c>
      <c r="E82" s="3">
        <f t="shared" ca="1" si="88"/>
        <v>2.4692759589344977E-2</v>
      </c>
      <c r="F82" s="3">
        <f t="shared" ca="1" si="88"/>
        <v>2.8065254023714275E-2</v>
      </c>
      <c r="G82" s="3">
        <f t="shared" ca="1" si="88"/>
        <v>2.6527641371260766E-2</v>
      </c>
      <c r="H82" s="3">
        <f t="shared" ca="1" si="88"/>
        <v>2.9354596079552299E-2</v>
      </c>
      <c r="I82" s="3">
        <f t="shared" ca="1" si="88"/>
        <v>2.799729852020082E-2</v>
      </c>
      <c r="J82" s="3">
        <f t="shared" ca="1" si="88"/>
        <v>3.2600602136854728E-2</v>
      </c>
      <c r="K82" s="3">
        <f t="shared" ca="1" si="88"/>
        <v>2.8736121486817846E-2</v>
      </c>
      <c r="L82" s="3">
        <f t="shared" ca="1" si="88"/>
        <v>3.5033100746591134E-2</v>
      </c>
      <c r="M82" s="3">
        <f t="shared" ca="1" si="88"/>
        <v>3.0691299787420332E-2</v>
      </c>
      <c r="N82" s="3">
        <f t="shared" ca="1" si="88"/>
        <v>3.6352141769093231E-2</v>
      </c>
      <c r="O82" s="3">
        <f t="shared" ca="1" si="88"/>
        <v>3.297197832272792E-2</v>
      </c>
      <c r="P82" s="3">
        <f t="shared" ca="1" si="88"/>
        <v>3.855863932761313E-2</v>
      </c>
      <c r="Q82" s="3">
        <f t="shared" ca="1" si="88"/>
        <v>3.5890840096464656E-2</v>
      </c>
      <c r="R82" s="3">
        <f t="shared" ca="1" si="88"/>
        <v>3.9149829134986838E-2</v>
      </c>
      <c r="S82" s="3">
        <f t="shared" ca="1" si="88"/>
        <v>3.8256767413286846E-2</v>
      </c>
      <c r="T82" s="3">
        <f t="shared" ca="1" si="88"/>
        <v>4.1955356432827183E-2</v>
      </c>
      <c r="U82" s="3">
        <f t="shared" ca="1" si="88"/>
        <v>3.9548173535937557E-2</v>
      </c>
      <c r="V82" s="3">
        <f t="shared" ca="1" si="88"/>
        <v>4.5237186900709818E-2</v>
      </c>
      <c r="W82" s="3">
        <f t="shared" ca="1" si="88"/>
        <v>3.9813908283122687E-2</v>
      </c>
      <c r="X82" s="3">
        <f t="shared" ca="1" si="88"/>
        <v>4.9555517609274631E-2</v>
      </c>
      <c r="Y82" s="3">
        <f t="shared" ca="1" si="88"/>
        <v>4.7032981014679273E-2</v>
      </c>
      <c r="Z82" s="3">
        <f t="shared" ca="1" si="88"/>
        <v>6.3024006264654375E-2</v>
      </c>
      <c r="AA82" s="3">
        <f t="shared" ca="1" si="88"/>
        <v>4.9051025377003399E-2</v>
      </c>
      <c r="AB82" s="3">
        <f t="shared" ref="AB82" ca="1" si="97">MIN(0.99,AB25+$O$3)</f>
        <v>7.1531951163118654E-2</v>
      </c>
      <c r="AC82" s="3">
        <f t="shared" ca="1" si="94"/>
        <v>5.8828239336492449E-2</v>
      </c>
      <c r="AD82" s="3">
        <f t="shared" ca="1" si="94"/>
        <v>8.1263963203492287E-2</v>
      </c>
      <c r="AE82" s="3">
        <f t="shared" ca="1" si="94"/>
        <v>6.4556299736701697E-2</v>
      </c>
      <c r="AF82" s="3">
        <f t="shared" ca="1" si="94"/>
        <v>9.2152494778641708E-2</v>
      </c>
      <c r="AG82" s="3">
        <f t="shared" ca="1" si="94"/>
        <v>7.1867218863220478E-2</v>
      </c>
      <c r="AH82" s="3">
        <f t="shared" ca="1" si="94"/>
        <v>0.10281323864069702</v>
      </c>
      <c r="AI82" s="3">
        <f t="shared" ca="1" si="94"/>
        <v>0.11319578216772846</v>
      </c>
      <c r="AJ82" s="3">
        <f t="shared" ca="1" si="94"/>
        <v>0.14971935954470406</v>
      </c>
    </row>
    <row r="83" spans="1:36" x14ac:dyDescent="0.35">
      <c r="A83" t="s">
        <v>77</v>
      </c>
      <c r="B83" t="s">
        <v>61</v>
      </c>
      <c r="C83" s="4" t="s">
        <v>64</v>
      </c>
      <c r="D83" s="3">
        <f t="shared" ca="1" si="77"/>
        <v>2.589232481602714E-2</v>
      </c>
      <c r="E83" s="3">
        <f t="shared" ca="1" si="88"/>
        <v>2.5664888581433142E-2</v>
      </c>
      <c r="F83" s="3">
        <f t="shared" ca="1" si="88"/>
        <v>2.903278478831756E-2</v>
      </c>
      <c r="G83" s="3">
        <f t="shared" ca="1" si="88"/>
        <v>2.7508750035148549E-2</v>
      </c>
      <c r="H83" s="3">
        <f t="shared" ca="1" si="88"/>
        <v>3.0348976620298888E-2</v>
      </c>
      <c r="I83" s="3">
        <f t="shared" ca="1" si="88"/>
        <v>2.8937502350026199E-2</v>
      </c>
      <c r="J83" s="3">
        <f t="shared" ca="1" si="88"/>
        <v>3.3504474093247139E-2</v>
      </c>
      <c r="K83" s="3">
        <f t="shared" ca="1" si="88"/>
        <v>2.972619034676971E-2</v>
      </c>
      <c r="L83" s="3">
        <f t="shared" ca="1" si="88"/>
        <v>3.5971475924379201E-2</v>
      </c>
      <c r="M83" s="3">
        <f t="shared" ca="1" si="88"/>
        <v>3.1615874112247214E-2</v>
      </c>
      <c r="N83" s="3">
        <f t="shared" ca="1" si="88"/>
        <v>3.7348704871006666E-2</v>
      </c>
      <c r="O83" s="3">
        <f t="shared" ca="1" si="88"/>
        <v>3.3943320518571893E-2</v>
      </c>
      <c r="P83" s="3">
        <f t="shared" ca="1" si="88"/>
        <v>3.9533569136115915E-2</v>
      </c>
      <c r="Q83" s="3">
        <f t="shared" ca="1" si="88"/>
        <v>3.686304320748536E-2</v>
      </c>
      <c r="R83" s="3">
        <f t="shared" ca="1" si="88"/>
        <v>4.013701919528756E-2</v>
      </c>
      <c r="S83" s="3">
        <f t="shared" ca="1" si="88"/>
        <v>3.9168401506629785E-2</v>
      </c>
      <c r="T83" s="3">
        <f t="shared" ca="1" si="88"/>
        <v>4.2893447229638393E-2</v>
      </c>
      <c r="U83" s="3">
        <f t="shared" ca="1" si="88"/>
        <v>4.0477177760085595E-2</v>
      </c>
      <c r="V83" s="3">
        <f t="shared" ca="1" si="88"/>
        <v>4.6232841445960501E-2</v>
      </c>
      <c r="W83" s="3">
        <f t="shared" ca="1" si="88"/>
        <v>4.0790701080505753E-2</v>
      </c>
      <c r="X83" s="3">
        <f t="shared" ca="1" si="88"/>
        <v>5.0507808972240026E-2</v>
      </c>
      <c r="Y83" s="3">
        <f t="shared" ca="1" si="88"/>
        <v>4.8023842921381385E-2</v>
      </c>
      <c r="Z83" s="3">
        <f t="shared" ca="1" si="88"/>
        <v>6.4016372959340553E-2</v>
      </c>
      <c r="AA83" s="3">
        <f t="shared" ca="1" si="88"/>
        <v>5.0028413948074522E-2</v>
      </c>
      <c r="AB83" s="3">
        <f t="shared" ref="AB83" ca="1" si="98">MIN(0.99,AB26+$O$3)</f>
        <v>7.250011125733262E-2</v>
      </c>
      <c r="AC83" s="3">
        <f t="shared" ca="1" si="94"/>
        <v>5.9822204309944352E-2</v>
      </c>
      <c r="AD83" s="3">
        <f t="shared" ca="1" si="94"/>
        <v>8.2194924649532083E-2</v>
      </c>
      <c r="AE83" s="3">
        <f t="shared" ca="1" si="94"/>
        <v>6.5514275720748777E-2</v>
      </c>
      <c r="AF83" s="3">
        <f t="shared" ca="1" si="94"/>
        <v>9.3132990314950342E-2</v>
      </c>
      <c r="AG83" s="3">
        <f t="shared" ca="1" si="94"/>
        <v>7.2770933949210193E-2</v>
      </c>
      <c r="AH83" s="3">
        <f t="shared" ca="1" si="94"/>
        <v>0.10375274543311835</v>
      </c>
      <c r="AI83" s="3">
        <f t="shared" ca="1" si="94"/>
        <v>0.11417818655415454</v>
      </c>
      <c r="AJ83" s="3">
        <f t="shared" ca="1" si="94"/>
        <v>0.15063798559030422</v>
      </c>
    </row>
    <row r="84" spans="1:36" x14ac:dyDescent="0.35">
      <c r="A84" t="s">
        <v>77</v>
      </c>
      <c r="B84" t="s">
        <v>61</v>
      </c>
      <c r="C84" s="4">
        <v>2</v>
      </c>
      <c r="D84" s="3">
        <f t="shared" ca="1" si="77"/>
        <v>2.6817528312323577E-2</v>
      </c>
      <c r="E84" s="3">
        <f t="shared" ca="1" si="88"/>
        <v>2.6566149816306787E-2</v>
      </c>
      <c r="F84" s="3">
        <f t="shared" ca="1" si="88"/>
        <v>2.9978627768809732E-2</v>
      </c>
      <c r="G84" s="3">
        <f t="shared" ca="1" si="88"/>
        <v>2.8470913026603546E-2</v>
      </c>
      <c r="H84" s="3">
        <f t="shared" ca="1" si="88"/>
        <v>3.1306522340379755E-2</v>
      </c>
      <c r="I84" s="3">
        <f t="shared" ca="1" si="88"/>
        <v>2.9886685465258255E-2</v>
      </c>
      <c r="J84" s="3">
        <f t="shared" ca="1" si="88"/>
        <v>3.4498152202003321E-2</v>
      </c>
      <c r="K84" s="3">
        <f t="shared" ca="1" si="88"/>
        <v>3.067468070558272E-2</v>
      </c>
      <c r="L84" s="3">
        <f t="shared" ca="1" si="88"/>
        <v>3.6918542449390634E-2</v>
      </c>
      <c r="M84" s="3">
        <f t="shared" ca="1" si="88"/>
        <v>3.2559779056980417E-2</v>
      </c>
      <c r="N84" s="3">
        <f t="shared" ca="1" si="88"/>
        <v>3.83086128995727E-2</v>
      </c>
      <c r="O84" s="3">
        <f t="shared" ca="1" si="88"/>
        <v>3.4934162095903921E-2</v>
      </c>
      <c r="P84" s="3">
        <f t="shared" ca="1" si="88"/>
        <v>4.0461693099977575E-2</v>
      </c>
      <c r="Q84" s="3">
        <f t="shared" ca="1" si="88"/>
        <v>3.7807732661917129E-2</v>
      </c>
      <c r="R84" s="3">
        <f t="shared" ca="1" si="88"/>
        <v>4.1131513792248386E-2</v>
      </c>
      <c r="S84" s="3">
        <f t="shared" ca="1" si="88"/>
        <v>4.0147097961346391E-2</v>
      </c>
      <c r="T84" s="3">
        <f t="shared" ca="1" si="88"/>
        <v>4.3890961198724536E-2</v>
      </c>
      <c r="U84" s="3">
        <f t="shared" ca="1" si="88"/>
        <v>4.1398899535181333E-2</v>
      </c>
      <c r="V84" s="3">
        <f t="shared" ca="1" si="88"/>
        <v>4.719730694289867E-2</v>
      </c>
      <c r="W84" s="3">
        <f t="shared" ca="1" si="88"/>
        <v>4.177058480437261E-2</v>
      </c>
      <c r="X84" s="3">
        <f t="shared" ca="1" si="88"/>
        <v>5.1502821120018527E-2</v>
      </c>
      <c r="Y84" s="3">
        <f t="shared" ca="1" si="88"/>
        <v>4.8931889092613978E-2</v>
      </c>
      <c r="Z84" s="3">
        <f t="shared" ca="1" si="88"/>
        <v>6.4982483899587884E-2</v>
      </c>
      <c r="AA84" s="3">
        <f t="shared" ca="1" si="88"/>
        <v>5.0984141786841936E-2</v>
      </c>
      <c r="AB84" s="3">
        <f t="shared" ref="AB84" ca="1" si="99">MIN(0.99,AB27+$O$3)</f>
        <v>7.3495649935478746E-2</v>
      </c>
      <c r="AC84" s="3">
        <f t="shared" ca="1" si="94"/>
        <v>6.0801772817457751E-2</v>
      </c>
      <c r="AD84" s="3">
        <f t="shared" ca="1" si="94"/>
        <v>8.3132497473260264E-2</v>
      </c>
      <c r="AE84" s="3">
        <f t="shared" ca="1" si="94"/>
        <v>6.6482183615030471E-2</v>
      </c>
      <c r="AF84" s="3">
        <f t="shared" ca="1" si="94"/>
        <v>9.4118026132022303E-2</v>
      </c>
      <c r="AG84" s="3">
        <f t="shared" ca="1" si="94"/>
        <v>7.3683562113713921E-2</v>
      </c>
      <c r="AH84" s="3">
        <f t="shared" ca="1" si="94"/>
        <v>0.10474436361981801</v>
      </c>
      <c r="AI84" s="3">
        <f t="shared" ca="1" si="94"/>
        <v>0.11512231678170315</v>
      </c>
      <c r="AJ84" s="3">
        <f t="shared" ca="1" si="94"/>
        <v>0.15157057776785329</v>
      </c>
    </row>
    <row r="85" spans="1:36" x14ac:dyDescent="0.35">
      <c r="A85" t="s">
        <v>77</v>
      </c>
      <c r="B85" t="s">
        <v>61</v>
      </c>
      <c r="C85" s="4" t="s">
        <v>65</v>
      </c>
      <c r="D85" s="3">
        <f t="shared" ca="1" si="77"/>
        <v>2.7783064581378646E-2</v>
      </c>
      <c r="E85" s="3">
        <f t="shared" ca="1" si="88"/>
        <v>2.7548357170842221E-2</v>
      </c>
      <c r="F85" s="3">
        <f t="shared" ca="1" si="88"/>
        <v>3.0954033842858903E-2</v>
      </c>
      <c r="G85" s="3">
        <f t="shared" ca="1" si="88"/>
        <v>2.9438331316003666E-2</v>
      </c>
      <c r="H85" s="3">
        <f t="shared" ca="1" si="88"/>
        <v>3.2301319637788692E-2</v>
      </c>
      <c r="I85" s="3">
        <f t="shared" ca="1" si="88"/>
        <v>3.0880286467005681E-2</v>
      </c>
      <c r="J85" s="3">
        <f t="shared" ca="1" si="88"/>
        <v>3.5498099143199874E-2</v>
      </c>
      <c r="K85" s="3">
        <f t="shared" ca="1" si="88"/>
        <v>3.1606493392256234E-2</v>
      </c>
      <c r="L85" s="3">
        <f t="shared" ca="1" si="88"/>
        <v>3.7916945717602152E-2</v>
      </c>
      <c r="M85" s="3">
        <f t="shared" ca="1" si="88"/>
        <v>3.3523386305733149E-2</v>
      </c>
      <c r="N85" s="3">
        <f t="shared" ca="1" si="88"/>
        <v>3.9226101717636352E-2</v>
      </c>
      <c r="O85" s="3">
        <f t="shared" ca="1" si="88"/>
        <v>3.5879166913288699E-2</v>
      </c>
      <c r="P85" s="3">
        <f t="shared" ca="1" si="88"/>
        <v>4.1420262118930469E-2</v>
      </c>
      <c r="Q85" s="3">
        <f t="shared" ca="1" si="88"/>
        <v>3.8723458355925375E-2</v>
      </c>
      <c r="R85" s="3">
        <f t="shared" ca="1" si="88"/>
        <v>4.2042224596413547E-2</v>
      </c>
      <c r="S85" s="3">
        <f t="shared" ca="1" si="88"/>
        <v>4.1111915789047819E-2</v>
      </c>
      <c r="T85" s="3">
        <f t="shared" ca="1" si="88"/>
        <v>4.4879542280953713E-2</v>
      </c>
      <c r="U85" s="3">
        <f t="shared" ca="1" si="88"/>
        <v>4.2323491915391143E-2</v>
      </c>
      <c r="V85" s="3">
        <f t="shared" ca="1" si="88"/>
        <v>4.8147189124835482E-2</v>
      </c>
      <c r="W85" s="3">
        <f t="shared" ca="1" si="88"/>
        <v>4.2689423310480014E-2</v>
      </c>
      <c r="X85" s="3">
        <f t="shared" ref="E85:AA96" ca="1" si="100">MIN(0.99,X28+$O$3)</f>
        <v>5.2486027651261619E-2</v>
      </c>
      <c r="Y85" s="3">
        <f t="shared" ca="1" si="100"/>
        <v>4.992029249151006E-2</v>
      </c>
      <c r="Z85" s="3">
        <f t="shared" ca="1" si="100"/>
        <v>6.595468944406771E-2</v>
      </c>
      <c r="AA85" s="3">
        <f t="shared" ca="1" si="100"/>
        <v>5.1983124688247506E-2</v>
      </c>
      <c r="AB85" s="3">
        <f t="shared" ref="AB85" ca="1" si="101">MIN(0.99,AB28+$O$3)</f>
        <v>7.4404865439959222E-2</v>
      </c>
      <c r="AC85" s="3">
        <f t="shared" ca="1" si="94"/>
        <v>6.1729296613929327E-2</v>
      </c>
      <c r="AD85" s="3">
        <f t="shared" ca="1" si="94"/>
        <v>8.4045763044017729E-2</v>
      </c>
      <c r="AE85" s="3">
        <f t="shared" ca="1" si="94"/>
        <v>6.7448810065226877E-2</v>
      </c>
      <c r="AF85" s="3">
        <f t="shared" ca="1" si="94"/>
        <v>9.5059564159562626E-2</v>
      </c>
      <c r="AG85" s="3">
        <f t="shared" ca="1" si="94"/>
        <v>7.4629220363176901E-2</v>
      </c>
      <c r="AH85" s="3">
        <f t="shared" ca="1" si="94"/>
        <v>0.10567639692437575</v>
      </c>
      <c r="AI85" s="3">
        <f t="shared" ca="1" si="94"/>
        <v>0.11602693446209922</v>
      </c>
      <c r="AJ85" s="3">
        <f t="shared" ca="1" si="94"/>
        <v>0.15254648553299341</v>
      </c>
    </row>
    <row r="86" spans="1:36" x14ac:dyDescent="0.35">
      <c r="A86" t="s">
        <v>77</v>
      </c>
      <c r="B86" t="s">
        <v>61</v>
      </c>
      <c r="C86" s="4" t="s">
        <v>66</v>
      </c>
      <c r="D86" s="3">
        <f t="shared" ca="1" si="77"/>
        <v>2.8692267764479053E-2</v>
      </c>
      <c r="E86" s="3">
        <f t="shared" ca="1" si="100"/>
        <v>2.8482017224127867E-2</v>
      </c>
      <c r="F86" s="3">
        <f t="shared" ca="1" si="100"/>
        <v>3.1893937003893293E-2</v>
      </c>
      <c r="G86" s="3">
        <f t="shared" ca="1" si="100"/>
        <v>3.0369271064742485E-2</v>
      </c>
      <c r="H86" s="3">
        <f t="shared" ca="1" si="100"/>
        <v>3.3214598425263864E-2</v>
      </c>
      <c r="I86" s="3">
        <f t="shared" ca="1" si="100"/>
        <v>3.1805907695228355E-2</v>
      </c>
      <c r="J86" s="3">
        <f t="shared" ca="1" si="100"/>
        <v>3.64556271089157E-2</v>
      </c>
      <c r="K86" s="3">
        <f t="shared" ca="1" si="100"/>
        <v>3.2568944537241941E-2</v>
      </c>
      <c r="L86" s="3">
        <f t="shared" ca="1" si="100"/>
        <v>3.8894955732267339E-2</v>
      </c>
      <c r="M86" s="3">
        <f t="shared" ca="1" si="100"/>
        <v>3.4430498036445101E-2</v>
      </c>
      <c r="N86" s="3">
        <f t="shared" ca="1" si="100"/>
        <v>4.0206448433461633E-2</v>
      </c>
      <c r="O86" s="3">
        <f t="shared" ca="1" si="100"/>
        <v>3.6809673988677169E-2</v>
      </c>
      <c r="P86" s="3">
        <f t="shared" ca="1" si="100"/>
        <v>4.2369095809646207E-2</v>
      </c>
      <c r="Q86" s="3">
        <f t="shared" ca="1" si="100"/>
        <v>3.9624318292137979E-2</v>
      </c>
      <c r="R86" s="3">
        <f t="shared" ca="1" si="100"/>
        <v>4.3020270576618946E-2</v>
      </c>
      <c r="S86" s="3">
        <f t="shared" ca="1" si="100"/>
        <v>4.2033599829350295E-2</v>
      </c>
      <c r="T86" s="3">
        <f t="shared" ca="1" si="100"/>
        <v>4.5809126546758942E-2</v>
      </c>
      <c r="U86" s="3">
        <f t="shared" ca="1" si="100"/>
        <v>4.323074418536485E-2</v>
      </c>
      <c r="V86" s="3">
        <f t="shared" ca="1" si="100"/>
        <v>4.911835927888647E-2</v>
      </c>
      <c r="W86" s="3">
        <f t="shared" ca="1" si="100"/>
        <v>4.3594034081455665E-2</v>
      </c>
      <c r="X86" s="3">
        <f t="shared" ca="1" si="100"/>
        <v>5.3459676690594052E-2</v>
      </c>
      <c r="Y86" s="3">
        <f t="shared" ca="1" si="100"/>
        <v>5.087452429281266E-2</v>
      </c>
      <c r="Z86" s="3">
        <f t="shared" ca="1" si="100"/>
        <v>6.6870599307143105E-2</v>
      </c>
      <c r="AA86" s="3">
        <f t="shared" ca="1" si="100"/>
        <v>5.289309768086934E-2</v>
      </c>
      <c r="AB86" s="3">
        <f t="shared" ref="AB86" ca="1" si="102">MIN(0.99,AB29+$O$3)</f>
        <v>7.5326774550978887E-2</v>
      </c>
      <c r="AC86" s="3">
        <f t="shared" ca="1" si="94"/>
        <v>6.2686551037000146E-2</v>
      </c>
      <c r="AD86" s="3">
        <f t="shared" ca="1" si="94"/>
        <v>8.5010544036173252E-2</v>
      </c>
      <c r="AE86" s="3">
        <f t="shared" ca="1" si="94"/>
        <v>6.8448747984171734E-2</v>
      </c>
      <c r="AF86" s="3">
        <f t="shared" ca="1" si="94"/>
        <v>9.6049648298112467E-2</v>
      </c>
      <c r="AG86" s="3">
        <f t="shared" ca="1" si="94"/>
        <v>7.5553473582291475E-2</v>
      </c>
      <c r="AH86" s="3">
        <f t="shared" ca="1" si="94"/>
        <v>0.10666570839302933</v>
      </c>
      <c r="AI86" s="3">
        <f t="shared" ca="1" si="94"/>
        <v>0.11697015106122591</v>
      </c>
      <c r="AJ86" s="3">
        <f t="shared" ca="1" si="94"/>
        <v>0.15349818303859589</v>
      </c>
    </row>
    <row r="87" spans="1:36" x14ac:dyDescent="0.35">
      <c r="A87" t="s">
        <v>77</v>
      </c>
      <c r="B87" t="s">
        <v>61</v>
      </c>
      <c r="C87" s="4">
        <v>3</v>
      </c>
      <c r="D87" s="3">
        <f t="shared" ca="1" si="77"/>
        <v>2.9594274478868317E-2</v>
      </c>
      <c r="E87" s="3">
        <f t="shared" ca="1" si="100"/>
        <v>2.9419047984716423E-2</v>
      </c>
      <c r="F87" s="3">
        <f t="shared" ca="1" si="100"/>
        <v>3.2890566977303679E-2</v>
      </c>
      <c r="G87" s="3">
        <f t="shared" ca="1" si="100"/>
        <v>3.1314793968492377E-2</v>
      </c>
      <c r="H87" s="3">
        <f t="shared" ca="1" si="100"/>
        <v>3.4130308044812721E-2</v>
      </c>
      <c r="I87" s="3">
        <f t="shared" ca="1" si="100"/>
        <v>3.2796471344026371E-2</v>
      </c>
      <c r="J87" s="3">
        <f t="shared" ca="1" si="100"/>
        <v>3.7384795807367963E-2</v>
      </c>
      <c r="K87" s="3">
        <f t="shared" ca="1" si="100"/>
        <v>3.3477846831730322E-2</v>
      </c>
      <c r="L87" s="3">
        <f t="shared" ca="1" si="100"/>
        <v>3.9854790669011195E-2</v>
      </c>
      <c r="M87" s="3">
        <f t="shared" ca="1" si="100"/>
        <v>3.5348462197499028E-2</v>
      </c>
      <c r="N87" s="3">
        <f t="shared" ca="1" si="100"/>
        <v>4.1158650349272498E-2</v>
      </c>
      <c r="O87" s="3">
        <f t="shared" ca="1" si="100"/>
        <v>3.7734394468983384E-2</v>
      </c>
      <c r="P87" s="3">
        <f t="shared" ca="1" si="100"/>
        <v>4.3289279928888369E-2</v>
      </c>
      <c r="Q87" s="3">
        <f t="shared" ca="1" si="100"/>
        <v>4.0524890609761929E-2</v>
      </c>
      <c r="R87" s="3">
        <f t="shared" ca="1" si="100"/>
        <v>4.3997577619553731E-2</v>
      </c>
      <c r="S87" s="3">
        <f t="shared" ca="1" si="100"/>
        <v>4.2971163398076259E-2</v>
      </c>
      <c r="T87" s="3">
        <f t="shared" ca="1" si="100"/>
        <v>4.6794883616490493E-2</v>
      </c>
      <c r="U87" s="3">
        <f t="shared" ca="1" si="100"/>
        <v>4.4211801856654326E-2</v>
      </c>
      <c r="V87" s="3">
        <f t="shared" ca="1" si="100"/>
        <v>5.0111470461537799E-2</v>
      </c>
      <c r="W87" s="3">
        <f t="shared" ca="1" si="100"/>
        <v>4.4565481561719952E-2</v>
      </c>
      <c r="X87" s="3">
        <f t="shared" ca="1" si="100"/>
        <v>5.4422693033801907E-2</v>
      </c>
      <c r="Y87" s="3">
        <f t="shared" ca="1" si="100"/>
        <v>5.1803373949168702E-2</v>
      </c>
      <c r="Z87" s="3">
        <f t="shared" ca="1" si="100"/>
        <v>6.786406105631318E-2</v>
      </c>
      <c r="AA87" s="3">
        <f t="shared" ca="1" si="100"/>
        <v>5.3875872752425183E-2</v>
      </c>
      <c r="AB87" s="3">
        <f t="shared" ref="AB87" ca="1" si="103">MIN(0.99,AB30+$O$3)</f>
        <v>7.627665564273578E-2</v>
      </c>
      <c r="AC87" s="3">
        <f t="shared" ca="1" si="94"/>
        <v>6.3652044479067194E-2</v>
      </c>
      <c r="AD87" s="3">
        <f t="shared" ca="1" si="94"/>
        <v>8.5995364053749801E-2</v>
      </c>
      <c r="AE87" s="3">
        <f t="shared" ca="1" si="94"/>
        <v>6.9414545083608142E-2</v>
      </c>
      <c r="AF87" s="3">
        <f t="shared" ca="1" si="94"/>
        <v>9.6981951926338739E-2</v>
      </c>
      <c r="AG87" s="3">
        <f t="shared" ca="1" si="94"/>
        <v>7.6512760441136182E-2</v>
      </c>
      <c r="AH87" s="3">
        <f t="shared" ca="1" si="94"/>
        <v>0.1076289161173318</v>
      </c>
      <c r="AI87" s="3">
        <f t="shared" ca="1" si="94"/>
        <v>0.11791174807433977</v>
      </c>
      <c r="AJ87" s="3">
        <f t="shared" ca="1" si="94"/>
        <v>0.15447900639743301</v>
      </c>
    </row>
    <row r="88" spans="1:36" x14ac:dyDescent="0.35">
      <c r="A88" t="s">
        <v>77</v>
      </c>
      <c r="B88" t="s">
        <v>61</v>
      </c>
      <c r="C88" s="4" t="s">
        <v>67</v>
      </c>
      <c r="D88" s="3">
        <f t="shared" ca="1" si="77"/>
        <v>3.0507261778063104E-2</v>
      </c>
      <c r="E88" s="3">
        <f t="shared" ca="1" si="100"/>
        <v>3.0418664309336527E-2</v>
      </c>
      <c r="F88" s="3">
        <f t="shared" ca="1" si="100"/>
        <v>3.3838970215703534E-2</v>
      </c>
      <c r="G88" s="3">
        <f t="shared" ca="1" si="100"/>
        <v>3.2270226620715603E-2</v>
      </c>
      <c r="H88" s="3">
        <f t="shared" ca="1" si="100"/>
        <v>3.5039422900349247E-2</v>
      </c>
      <c r="I88" s="3">
        <f t="shared" ca="1" si="100"/>
        <v>3.3766772654257801E-2</v>
      </c>
      <c r="J88" s="3">
        <f t="shared" ca="1" si="100"/>
        <v>3.8288327321147675E-2</v>
      </c>
      <c r="K88" s="3">
        <f t="shared" ca="1" si="100"/>
        <v>3.4430795894998784E-2</v>
      </c>
      <c r="L88" s="3">
        <f t="shared" ca="1" si="100"/>
        <v>4.0768354203950252E-2</v>
      </c>
      <c r="M88" s="3">
        <f t="shared" ca="1" si="100"/>
        <v>3.6280189412680623E-2</v>
      </c>
      <c r="N88" s="3">
        <f t="shared" ca="1" si="100"/>
        <v>4.2102802595216968E-2</v>
      </c>
      <c r="O88" s="3">
        <f t="shared" ca="1" si="100"/>
        <v>3.8724009327180287E-2</v>
      </c>
      <c r="P88" s="3">
        <f t="shared" ca="1" si="100"/>
        <v>4.4240793716714688E-2</v>
      </c>
      <c r="Q88" s="3">
        <f t="shared" ca="1" si="100"/>
        <v>4.1435578296083728E-2</v>
      </c>
      <c r="R88" s="3">
        <f t="shared" ca="1" si="100"/>
        <v>4.498295357019691E-2</v>
      </c>
      <c r="S88" s="3">
        <f t="shared" ca="1" si="100"/>
        <v>4.3927661150257584E-2</v>
      </c>
      <c r="T88" s="3">
        <f t="shared" ca="1" si="100"/>
        <v>4.7726374927918841E-2</v>
      </c>
      <c r="U88" s="3">
        <f t="shared" ca="1" si="100"/>
        <v>4.5137929393930312E-2</v>
      </c>
      <c r="V88" s="3">
        <f t="shared" ca="1" si="100"/>
        <v>5.1076623094779297E-2</v>
      </c>
      <c r="W88" s="3">
        <f t="shared" ca="1" si="100"/>
        <v>4.5519817399304552E-2</v>
      </c>
      <c r="X88" s="3">
        <f t="shared" ca="1" si="100"/>
        <v>5.5353232413125002E-2</v>
      </c>
      <c r="Y88" s="3">
        <f t="shared" ca="1" si="100"/>
        <v>5.2766792116739944E-2</v>
      </c>
      <c r="Z88" s="3">
        <f t="shared" ca="1" si="100"/>
        <v>6.8803547748534782E-2</v>
      </c>
      <c r="AA88" s="3">
        <f t="shared" ca="1" si="100"/>
        <v>5.4833864563171998E-2</v>
      </c>
      <c r="AB88" s="3">
        <f t="shared" ref="AB88" ca="1" si="104">MIN(0.99,AB31+$O$3)</f>
        <v>7.7192933576772774E-2</v>
      </c>
      <c r="AC88" s="3">
        <f t="shared" ca="1" si="94"/>
        <v>6.4576590048241456E-2</v>
      </c>
      <c r="AD88" s="3">
        <f t="shared" ca="1" si="94"/>
        <v>8.6905234727120112E-2</v>
      </c>
      <c r="AE88" s="3">
        <f t="shared" ca="1" si="94"/>
        <v>7.037473674014616E-2</v>
      </c>
      <c r="AF88" s="3">
        <f t="shared" ca="1" si="94"/>
        <v>9.7918877030336499E-2</v>
      </c>
      <c r="AG88" s="3">
        <f t="shared" ca="1" si="94"/>
        <v>7.7491994473996212E-2</v>
      </c>
      <c r="AH88" s="3">
        <f t="shared" ca="1" si="94"/>
        <v>0.10859536511143114</v>
      </c>
      <c r="AI88" s="3">
        <f t="shared" ca="1" si="94"/>
        <v>0.11885622035793558</v>
      </c>
      <c r="AJ88" s="3">
        <f t="shared" ca="1" si="94"/>
        <v>0.1554006732661154</v>
      </c>
    </row>
    <row r="89" spans="1:36" x14ac:dyDescent="0.35">
      <c r="A89" t="s">
        <v>77</v>
      </c>
      <c r="B89" t="s">
        <v>61</v>
      </c>
      <c r="C89" s="4" t="s">
        <v>68</v>
      </c>
      <c r="D89" s="3">
        <f t="shared" ca="1" si="77"/>
        <v>3.1411162073923686E-2</v>
      </c>
      <c r="E89" s="3">
        <f t="shared" ca="1" si="100"/>
        <v>3.1416047310414939E-2</v>
      </c>
      <c r="F89" s="3">
        <f t="shared" ca="1" si="100"/>
        <v>3.4775310626386773E-2</v>
      </c>
      <c r="G89" s="3">
        <f t="shared" ca="1" si="100"/>
        <v>3.3213014889881806E-2</v>
      </c>
      <c r="H89" s="3">
        <f t="shared" ca="1" si="100"/>
        <v>3.5985507637467704E-2</v>
      </c>
      <c r="I89" s="3">
        <f t="shared" ca="1" si="100"/>
        <v>3.472706732447408E-2</v>
      </c>
      <c r="J89" s="3">
        <f t="shared" ca="1" si="100"/>
        <v>3.9257844791897853E-2</v>
      </c>
      <c r="K89" s="3">
        <f t="shared" ca="1" si="100"/>
        <v>3.5371411213918007E-2</v>
      </c>
      <c r="L89" s="3">
        <f t="shared" ca="1" si="100"/>
        <v>4.1725915329527095E-2</v>
      </c>
      <c r="M89" s="3">
        <f t="shared" ca="1" si="100"/>
        <v>3.7244380702059543E-2</v>
      </c>
      <c r="N89" s="3">
        <f t="shared" ca="1" si="100"/>
        <v>4.3030669907762623E-2</v>
      </c>
      <c r="O89" s="3">
        <f t="shared" ca="1" si="100"/>
        <v>3.9656868639080051E-2</v>
      </c>
      <c r="P89" s="3">
        <f t="shared" ca="1" si="100"/>
        <v>4.5169052522782208E-2</v>
      </c>
      <c r="Q89" s="3">
        <f t="shared" ca="1" si="100"/>
        <v>4.2431167292795016E-2</v>
      </c>
      <c r="R89" s="3">
        <f t="shared" ca="1" si="100"/>
        <v>4.5928124644433119E-2</v>
      </c>
      <c r="S89" s="3">
        <f t="shared" ca="1" si="100"/>
        <v>4.4904079725548732E-2</v>
      </c>
      <c r="T89" s="3">
        <f t="shared" ca="1" si="100"/>
        <v>4.8627034545963933E-2</v>
      </c>
      <c r="U89" s="3">
        <f t="shared" ca="1" si="100"/>
        <v>4.6051426722053493E-2</v>
      </c>
      <c r="V89" s="3">
        <f t="shared" ca="1" si="100"/>
        <v>5.2018589169893714E-2</v>
      </c>
      <c r="W89" s="3">
        <f t="shared" ca="1" si="100"/>
        <v>4.644670513309429E-2</v>
      </c>
      <c r="X89" s="3">
        <f t="shared" ca="1" si="100"/>
        <v>5.6261785530811917E-2</v>
      </c>
      <c r="Y89" s="3">
        <f t="shared" ca="1" si="100"/>
        <v>5.366892695826346E-2</v>
      </c>
      <c r="Z89" s="3">
        <f t="shared" ca="1" si="100"/>
        <v>6.975659237837821E-2</v>
      </c>
      <c r="AA89" s="3">
        <f t="shared" ca="1" si="100"/>
        <v>5.5801426991201684E-2</v>
      </c>
      <c r="AB89" s="3">
        <f t="shared" ref="AB89" ca="1" si="105">MIN(0.99,AB32+$O$3)</f>
        <v>7.815018350931191E-2</v>
      </c>
      <c r="AC89" s="3">
        <f t="shared" ca="1" si="94"/>
        <v>6.5500302626473508E-2</v>
      </c>
      <c r="AD89" s="3">
        <f t="shared" ca="1" si="94"/>
        <v>8.7847408599207033E-2</v>
      </c>
      <c r="AE89" s="3">
        <f t="shared" ca="1" si="94"/>
        <v>7.13099613560738E-2</v>
      </c>
      <c r="AF89" s="3">
        <f t="shared" ca="1" si="94"/>
        <v>9.8916984195258156E-2</v>
      </c>
      <c r="AG89" s="3">
        <f t="shared" ca="1" si="94"/>
        <v>7.8462096330036563E-2</v>
      </c>
      <c r="AH89" s="3">
        <f t="shared" ca="1" si="94"/>
        <v>0.10958023754932017</v>
      </c>
      <c r="AI89" s="3">
        <f t="shared" ca="1" si="94"/>
        <v>0.1198409572394854</v>
      </c>
      <c r="AJ89" s="3">
        <f t="shared" ca="1" si="94"/>
        <v>0.1563502311832837</v>
      </c>
    </row>
    <row r="90" spans="1:36" x14ac:dyDescent="0.35">
      <c r="A90" t="s">
        <v>77</v>
      </c>
      <c r="B90" t="s">
        <v>61</v>
      </c>
      <c r="C90" s="4">
        <v>4</v>
      </c>
      <c r="D90" s="3">
        <f t="shared" ca="1" si="77"/>
        <v>3.235208005755251E-2</v>
      </c>
      <c r="E90" s="3">
        <f t="shared" ca="1" si="100"/>
        <v>3.2335862970965093E-2</v>
      </c>
      <c r="F90" s="3">
        <f t="shared" ca="1" si="100"/>
        <v>3.5714404863455729E-2</v>
      </c>
      <c r="G90" s="3">
        <f t="shared" ca="1" si="100"/>
        <v>3.4180053528096582E-2</v>
      </c>
      <c r="H90" s="3">
        <f t="shared" ca="1" si="100"/>
        <v>3.6938500514886563E-2</v>
      </c>
      <c r="I90" s="3">
        <f t="shared" ca="1" si="100"/>
        <v>3.5692401745204383E-2</v>
      </c>
      <c r="J90" s="3">
        <f t="shared" ca="1" si="100"/>
        <v>4.0211337789727755E-2</v>
      </c>
      <c r="K90" s="3">
        <f t="shared" ca="1" si="100"/>
        <v>3.6321227668681046E-2</v>
      </c>
      <c r="L90" s="3">
        <f t="shared" ca="1" si="100"/>
        <v>4.2642544522466123E-2</v>
      </c>
      <c r="M90" s="3">
        <f t="shared" ca="1" si="100"/>
        <v>3.8178911202820916E-2</v>
      </c>
      <c r="N90" s="3">
        <f t="shared" ca="1" si="100"/>
        <v>4.4019778838211877E-2</v>
      </c>
      <c r="O90" s="3">
        <f t="shared" ca="1" si="100"/>
        <v>4.0586177542232475E-2</v>
      </c>
      <c r="P90" s="3">
        <f t="shared" ca="1" si="100"/>
        <v>4.6090641902851462E-2</v>
      </c>
      <c r="Q90" s="3">
        <f t="shared" ca="1" si="100"/>
        <v>4.3405564886151951E-2</v>
      </c>
      <c r="R90" s="3">
        <f t="shared" ca="1" si="100"/>
        <v>4.6927124797033683E-2</v>
      </c>
      <c r="S90" s="3">
        <f t="shared" ca="1" si="100"/>
        <v>4.5857040400956547E-2</v>
      </c>
      <c r="T90" s="3">
        <f t="shared" ca="1" si="100"/>
        <v>4.9611720262156961E-2</v>
      </c>
      <c r="U90" s="3">
        <f t="shared" ca="1" si="100"/>
        <v>4.7009661121339349E-2</v>
      </c>
      <c r="V90" s="3">
        <f t="shared" ca="1" si="100"/>
        <v>5.2982982623372754E-2</v>
      </c>
      <c r="W90" s="3">
        <f t="shared" ca="1" si="100"/>
        <v>4.7386539195028887E-2</v>
      </c>
      <c r="X90" s="3">
        <f t="shared" ca="1" si="100"/>
        <v>5.7253493894606239E-2</v>
      </c>
      <c r="Y90" s="3">
        <f t="shared" ca="1" si="100"/>
        <v>5.4628156595537374E-2</v>
      </c>
      <c r="Z90" s="3">
        <f t="shared" ca="1" si="100"/>
        <v>7.0686007122657046E-2</v>
      </c>
      <c r="AA90" s="3">
        <f t="shared" ca="1" si="100"/>
        <v>5.6800871969292899E-2</v>
      </c>
      <c r="AB90" s="3">
        <f t="shared" ref="AB90" ca="1" si="106">MIN(0.99,AB33+$O$3)</f>
        <v>7.9100027381240251E-2</v>
      </c>
      <c r="AC90" s="3">
        <f t="shared" ca="1" si="94"/>
        <v>6.640945451562387E-2</v>
      </c>
      <c r="AD90" s="3">
        <f t="shared" ca="1" si="94"/>
        <v>8.8814558850557057E-2</v>
      </c>
      <c r="AE90" s="3">
        <f t="shared" ca="1" si="94"/>
        <v>7.2221019353694488E-2</v>
      </c>
      <c r="AF90" s="3">
        <f t="shared" ca="1" si="94"/>
        <v>9.9893395313038036E-2</v>
      </c>
      <c r="AG90" s="3">
        <f t="shared" ca="1" si="94"/>
        <v>7.9421156855715241E-2</v>
      </c>
      <c r="AH90" s="3">
        <f t="shared" ca="1" si="94"/>
        <v>0.11056906406684144</v>
      </c>
      <c r="AI90" s="3">
        <f t="shared" ca="1" si="94"/>
        <v>0.1207484377234154</v>
      </c>
      <c r="AJ90" s="3">
        <f t="shared" ca="1" si="94"/>
        <v>0.15734224271623046</v>
      </c>
    </row>
    <row r="91" spans="1:36" x14ac:dyDescent="0.35">
      <c r="A91" t="s">
        <v>77</v>
      </c>
      <c r="B91" t="s">
        <v>61</v>
      </c>
      <c r="C91" s="4" t="s">
        <v>69</v>
      </c>
      <c r="D91" s="3">
        <f t="shared" ca="1" si="77"/>
        <v>3.3252892781382042E-2</v>
      </c>
      <c r="E91" s="3">
        <f t="shared" ca="1" si="100"/>
        <v>3.3282405117157514E-2</v>
      </c>
      <c r="F91" s="3">
        <f t="shared" ca="1" si="100"/>
        <v>3.667254918277757E-2</v>
      </c>
      <c r="G91" s="3">
        <f t="shared" ca="1" si="100"/>
        <v>3.5115228540177734E-2</v>
      </c>
      <c r="H91" s="3">
        <f t="shared" ca="1" si="100"/>
        <v>3.7904244730124562E-2</v>
      </c>
      <c r="I91" s="3">
        <f t="shared" ca="1" si="100"/>
        <v>3.6672427692525295E-2</v>
      </c>
      <c r="J91" s="3">
        <f t="shared" ca="1" si="100"/>
        <v>4.1198976618254543E-2</v>
      </c>
      <c r="K91" s="3">
        <f t="shared" ca="1" si="100"/>
        <v>3.7293996462293207E-2</v>
      </c>
      <c r="L91" s="3">
        <f t="shared" ca="1" si="100"/>
        <v>4.3608068838596983E-2</v>
      </c>
      <c r="M91" s="3">
        <f t="shared" ca="1" si="100"/>
        <v>3.9113425867899662E-2</v>
      </c>
      <c r="N91" s="3">
        <f t="shared" ca="1" si="100"/>
        <v>4.4948623098868629E-2</v>
      </c>
      <c r="O91" s="3">
        <f t="shared" ca="1" si="100"/>
        <v>4.1528040856690679E-2</v>
      </c>
      <c r="P91" s="3">
        <f t="shared" ca="1" si="100"/>
        <v>4.6995507346124669E-2</v>
      </c>
      <c r="Q91" s="3">
        <f t="shared" ca="1" si="100"/>
        <v>4.4403194391290965E-2</v>
      </c>
      <c r="R91" s="3">
        <f t="shared" ca="1" si="100"/>
        <v>4.7884104771294622E-2</v>
      </c>
      <c r="S91" s="3">
        <f t="shared" ca="1" si="100"/>
        <v>4.6800543029163914E-2</v>
      </c>
      <c r="T91" s="3">
        <f t="shared" ca="1" si="100"/>
        <v>5.0555396402967773E-2</v>
      </c>
      <c r="U91" s="3">
        <f t="shared" ca="1" si="100"/>
        <v>4.7954858093652512E-2</v>
      </c>
      <c r="V91" s="3">
        <f t="shared" ca="1" si="100"/>
        <v>5.3921535955726789E-2</v>
      </c>
      <c r="W91" s="3">
        <f t="shared" ca="1" si="100"/>
        <v>4.8300833425765098E-2</v>
      </c>
      <c r="X91" s="3">
        <f t="shared" ca="1" si="100"/>
        <v>5.8222654669474572E-2</v>
      </c>
      <c r="Y91" s="3">
        <f t="shared" ca="1" si="100"/>
        <v>5.5535037618145364E-2</v>
      </c>
      <c r="Z91" s="3">
        <f t="shared" ca="1" si="100"/>
        <v>7.1612495434711404E-2</v>
      </c>
      <c r="AA91" s="3">
        <f t="shared" ca="1" si="100"/>
        <v>5.773003003791629E-2</v>
      </c>
      <c r="AB91" s="3">
        <f t="shared" ref="AB91" ca="1" si="107">MIN(0.99,AB34+$O$3)</f>
        <v>8.0084024443282026E-2</v>
      </c>
      <c r="AC91" s="3">
        <f t="shared" ca="1" si="94"/>
        <v>6.7396203139463678E-2</v>
      </c>
      <c r="AD91" s="3">
        <f t="shared" ca="1" si="94"/>
        <v>8.9739844545102615E-2</v>
      </c>
      <c r="AE91" s="3">
        <f t="shared" ca="1" si="94"/>
        <v>7.3189370734790288E-2</v>
      </c>
      <c r="AF91" s="3">
        <f t="shared" ca="1" si="94"/>
        <v>0.10085973438554596</v>
      </c>
      <c r="AG91" s="3">
        <f t="shared" ca="1" si="94"/>
        <v>8.0399467951680126E-2</v>
      </c>
      <c r="AH91" s="3">
        <f t="shared" ca="1" si="94"/>
        <v>0.11154306769887337</v>
      </c>
      <c r="AI91" s="3">
        <f t="shared" ca="1" si="94"/>
        <v>0.12170312910221692</v>
      </c>
      <c r="AJ91" s="3">
        <f t="shared" ca="1" si="94"/>
        <v>0.15833512323311782</v>
      </c>
    </row>
    <row r="92" spans="1:36" x14ac:dyDescent="0.35">
      <c r="A92" t="s">
        <v>77</v>
      </c>
      <c r="B92" t="s">
        <v>61</v>
      </c>
      <c r="C92" s="4" t="s">
        <v>70</v>
      </c>
      <c r="D92" s="3">
        <f t="shared" ca="1" si="77"/>
        <v>3.4217907175117988E-2</v>
      </c>
      <c r="E92" s="3">
        <f t="shared" ca="1" si="100"/>
        <v>3.4260425210607334E-2</v>
      </c>
      <c r="F92" s="3">
        <f t="shared" ca="1" si="100"/>
        <v>3.7604297579761276E-2</v>
      </c>
      <c r="G92" s="3">
        <f t="shared" ca="1" si="100"/>
        <v>3.6098446303545577E-2</v>
      </c>
      <c r="H92" s="3">
        <f t="shared" ca="1" si="100"/>
        <v>3.8821406506635008E-2</v>
      </c>
      <c r="I92" s="3">
        <f t="shared" ca="1" si="100"/>
        <v>3.7613072348121647E-2</v>
      </c>
      <c r="J92" s="3">
        <f t="shared" ca="1" si="100"/>
        <v>4.2120896269045964E-2</v>
      </c>
      <c r="K92" s="3">
        <f t="shared" ca="1" si="100"/>
        <v>3.8225934381121027E-2</v>
      </c>
      <c r="L92" s="3">
        <f t="shared" ca="1" si="100"/>
        <v>4.4538076483926312E-2</v>
      </c>
      <c r="M92" s="3">
        <f t="shared" ca="1" si="100"/>
        <v>4.0019057466010033E-2</v>
      </c>
      <c r="N92" s="3">
        <f t="shared" ca="1" si="100"/>
        <v>4.5896820231957638E-2</v>
      </c>
      <c r="O92" s="3">
        <f t="shared" ca="1" si="100"/>
        <v>4.2470061928957997E-2</v>
      </c>
      <c r="P92" s="3">
        <f t="shared" ca="1" si="100"/>
        <v>4.7941357922615016E-2</v>
      </c>
      <c r="Q92" s="3">
        <f t="shared" ca="1" si="100"/>
        <v>4.5319654618823021E-2</v>
      </c>
      <c r="R92" s="3">
        <f t="shared" ca="1" si="100"/>
        <v>4.8878186785647482E-2</v>
      </c>
      <c r="S92" s="3">
        <f t="shared" ca="1" si="100"/>
        <v>4.7765688578388227E-2</v>
      </c>
      <c r="T92" s="3">
        <f t="shared" ca="1" si="100"/>
        <v>5.1501869293947178E-2</v>
      </c>
      <c r="U92" s="3">
        <f t="shared" ca="1" si="100"/>
        <v>4.8944137006687698E-2</v>
      </c>
      <c r="V92" s="3">
        <f t="shared" ca="1" si="100"/>
        <v>5.4911974268886637E-2</v>
      </c>
      <c r="W92" s="3">
        <f t="shared" ca="1" si="100"/>
        <v>4.9251466371785298E-2</v>
      </c>
      <c r="X92" s="3">
        <f t="shared" ca="1" si="100"/>
        <v>5.9157869967204395E-2</v>
      </c>
      <c r="Y92" s="3">
        <f t="shared" ca="1" si="100"/>
        <v>5.6474682437786687E-2</v>
      </c>
      <c r="Z92" s="3">
        <f t="shared" ca="1" si="100"/>
        <v>7.2578907339580084E-2</v>
      </c>
      <c r="AA92" s="3">
        <f t="shared" ca="1" si="100"/>
        <v>5.8661739532130233E-2</v>
      </c>
      <c r="AB92" s="3">
        <f t="shared" ref="AB92" ca="1" si="108">MIN(0.99,AB35+$O$3)</f>
        <v>8.1078184019322264E-2</v>
      </c>
      <c r="AC92" s="3">
        <f t="shared" ca="1" si="94"/>
        <v>6.8379430381883252E-2</v>
      </c>
      <c r="AD92" s="3">
        <f t="shared" ca="1" si="94"/>
        <v>9.0648648288481709E-2</v>
      </c>
      <c r="AE92" s="3">
        <f t="shared" ca="1" si="94"/>
        <v>7.4178590310255338E-2</v>
      </c>
      <c r="AF92" s="3">
        <f t="shared" ca="1" si="94"/>
        <v>0.10181151418939874</v>
      </c>
      <c r="AG92" s="3">
        <f t="shared" ca="1" si="94"/>
        <v>8.1361755985027415E-2</v>
      </c>
      <c r="AH92" s="3">
        <f t="shared" ca="1" si="94"/>
        <v>0.11251985401108358</v>
      </c>
      <c r="AI92" s="3">
        <f t="shared" ca="1" si="94"/>
        <v>0.12263109492365659</v>
      </c>
      <c r="AJ92" s="3">
        <f t="shared" ca="1" si="94"/>
        <v>0.15931527861777903</v>
      </c>
    </row>
    <row r="93" spans="1:36" x14ac:dyDescent="0.35">
      <c r="A93" t="s">
        <v>77</v>
      </c>
      <c r="B93" t="s">
        <v>61</v>
      </c>
      <c r="C93" s="4">
        <v>5</v>
      </c>
      <c r="D93" s="3">
        <f t="shared" ca="1" si="77"/>
        <v>3.5141127813324347E-2</v>
      </c>
      <c r="E93" s="3">
        <f t="shared" ca="1" si="100"/>
        <v>3.520630709202003E-2</v>
      </c>
      <c r="F93" s="3">
        <f t="shared" ca="1" si="100"/>
        <v>3.8519127305588388E-2</v>
      </c>
      <c r="G93" s="3">
        <f t="shared" ca="1" si="100"/>
        <v>3.7069265154552736E-2</v>
      </c>
      <c r="H93" s="3">
        <f t="shared" ca="1" si="100"/>
        <v>3.9724130101544054E-2</v>
      </c>
      <c r="I93" s="3">
        <f t="shared" ca="1" si="100"/>
        <v>3.8565490926466488E-2</v>
      </c>
      <c r="J93" s="3">
        <f t="shared" ca="1" si="100"/>
        <v>4.3062449914054036E-2</v>
      </c>
      <c r="K93" s="3">
        <f t="shared" ca="1" si="100"/>
        <v>3.9222492722526939E-2</v>
      </c>
      <c r="L93" s="3">
        <f t="shared" ca="1" si="100"/>
        <v>4.5509705172763523E-2</v>
      </c>
      <c r="M93" s="3">
        <f t="shared" ca="1" si="100"/>
        <v>4.0926559332582796E-2</v>
      </c>
      <c r="N93" s="3">
        <f t="shared" ca="1" si="100"/>
        <v>4.6872966120531628E-2</v>
      </c>
      <c r="O93" s="3">
        <f t="shared" ca="1" si="100"/>
        <v>4.3399343335724518E-2</v>
      </c>
      <c r="P93" s="3">
        <f t="shared" ca="1" si="100"/>
        <v>4.8855146679280689E-2</v>
      </c>
      <c r="Q93" s="3">
        <f t="shared" ca="1" si="100"/>
        <v>4.6289760714600697E-2</v>
      </c>
      <c r="R93" s="3">
        <f t="shared" ca="1" si="100"/>
        <v>4.9875759237192785E-2</v>
      </c>
      <c r="S93" s="3">
        <f t="shared" ca="1" si="100"/>
        <v>4.8678778355925531E-2</v>
      </c>
      <c r="T93" s="3">
        <f t="shared" ca="1" si="100"/>
        <v>5.2459356794746503E-2</v>
      </c>
      <c r="U93" s="3">
        <f t="shared" ca="1" si="100"/>
        <v>4.9904221102308577E-2</v>
      </c>
      <c r="V93" s="3">
        <f t="shared" ca="1" si="100"/>
        <v>5.5829100213476028E-2</v>
      </c>
      <c r="W93" s="3">
        <f t="shared" ca="1" si="100"/>
        <v>5.0169232363111174E-2</v>
      </c>
      <c r="X93" s="3">
        <f t="shared" ca="1" si="100"/>
        <v>6.0119424562016216E-2</v>
      </c>
      <c r="Y93" s="3">
        <f t="shared" ca="1" si="100"/>
        <v>5.7381735075919302E-2</v>
      </c>
      <c r="Z93" s="3">
        <f t="shared" ca="1" si="100"/>
        <v>7.351395005798543E-2</v>
      </c>
      <c r="AA93" s="3">
        <f t="shared" ca="1" si="100"/>
        <v>5.9624776193692761E-2</v>
      </c>
      <c r="AB93" s="3">
        <f t="shared" ref="AB93" ca="1" si="109">MIN(0.99,AB36+$O$3)</f>
        <v>8.2042020244689387E-2</v>
      </c>
      <c r="AC93" s="3">
        <f t="shared" ca="1" si="94"/>
        <v>6.929820031528075E-2</v>
      </c>
      <c r="AD93" s="3">
        <f t="shared" ca="1" si="94"/>
        <v>9.1648332340733163E-2</v>
      </c>
      <c r="AE93" s="3">
        <f t="shared" ca="1" si="94"/>
        <v>7.509191933019313E-2</v>
      </c>
      <c r="AF93" s="3">
        <f t="shared" ca="1" si="94"/>
        <v>0.1027186089900603</v>
      </c>
      <c r="AG93" s="3">
        <f t="shared" ca="1" si="94"/>
        <v>8.2349041190509176E-2</v>
      </c>
      <c r="AH93" s="3">
        <f t="shared" ca="1" si="94"/>
        <v>0.1134939986085228</v>
      </c>
      <c r="AI93" s="3">
        <f t="shared" ca="1" si="94"/>
        <v>0.12361929079525005</v>
      </c>
      <c r="AJ93" s="3">
        <f t="shared" ca="1" si="94"/>
        <v>0.16024457796971181</v>
      </c>
    </row>
    <row r="94" spans="1:36" x14ac:dyDescent="0.35">
      <c r="A94" t="s">
        <v>77</v>
      </c>
      <c r="B94" t="s">
        <v>61</v>
      </c>
      <c r="C94" s="4" t="s">
        <v>71</v>
      </c>
      <c r="D94" s="3">
        <f t="shared" ca="1" si="77"/>
        <v>3.6047898189398755E-2</v>
      </c>
      <c r="E94" s="3">
        <f t="shared" ca="1" si="100"/>
        <v>3.6193947782503184E-2</v>
      </c>
      <c r="F94" s="3">
        <f t="shared" ca="1" si="100"/>
        <v>3.9486662318163133E-2</v>
      </c>
      <c r="G94" s="3">
        <f t="shared" ca="1" si="100"/>
        <v>3.8053174194000589E-2</v>
      </c>
      <c r="H94" s="3">
        <f t="shared" ca="1" si="100"/>
        <v>4.0642036865934303E-2</v>
      </c>
      <c r="I94" s="3">
        <f t="shared" ca="1" si="100"/>
        <v>3.9560211502161102E-2</v>
      </c>
      <c r="J94" s="3">
        <f t="shared" ca="1" si="100"/>
        <v>4.4049534859065015E-2</v>
      </c>
      <c r="K94" s="3">
        <f t="shared" ca="1" si="100"/>
        <v>4.0169060962864669E-2</v>
      </c>
      <c r="L94" s="3">
        <f t="shared" ca="1" si="100"/>
        <v>4.643033173816323E-2</v>
      </c>
      <c r="M94" s="3">
        <f t="shared" ca="1" si="100"/>
        <v>4.1876624426681427E-2</v>
      </c>
      <c r="N94" s="3">
        <f t="shared" ca="1" si="100"/>
        <v>4.7809813455247735E-2</v>
      </c>
      <c r="O94" s="3">
        <f t="shared" ca="1" si="100"/>
        <v>4.4377995931433933E-2</v>
      </c>
      <c r="P94" s="3">
        <f t="shared" ca="1" si="100"/>
        <v>4.9793216574067947E-2</v>
      </c>
      <c r="Q94" s="3">
        <f t="shared" ca="1" si="100"/>
        <v>4.7258419452100187E-2</v>
      </c>
      <c r="R94" s="3">
        <f t="shared" ca="1" si="100"/>
        <v>5.0777278326176581E-2</v>
      </c>
      <c r="S94" s="3">
        <f t="shared" ca="1" si="100"/>
        <v>4.9646409761639851E-2</v>
      </c>
      <c r="T94" s="3">
        <f t="shared" ca="1" si="100"/>
        <v>5.3415216781662486E-2</v>
      </c>
      <c r="U94" s="3">
        <f t="shared" ca="1" si="100"/>
        <v>5.0804867165896148E-2</v>
      </c>
      <c r="V94" s="3">
        <f t="shared" ca="1" si="100"/>
        <v>5.6730977380573942E-2</v>
      </c>
      <c r="W94" s="3">
        <f t="shared" ca="1" si="100"/>
        <v>5.1087726139519521E-2</v>
      </c>
      <c r="X94" s="3">
        <f t="shared" ca="1" si="100"/>
        <v>6.1095100583476614E-2</v>
      </c>
      <c r="Y94" s="3">
        <f t="shared" ca="1" si="100"/>
        <v>5.8334191895975052E-2</v>
      </c>
      <c r="Z94" s="3">
        <f t="shared" ca="1" si="100"/>
        <v>7.4455706509084313E-2</v>
      </c>
      <c r="AA94" s="3">
        <f t="shared" ca="1" si="100"/>
        <v>6.0556358937544491E-2</v>
      </c>
      <c r="AB94" s="3">
        <f t="shared" ref="AB94" ca="1" si="110">MIN(0.99,AB37+$O$3)</f>
        <v>8.2948572433135068E-2</v>
      </c>
      <c r="AC94" s="3">
        <f t="shared" ca="1" si="94"/>
        <v>7.0230392305639544E-2</v>
      </c>
      <c r="AD94" s="3">
        <f t="shared" ca="1" si="94"/>
        <v>9.2563937466386137E-2</v>
      </c>
      <c r="AE94" s="3">
        <f t="shared" ca="1" si="94"/>
        <v>7.6082503672523727E-2</v>
      </c>
      <c r="AF94" s="3">
        <f t="shared" ca="1" si="94"/>
        <v>0.1036682732455991</v>
      </c>
      <c r="AG94" s="3">
        <f t="shared" ca="1" si="94"/>
        <v>8.3300967396244319E-2</v>
      </c>
      <c r="AH94" s="3">
        <f t="shared" ca="1" si="94"/>
        <v>0.114447017454676</v>
      </c>
      <c r="AI94" s="3">
        <f t="shared" ca="1" si="94"/>
        <v>0.12452284634534333</v>
      </c>
      <c r="AJ94" s="3">
        <f t="shared" ca="1" si="94"/>
        <v>0.16120877061491065</v>
      </c>
    </row>
    <row r="95" spans="1:36" x14ac:dyDescent="0.35">
      <c r="A95" t="s">
        <v>77</v>
      </c>
      <c r="B95" t="s">
        <v>61</v>
      </c>
      <c r="C95" s="4" t="s">
        <v>72</v>
      </c>
      <c r="D95" s="3">
        <f t="shared" ca="1" si="77"/>
        <v>3.7013505165867149E-2</v>
      </c>
      <c r="E95" s="3">
        <f t="shared" ca="1" si="100"/>
        <v>3.7101137214670267E-2</v>
      </c>
      <c r="F95" s="3">
        <f t="shared" ca="1" si="100"/>
        <v>4.0410918885738126E-2</v>
      </c>
      <c r="G95" s="3">
        <f t="shared" ca="1" si="100"/>
        <v>3.8954117364351559E-2</v>
      </c>
      <c r="H95" s="3">
        <f t="shared" ca="1" si="100"/>
        <v>4.1587022473391674E-2</v>
      </c>
      <c r="I95" s="3">
        <f t="shared" ca="1" si="100"/>
        <v>4.0522164274478335E-2</v>
      </c>
      <c r="J95" s="3">
        <f t="shared" ca="1" si="100"/>
        <v>4.5022467919716688E-2</v>
      </c>
      <c r="K95" s="3">
        <f t="shared" ca="1" si="100"/>
        <v>4.1131211947502549E-2</v>
      </c>
      <c r="L95" s="3">
        <f t="shared" ca="1" si="100"/>
        <v>4.7353501189013533E-2</v>
      </c>
      <c r="M95" s="3">
        <f t="shared" ca="1" si="100"/>
        <v>4.2792964892850067E-2</v>
      </c>
      <c r="N95" s="3">
        <f t="shared" ca="1" si="100"/>
        <v>4.8760148147333475E-2</v>
      </c>
      <c r="O95" s="3">
        <f t="shared" ca="1" si="100"/>
        <v>4.5367970339510233E-2</v>
      </c>
      <c r="P95" s="3">
        <f t="shared" ca="1" si="100"/>
        <v>5.0718818699454077E-2</v>
      </c>
      <c r="Q95" s="3">
        <f t="shared" ca="1" si="100"/>
        <v>4.8188982618582531E-2</v>
      </c>
      <c r="R95" s="3">
        <f t="shared" ca="1" si="100"/>
        <v>5.1719875408066281E-2</v>
      </c>
      <c r="S95" s="3">
        <f t="shared" ca="1" si="100"/>
        <v>5.0584865961715783E-2</v>
      </c>
      <c r="T95" s="3">
        <f t="shared" ca="1" si="100"/>
        <v>5.4401563884860164E-2</v>
      </c>
      <c r="U95" s="3">
        <f t="shared" ca="1" si="100"/>
        <v>5.1783487034411102E-2</v>
      </c>
      <c r="V95" s="3">
        <f t="shared" ca="1" si="100"/>
        <v>5.7659832673463238E-2</v>
      </c>
      <c r="W95" s="3">
        <f t="shared" ca="1" si="100"/>
        <v>5.2058065415066482E-2</v>
      </c>
      <c r="X95" s="3">
        <f t="shared" ca="1" si="100"/>
        <v>6.205987813908518E-2</v>
      </c>
      <c r="Y95" s="3">
        <f t="shared" ca="1" si="100"/>
        <v>5.9235837176143488E-2</v>
      </c>
      <c r="Z95" s="3">
        <f t="shared" ca="1" si="100"/>
        <v>7.5398676152535815E-2</v>
      </c>
      <c r="AA95" s="3">
        <f t="shared" ca="1" si="100"/>
        <v>6.1542617821804521E-2</v>
      </c>
      <c r="AB95" s="3">
        <f t="shared" ref="AB95:AJ110" ca="1" si="111">MIN(0.99,AB38+$O$3)</f>
        <v>8.3927174351363126E-2</v>
      </c>
      <c r="AC95" s="3">
        <f t="shared" ca="1" si="111"/>
        <v>7.117255572484027E-2</v>
      </c>
      <c r="AD95" s="3">
        <f t="shared" ca="1" si="111"/>
        <v>9.3552949575624045E-2</v>
      </c>
      <c r="AE95" s="3">
        <f t="shared" ca="1" si="111"/>
        <v>7.7075933108579436E-2</v>
      </c>
      <c r="AF95" s="3">
        <f t="shared" ca="1" si="111"/>
        <v>0.10458715556417875</v>
      </c>
      <c r="AG95" s="3">
        <f t="shared" ca="1" si="111"/>
        <v>8.4277389347350143E-2</v>
      </c>
      <c r="AH95" s="3">
        <f t="shared" ca="1" si="111"/>
        <v>0.11541017335713322</v>
      </c>
      <c r="AI95" s="3">
        <f t="shared" ca="1" si="111"/>
        <v>0.12546192958839025</v>
      </c>
      <c r="AJ95" s="3">
        <f t="shared" ca="1" si="111"/>
        <v>0.16217088335100344</v>
      </c>
    </row>
    <row r="96" spans="1:36" x14ac:dyDescent="0.35">
      <c r="A96" t="s">
        <v>77</v>
      </c>
      <c r="B96" t="s">
        <v>61</v>
      </c>
      <c r="C96" s="4">
        <v>6</v>
      </c>
      <c r="D96" s="3">
        <f t="shared" ca="1" si="77"/>
        <v>3.7970960225025635E-2</v>
      </c>
      <c r="E96" s="3">
        <f t="shared" ca="1" si="100"/>
        <v>3.8006002806789403E-2</v>
      </c>
      <c r="F96" s="3">
        <f t="shared" ca="1" si="100"/>
        <v>4.1363045427415021E-2</v>
      </c>
      <c r="G96" s="3">
        <f t="shared" ca="1" si="100"/>
        <v>3.9884495966732082E-2</v>
      </c>
      <c r="H96" s="3">
        <f t="shared" ca="1" si="100"/>
        <v>4.2579234012875958E-2</v>
      </c>
      <c r="I96" s="3">
        <f t="shared" ca="1" si="100"/>
        <v>4.1441447587045641E-2</v>
      </c>
      <c r="J96" s="3">
        <f t="shared" ca="1" si="100"/>
        <v>4.5950110951396651E-2</v>
      </c>
      <c r="K96" s="3">
        <f t="shared" ca="1" si="100"/>
        <v>4.2050528695585711E-2</v>
      </c>
      <c r="L96" s="3">
        <f t="shared" ca="1" si="100"/>
        <v>4.8323989179398043E-2</v>
      </c>
      <c r="M96" s="3">
        <f t="shared" ca="1" si="100"/>
        <v>4.3728798409588682E-2</v>
      </c>
      <c r="N96" s="3">
        <f t="shared" ca="1" si="100"/>
        <v>4.9662882813241896E-2</v>
      </c>
      <c r="O96" s="3">
        <f t="shared" ca="1" si="100"/>
        <v>4.6311053486308845E-2</v>
      </c>
      <c r="P96" s="3">
        <f t="shared" ca="1" si="100"/>
        <v>5.1688784170756355E-2</v>
      </c>
      <c r="Q96" s="3">
        <f t="shared" ca="1" si="100"/>
        <v>4.917001329686646E-2</v>
      </c>
      <c r="R96" s="3">
        <f t="shared" ca="1" si="100"/>
        <v>5.2630327529122799E-2</v>
      </c>
      <c r="S96" s="3">
        <f t="shared" ca="1" si="100"/>
        <v>5.1504173285796762E-2</v>
      </c>
      <c r="T96" s="3">
        <f t="shared" ca="1" si="100"/>
        <v>5.537828866634787E-2</v>
      </c>
      <c r="U96" s="3">
        <f t="shared" ca="1" si="100"/>
        <v>5.2782537071597121E-2</v>
      </c>
      <c r="V96" s="3">
        <f t="shared" ca="1" si="100"/>
        <v>5.8618548104760221E-2</v>
      </c>
      <c r="W96" s="3">
        <f t="shared" ca="1" si="100"/>
        <v>5.2980514234866286E-2</v>
      </c>
      <c r="X96" s="3">
        <f t="shared" ca="1" si="100"/>
        <v>6.296815991514125E-2</v>
      </c>
      <c r="Y96" s="3">
        <f t="shared" ca="1" si="100"/>
        <v>6.0162082463951272E-2</v>
      </c>
      <c r="Z96" s="3">
        <f t="shared" ref="E96:AA107" ca="1" si="112">MIN(0.99,Z39+$O$3)</f>
        <v>7.6338252552760028E-2</v>
      </c>
      <c r="AA96" s="3">
        <f t="shared" ca="1" si="112"/>
        <v>6.2508086926544609E-2</v>
      </c>
      <c r="AB96" s="3">
        <f t="shared" ref="AB96" ca="1" si="113">MIN(0.99,AB39+$O$3)</f>
        <v>8.4836267131019327E-2</v>
      </c>
      <c r="AC96" s="3">
        <f t="shared" ca="1" si="111"/>
        <v>7.2102948033483383E-2</v>
      </c>
      <c r="AD96" s="3">
        <f t="shared" ca="1" si="111"/>
        <v>9.4473152505702374E-2</v>
      </c>
      <c r="AE96" s="3">
        <f t="shared" ca="1" si="111"/>
        <v>7.8001270790248961E-2</v>
      </c>
      <c r="AF96" s="3">
        <f t="shared" ca="1" si="111"/>
        <v>0.10551316074301681</v>
      </c>
      <c r="AG96" s="3">
        <f t="shared" ca="1" si="111"/>
        <v>8.5272324017778622E-2</v>
      </c>
      <c r="AH96" s="3">
        <f t="shared" ca="1" si="111"/>
        <v>0.1163649914955405</v>
      </c>
      <c r="AI96" s="3">
        <f t="shared" ca="1" si="111"/>
        <v>0.12638529268917817</v>
      </c>
      <c r="AJ96" s="3">
        <f t="shared" ca="1" si="111"/>
        <v>0.1630860884403256</v>
      </c>
    </row>
    <row r="97" spans="1:36" x14ac:dyDescent="0.35">
      <c r="A97" t="s">
        <v>77</v>
      </c>
      <c r="B97" t="s">
        <v>61</v>
      </c>
      <c r="C97" s="4" t="s">
        <v>73</v>
      </c>
      <c r="D97" s="3">
        <f t="shared" ca="1" si="77"/>
        <v>3.8941438933984121E-2</v>
      </c>
      <c r="E97" s="3">
        <f t="shared" ca="1" si="112"/>
        <v>3.8971283240850009E-2</v>
      </c>
      <c r="F97" s="3">
        <f t="shared" ca="1" si="112"/>
        <v>4.2349583121652198E-2</v>
      </c>
      <c r="G97" s="3">
        <f t="shared" ca="1" si="112"/>
        <v>4.0814325947342682E-2</v>
      </c>
      <c r="H97" s="3">
        <f t="shared" ca="1" si="112"/>
        <v>4.3512903161412757E-2</v>
      </c>
      <c r="I97" s="3">
        <f t="shared" ca="1" si="112"/>
        <v>4.2380539483678877E-2</v>
      </c>
      <c r="J97" s="3">
        <f t="shared" ca="1" si="112"/>
        <v>4.6892831174568203E-2</v>
      </c>
      <c r="K97" s="3">
        <f t="shared" ca="1" si="112"/>
        <v>4.3047413940262846E-2</v>
      </c>
      <c r="L97" s="3">
        <f t="shared" ca="1" si="112"/>
        <v>4.93079756984416E-2</v>
      </c>
      <c r="M97" s="3">
        <f t="shared" ca="1" si="112"/>
        <v>4.4719134038379758E-2</v>
      </c>
      <c r="N97" s="3">
        <f t="shared" ca="1" si="112"/>
        <v>5.0649376115792649E-2</v>
      </c>
      <c r="O97" s="3">
        <f t="shared" ca="1" si="112"/>
        <v>4.7265487004970609E-2</v>
      </c>
      <c r="P97" s="3">
        <f t="shared" ca="1" si="112"/>
        <v>5.2629640961623009E-2</v>
      </c>
      <c r="Q97" s="3">
        <f t="shared" ca="1" si="112"/>
        <v>5.014679955639012E-2</v>
      </c>
      <c r="R97" s="3">
        <f t="shared" ca="1" si="112"/>
        <v>5.3607185834596296E-2</v>
      </c>
      <c r="S97" s="3">
        <f t="shared" ca="1" si="112"/>
        <v>5.2472686577660618E-2</v>
      </c>
      <c r="T97" s="3">
        <f t="shared" ca="1" si="112"/>
        <v>5.6287143157083663E-2</v>
      </c>
      <c r="U97" s="3">
        <f t="shared" ca="1" si="112"/>
        <v>5.3722496671661568E-2</v>
      </c>
      <c r="V97" s="3">
        <f t="shared" ca="1" si="112"/>
        <v>5.9581786632328576E-2</v>
      </c>
      <c r="W97" s="3">
        <f t="shared" ca="1" si="112"/>
        <v>5.3957107034432725E-2</v>
      </c>
      <c r="X97" s="3">
        <f t="shared" ca="1" si="112"/>
        <v>6.3946669050622809E-2</v>
      </c>
      <c r="Y97" s="3">
        <f t="shared" ca="1" si="112"/>
        <v>6.1078918917457536E-2</v>
      </c>
      <c r="Z97" s="3">
        <f t="shared" ca="1" si="112"/>
        <v>7.7334913182412923E-2</v>
      </c>
      <c r="AA97" s="3">
        <f t="shared" ca="1" si="112"/>
        <v>6.3408931423628218E-2</v>
      </c>
      <c r="AB97" s="3">
        <f t="shared" ref="AB97" ca="1" si="114">MIN(0.99,AB40+$O$3)</f>
        <v>8.5794528508729789E-2</v>
      </c>
      <c r="AC97" s="3">
        <f t="shared" ca="1" si="111"/>
        <v>7.3102476651004847E-2</v>
      </c>
      <c r="AD97" s="3">
        <f t="shared" ca="1" si="111"/>
        <v>9.5420811871966355E-2</v>
      </c>
      <c r="AE97" s="3">
        <f t="shared" ca="1" si="111"/>
        <v>7.8917039247212883E-2</v>
      </c>
      <c r="AF97" s="3">
        <f t="shared" ca="1" si="111"/>
        <v>0.10649996403339043</v>
      </c>
      <c r="AG97" s="3">
        <f t="shared" ca="1" si="111"/>
        <v>8.6262655806081695E-2</v>
      </c>
      <c r="AH97" s="3">
        <f t="shared" ca="1" si="111"/>
        <v>0.11731322789948467</v>
      </c>
      <c r="AI97" s="3">
        <f t="shared" ca="1" si="111"/>
        <v>0.12734145298080213</v>
      </c>
      <c r="AJ97" s="3">
        <f t="shared" ca="1" si="111"/>
        <v>0.16400767388322995</v>
      </c>
    </row>
    <row r="98" spans="1:36" x14ac:dyDescent="0.35">
      <c r="A98" t="s">
        <v>77</v>
      </c>
      <c r="B98" t="s">
        <v>61</v>
      </c>
      <c r="C98" s="4" t="s">
        <v>74</v>
      </c>
      <c r="D98" s="3">
        <f t="shared" ca="1" si="77"/>
        <v>3.9898896359240668E-2</v>
      </c>
      <c r="E98" s="3">
        <f t="shared" ca="1" si="112"/>
        <v>3.9954218888753487E-2</v>
      </c>
      <c r="F98" s="3">
        <f t="shared" ca="1" si="112"/>
        <v>4.3290226770066012E-2</v>
      </c>
      <c r="G98" s="3">
        <f t="shared" ca="1" si="112"/>
        <v>4.1752458296207787E-2</v>
      </c>
      <c r="H98" s="3">
        <f t="shared" ca="1" si="112"/>
        <v>4.4500837200920476E-2</v>
      </c>
      <c r="I98" s="3">
        <f t="shared" ca="1" si="112"/>
        <v>4.3351148179154822E-2</v>
      </c>
      <c r="J98" s="3">
        <f t="shared" ca="1" si="112"/>
        <v>4.7876313122492326E-2</v>
      </c>
      <c r="K98" s="3">
        <f t="shared" ca="1" si="112"/>
        <v>4.3975178429432396E-2</v>
      </c>
      <c r="L98" s="3">
        <f t="shared" ca="1" si="112"/>
        <v>5.0210746475896531E-2</v>
      </c>
      <c r="M98" s="3">
        <f t="shared" ca="1" si="112"/>
        <v>4.562137423041282E-2</v>
      </c>
      <c r="N98" s="3">
        <f t="shared" ca="1" si="112"/>
        <v>5.1552626250183385E-2</v>
      </c>
      <c r="O98" s="3">
        <f t="shared" ca="1" si="112"/>
        <v>4.8235304255523949E-2</v>
      </c>
      <c r="P98" s="3">
        <f t="shared" ca="1" si="112"/>
        <v>5.3592678381497977E-2</v>
      </c>
      <c r="Q98" s="3">
        <f t="shared" ca="1" si="112"/>
        <v>5.1106199962341947E-2</v>
      </c>
      <c r="R98" s="3">
        <f t="shared" ca="1" si="112"/>
        <v>5.4600899930007024E-2</v>
      </c>
      <c r="S98" s="3">
        <f t="shared" ca="1" si="112"/>
        <v>5.3462693315118132E-2</v>
      </c>
      <c r="T98" s="3">
        <f t="shared" ca="1" si="112"/>
        <v>5.7267995604864431E-2</v>
      </c>
      <c r="U98" s="3">
        <f t="shared" ca="1" si="112"/>
        <v>5.4693317284550527E-2</v>
      </c>
      <c r="V98" s="3">
        <f t="shared" ca="1" si="112"/>
        <v>6.0523707203621456E-2</v>
      </c>
      <c r="W98" s="3">
        <f t="shared" ca="1" si="112"/>
        <v>5.4903900831188554E-2</v>
      </c>
      <c r="X98" s="3">
        <f t="shared" ca="1" si="112"/>
        <v>6.4881290495929528E-2</v>
      </c>
      <c r="Y98" s="3">
        <f t="shared" ca="1" si="112"/>
        <v>6.2054225701150399E-2</v>
      </c>
      <c r="Z98" s="3">
        <f t="shared" ca="1" si="112"/>
        <v>7.8297945301703961E-2</v>
      </c>
      <c r="AA98" s="3">
        <f t="shared" ca="1" si="112"/>
        <v>6.4319546827239518E-2</v>
      </c>
      <c r="AB98" s="3">
        <f t="shared" ref="AB98" ca="1" si="115">MIN(0.99,AB41+$O$3)</f>
        <v>8.6791338742747803E-2</v>
      </c>
      <c r="AC98" s="3">
        <f t="shared" ca="1" si="111"/>
        <v>7.4059963920532129E-2</v>
      </c>
      <c r="AD98" s="3">
        <f t="shared" ca="1" si="111"/>
        <v>9.6328591280725906E-2</v>
      </c>
      <c r="AE98" s="3">
        <f t="shared" ca="1" si="111"/>
        <v>7.988298759630269E-2</v>
      </c>
      <c r="AF98" s="3">
        <f t="shared" ca="1" si="111"/>
        <v>0.1074455038081103</v>
      </c>
      <c r="AG98" s="3">
        <f t="shared" ca="1" si="111"/>
        <v>8.7178952137762E-2</v>
      </c>
      <c r="AH98" s="3">
        <f t="shared" ca="1" si="111"/>
        <v>0.1183081456991471</v>
      </c>
      <c r="AI98" s="3">
        <f t="shared" ca="1" si="111"/>
        <v>0.12829671998418019</v>
      </c>
      <c r="AJ98" s="3">
        <f t="shared" ca="1" si="111"/>
        <v>0.16491627696969996</v>
      </c>
    </row>
    <row r="99" spans="1:36" x14ac:dyDescent="0.35">
      <c r="A99" t="s">
        <v>77</v>
      </c>
      <c r="B99" t="s">
        <v>61</v>
      </c>
      <c r="C99" s="4">
        <v>7</v>
      </c>
      <c r="D99" s="3">
        <f t="shared" ca="1" si="77"/>
        <v>4.0840782773344589E-2</v>
      </c>
      <c r="E99" s="3">
        <f t="shared" ca="1" si="112"/>
        <v>4.0908550115087844E-2</v>
      </c>
      <c r="F99" s="3">
        <f t="shared" ca="1" si="112"/>
        <v>4.4200582888255013E-2</v>
      </c>
      <c r="G99" s="3">
        <f t="shared" ca="1" si="112"/>
        <v>4.2709243248238542E-2</v>
      </c>
      <c r="H99" s="3">
        <f t="shared" ca="1" si="112"/>
        <v>4.5479103901798129E-2</v>
      </c>
      <c r="I99" s="3">
        <f t="shared" ca="1" si="112"/>
        <v>4.4321721369115899E-2</v>
      </c>
      <c r="J99" s="3">
        <f t="shared" ca="1" si="112"/>
        <v>4.8800892642992283E-2</v>
      </c>
      <c r="K99" s="3">
        <f t="shared" ca="1" si="112"/>
        <v>4.4908359212996962E-2</v>
      </c>
      <c r="L99" s="3">
        <f t="shared" ca="1" si="112"/>
        <v>5.115793415797857E-2</v>
      </c>
      <c r="M99" s="3">
        <f t="shared" ca="1" si="112"/>
        <v>4.6522051983000093E-2</v>
      </c>
      <c r="N99" s="3">
        <f t="shared" ca="1" si="112"/>
        <v>5.2546386207429185E-2</v>
      </c>
      <c r="O99" s="3">
        <f t="shared" ca="1" si="112"/>
        <v>4.9150129067042567E-2</v>
      </c>
      <c r="P99" s="3">
        <f t="shared" ca="1" si="112"/>
        <v>5.4578800119039067E-2</v>
      </c>
      <c r="Q99" s="3">
        <f t="shared" ca="1" si="112"/>
        <v>5.2103363753704529E-2</v>
      </c>
      <c r="R99" s="3">
        <f t="shared" ca="1" si="112"/>
        <v>5.556536807096072E-2</v>
      </c>
      <c r="S99" s="3">
        <f t="shared" ca="1" si="112"/>
        <v>5.4450265289794797E-2</v>
      </c>
      <c r="T99" s="3">
        <f t="shared" ca="1" si="112"/>
        <v>5.8255384463221892E-2</v>
      </c>
      <c r="U99" s="3">
        <f t="shared" ca="1" si="112"/>
        <v>5.5683150111262542E-2</v>
      </c>
      <c r="V99" s="3">
        <f t="shared" ca="1" si="112"/>
        <v>6.1511337076823561E-2</v>
      </c>
      <c r="W99" s="3">
        <f t="shared" ca="1" si="112"/>
        <v>5.5838293996067503E-2</v>
      </c>
      <c r="X99" s="3">
        <f t="shared" ca="1" si="112"/>
        <v>6.5828963375130334E-2</v>
      </c>
      <c r="Y99" s="3">
        <f t="shared" ca="1" si="112"/>
        <v>6.3004388031448533E-2</v>
      </c>
      <c r="Z99" s="3">
        <f t="shared" ca="1" si="112"/>
        <v>7.9250622448529706E-2</v>
      </c>
      <c r="AA99" s="3">
        <f t="shared" ca="1" si="112"/>
        <v>6.5274551291892052E-2</v>
      </c>
      <c r="AB99" s="3">
        <f t="shared" ref="AB99" ca="1" si="116">MIN(0.99,AB42+$O$3)</f>
        <v>8.7694199843996623E-2</v>
      </c>
      <c r="AC99" s="3">
        <f t="shared" ca="1" si="111"/>
        <v>7.498491494916347E-2</v>
      </c>
      <c r="AD99" s="3">
        <f t="shared" ca="1" si="111"/>
        <v>9.7309326992941619E-2</v>
      </c>
      <c r="AE99" s="3">
        <f t="shared" ca="1" si="111"/>
        <v>8.0790028523985175E-2</v>
      </c>
      <c r="AF99" s="3">
        <f t="shared" ca="1" si="111"/>
        <v>0.10841087165827493</v>
      </c>
      <c r="AG99" s="3">
        <f t="shared" ca="1" si="111"/>
        <v>8.8114292189571591E-2</v>
      </c>
      <c r="AH99" s="3">
        <f t="shared" ca="1" si="111"/>
        <v>0.11928533318532722</v>
      </c>
      <c r="AI99" s="3">
        <f t="shared" ca="1" si="111"/>
        <v>0.12927925400946491</v>
      </c>
      <c r="AJ99" s="3">
        <f t="shared" ca="1" si="111"/>
        <v>0.16582051759209637</v>
      </c>
    </row>
    <row r="100" spans="1:36" x14ac:dyDescent="0.35">
      <c r="A100" t="s">
        <v>77</v>
      </c>
      <c r="B100" t="s">
        <v>61</v>
      </c>
      <c r="C100" s="4" t="s">
        <v>75</v>
      </c>
      <c r="D100" s="3">
        <f t="shared" ca="1" si="77"/>
        <v>4.1818896010044848E-2</v>
      </c>
      <c r="E100" s="3">
        <f t="shared" ca="1" si="112"/>
        <v>4.1830000834851305E-2</v>
      </c>
      <c r="F100" s="3">
        <f t="shared" ca="1" si="112"/>
        <v>4.5173771869622181E-2</v>
      </c>
      <c r="G100" s="3">
        <f t="shared" ca="1" si="112"/>
        <v>4.3610550581027585E-2</v>
      </c>
      <c r="H100" s="3">
        <f t="shared" ca="1" si="112"/>
        <v>4.6453683490209625E-2</v>
      </c>
      <c r="I100" s="3">
        <f t="shared" ca="1" si="112"/>
        <v>4.5292380706682303E-2</v>
      </c>
      <c r="J100" s="3">
        <f t="shared" ca="1" si="112"/>
        <v>4.9799687461112463E-2</v>
      </c>
      <c r="K100" s="3">
        <f t="shared" ca="1" si="112"/>
        <v>4.5823234018341097E-2</v>
      </c>
      <c r="L100" s="3">
        <f t="shared" ca="1" si="112"/>
        <v>5.206568891108497E-2</v>
      </c>
      <c r="M100" s="3">
        <f t="shared" ca="1" si="112"/>
        <v>4.7423454540192381E-2</v>
      </c>
      <c r="N100" s="3">
        <f t="shared" ca="1" si="112"/>
        <v>5.3513995510441822E-2</v>
      </c>
      <c r="O100" s="3">
        <f t="shared" ca="1" si="112"/>
        <v>5.0069033195365008E-2</v>
      </c>
      <c r="P100" s="3">
        <f t="shared" ca="1" si="112"/>
        <v>5.5507055929296674E-2</v>
      </c>
      <c r="Q100" s="3">
        <f t="shared" ca="1" si="112"/>
        <v>5.305669421780343E-2</v>
      </c>
      <c r="R100" s="3">
        <f t="shared" ca="1" si="112"/>
        <v>5.649735244913482E-2</v>
      </c>
      <c r="S100" s="3">
        <f t="shared" ca="1" si="112"/>
        <v>5.5381384150811612E-2</v>
      </c>
      <c r="T100" s="3">
        <f t="shared" ca="1" si="112"/>
        <v>5.915833544784662E-2</v>
      </c>
      <c r="U100" s="3">
        <f t="shared" ca="1" si="112"/>
        <v>5.6603192623945531E-2</v>
      </c>
      <c r="V100" s="3">
        <f t="shared" ca="1" si="112"/>
        <v>6.2470695338767555E-2</v>
      </c>
      <c r="W100" s="3">
        <f t="shared" ca="1" si="112"/>
        <v>5.6784196995109684E-2</v>
      </c>
      <c r="X100" s="3">
        <f t="shared" ca="1" si="112"/>
        <v>6.6786435065790017E-2</v>
      </c>
      <c r="Y100" s="3">
        <f t="shared" ca="1" si="112"/>
        <v>6.3982476254653822E-2</v>
      </c>
      <c r="Z100" s="3">
        <f t="shared" ca="1" si="112"/>
        <v>8.0246627711201501E-2</v>
      </c>
      <c r="AA100" s="3">
        <f t="shared" ca="1" si="112"/>
        <v>6.6222569322303804E-2</v>
      </c>
      <c r="AB100" s="3">
        <f t="shared" ref="AB100" ca="1" si="117">MIN(0.99,AB43+$O$3)</f>
        <v>8.8687402456049252E-2</v>
      </c>
      <c r="AC100" s="3">
        <f t="shared" ca="1" si="111"/>
        <v>7.5912452012992002E-2</v>
      </c>
      <c r="AD100" s="3">
        <f t="shared" ca="1" si="111"/>
        <v>9.8227067526741457E-2</v>
      </c>
      <c r="AE100" s="3">
        <f t="shared" ca="1" si="111"/>
        <v>8.1707440877526349E-2</v>
      </c>
      <c r="AF100" s="3">
        <f t="shared" ca="1" si="111"/>
        <v>0.10935985654148886</v>
      </c>
      <c r="AG100" s="3">
        <f t="shared" ca="1" si="111"/>
        <v>8.9064678256661811E-2</v>
      </c>
      <c r="AH100" s="3">
        <f t="shared" ca="1" si="111"/>
        <v>0.12027538596171233</v>
      </c>
      <c r="AI100" s="3">
        <f t="shared" ca="1" si="111"/>
        <v>0.13024007329217355</v>
      </c>
      <c r="AJ100" s="3">
        <f t="shared" ca="1" si="111"/>
        <v>0.16676799401159856</v>
      </c>
    </row>
    <row r="101" spans="1:36" x14ac:dyDescent="0.35">
      <c r="A101" t="s">
        <v>77</v>
      </c>
      <c r="B101" t="s">
        <v>62</v>
      </c>
      <c r="C101" s="4">
        <v>1</v>
      </c>
      <c r="D101" s="3">
        <f t="shared" ca="1" si="77"/>
        <v>2.5908730040489006E-2</v>
      </c>
      <c r="E101" s="3">
        <f t="shared" ca="1" si="112"/>
        <v>2.5692759589344978E-2</v>
      </c>
      <c r="F101" s="3">
        <f t="shared" ca="1" si="112"/>
        <v>2.9065254023714276E-2</v>
      </c>
      <c r="G101" s="3">
        <f t="shared" ca="1" si="112"/>
        <v>2.7527641371260767E-2</v>
      </c>
      <c r="H101" s="3">
        <f t="shared" ca="1" si="112"/>
        <v>3.03545960795523E-2</v>
      </c>
      <c r="I101" s="3">
        <f t="shared" ca="1" si="112"/>
        <v>2.8997298520200821E-2</v>
      </c>
      <c r="J101" s="3">
        <f t="shared" ca="1" si="112"/>
        <v>3.3600602136854729E-2</v>
      </c>
      <c r="K101" s="3">
        <f t="shared" ca="1" si="112"/>
        <v>2.9736121486817847E-2</v>
      </c>
      <c r="L101" s="3">
        <f t="shared" ca="1" si="112"/>
        <v>3.6033100746591135E-2</v>
      </c>
      <c r="M101" s="3">
        <f t="shared" ca="1" si="112"/>
        <v>3.1691299787420329E-2</v>
      </c>
      <c r="N101" s="3">
        <f t="shared" ca="1" si="112"/>
        <v>3.7352141769093232E-2</v>
      </c>
      <c r="O101" s="3">
        <f t="shared" ca="1" si="112"/>
        <v>3.3971978322727921E-2</v>
      </c>
      <c r="P101" s="3">
        <f t="shared" ca="1" si="112"/>
        <v>3.9558639327613131E-2</v>
      </c>
      <c r="Q101" s="3">
        <f t="shared" ca="1" si="112"/>
        <v>3.6890840096464657E-2</v>
      </c>
      <c r="R101" s="3">
        <f t="shared" ca="1" si="112"/>
        <v>4.0149829134986839E-2</v>
      </c>
      <c r="S101" s="3">
        <f t="shared" ca="1" si="112"/>
        <v>3.9256767413286847E-2</v>
      </c>
      <c r="T101" s="3">
        <f t="shared" ca="1" si="112"/>
        <v>4.2955356432827184E-2</v>
      </c>
      <c r="U101" s="3">
        <f t="shared" ca="1" si="112"/>
        <v>4.0548173535937558E-2</v>
      </c>
      <c r="V101" s="3">
        <f t="shared" ca="1" si="112"/>
        <v>4.6237186900709819E-2</v>
      </c>
      <c r="W101" s="3">
        <f t="shared" ca="1" si="112"/>
        <v>4.0813908283122688E-2</v>
      </c>
      <c r="X101" s="3">
        <f t="shared" ca="1" si="112"/>
        <v>5.0555517609274632E-2</v>
      </c>
      <c r="Y101" s="3">
        <f t="shared" ca="1" si="112"/>
        <v>4.8032981014679274E-2</v>
      </c>
      <c r="Z101" s="3">
        <f t="shared" ca="1" si="112"/>
        <v>6.4024006264654376E-2</v>
      </c>
      <c r="AA101" s="3">
        <f t="shared" ca="1" si="112"/>
        <v>5.00510253770034E-2</v>
      </c>
      <c r="AB101" s="3">
        <f t="shared" ref="AB101" ca="1" si="118">MIN(0.99,AB44+$O$3)</f>
        <v>7.2531951163118655E-2</v>
      </c>
      <c r="AC101" s="3">
        <f t="shared" ca="1" si="111"/>
        <v>5.982823933649245E-2</v>
      </c>
      <c r="AD101" s="3">
        <f t="shared" ca="1" si="111"/>
        <v>8.2263963203492288E-2</v>
      </c>
      <c r="AE101" s="3">
        <f t="shared" ca="1" si="111"/>
        <v>6.5556299736701698E-2</v>
      </c>
      <c r="AF101" s="3">
        <f t="shared" ca="1" si="111"/>
        <v>9.3152494778641709E-2</v>
      </c>
      <c r="AG101" s="3">
        <f t="shared" ca="1" si="111"/>
        <v>7.2867218863220479E-2</v>
      </c>
      <c r="AH101" s="3">
        <f t="shared" ca="1" si="111"/>
        <v>0.10381323864069703</v>
      </c>
      <c r="AI101" s="3">
        <f t="shared" ca="1" si="111"/>
        <v>0.11419578216772847</v>
      </c>
      <c r="AJ101" s="3">
        <f t="shared" ca="1" si="111"/>
        <v>0.15071935954470406</v>
      </c>
    </row>
    <row r="102" spans="1:36" x14ac:dyDescent="0.35">
      <c r="A102" t="s">
        <v>77</v>
      </c>
      <c r="B102" t="s">
        <v>62</v>
      </c>
      <c r="C102" s="4" t="s">
        <v>64</v>
      </c>
      <c r="D102" s="3">
        <f t="shared" ca="1" si="77"/>
        <v>2.689232481602714E-2</v>
      </c>
      <c r="E102" s="3">
        <f t="shared" ca="1" si="112"/>
        <v>2.6664888581433142E-2</v>
      </c>
      <c r="F102" s="3">
        <f t="shared" ca="1" si="112"/>
        <v>3.0032784788317557E-2</v>
      </c>
      <c r="G102" s="3">
        <f t="shared" ca="1" si="112"/>
        <v>2.8508750035148547E-2</v>
      </c>
      <c r="H102" s="3">
        <f t="shared" ca="1" si="112"/>
        <v>3.1348976620298889E-2</v>
      </c>
      <c r="I102" s="3">
        <f t="shared" ca="1" si="112"/>
        <v>2.99375023500262E-2</v>
      </c>
      <c r="J102" s="3">
        <f t="shared" ca="1" si="112"/>
        <v>3.4504474093247139E-2</v>
      </c>
      <c r="K102" s="3">
        <f t="shared" ca="1" si="112"/>
        <v>3.0726190346769711E-2</v>
      </c>
      <c r="L102" s="3">
        <f t="shared" ca="1" si="112"/>
        <v>3.6971475924379202E-2</v>
      </c>
      <c r="M102" s="3">
        <f t="shared" ca="1" si="112"/>
        <v>3.2615874112247215E-2</v>
      </c>
      <c r="N102" s="3">
        <f t="shared" ca="1" si="112"/>
        <v>3.8348704871006667E-2</v>
      </c>
      <c r="O102" s="3">
        <f t="shared" ca="1" si="112"/>
        <v>3.4943320518571894E-2</v>
      </c>
      <c r="P102" s="3">
        <f t="shared" ca="1" si="112"/>
        <v>4.0533569136115916E-2</v>
      </c>
      <c r="Q102" s="3">
        <f t="shared" ca="1" si="112"/>
        <v>3.7863043207485361E-2</v>
      </c>
      <c r="R102" s="3">
        <f t="shared" ca="1" si="112"/>
        <v>4.1137019195287561E-2</v>
      </c>
      <c r="S102" s="3">
        <f t="shared" ca="1" si="112"/>
        <v>4.0168401506629786E-2</v>
      </c>
      <c r="T102" s="3">
        <f t="shared" ca="1" si="112"/>
        <v>4.3893447229638394E-2</v>
      </c>
      <c r="U102" s="3">
        <f t="shared" ca="1" si="112"/>
        <v>4.1477177760085596E-2</v>
      </c>
      <c r="V102" s="3">
        <f t="shared" ca="1" si="112"/>
        <v>4.7232841445960502E-2</v>
      </c>
      <c r="W102" s="3">
        <f t="shared" ca="1" si="112"/>
        <v>4.1790701080505754E-2</v>
      </c>
      <c r="X102" s="3">
        <f t="shared" ca="1" si="112"/>
        <v>5.1507808972240027E-2</v>
      </c>
      <c r="Y102" s="3">
        <f t="shared" ca="1" si="112"/>
        <v>4.9023842921381386E-2</v>
      </c>
      <c r="Z102" s="3">
        <f t="shared" ca="1" si="112"/>
        <v>6.5016372959340554E-2</v>
      </c>
      <c r="AA102" s="3">
        <f t="shared" ca="1" si="112"/>
        <v>5.1028413948074523E-2</v>
      </c>
      <c r="AB102" s="3">
        <f t="shared" ref="AB102" ca="1" si="119">MIN(0.99,AB45+$O$3)</f>
        <v>7.350011125733262E-2</v>
      </c>
      <c r="AC102" s="3">
        <f t="shared" ca="1" si="111"/>
        <v>6.0822204309944353E-2</v>
      </c>
      <c r="AD102" s="3">
        <f t="shared" ca="1" si="111"/>
        <v>8.3194924649532084E-2</v>
      </c>
      <c r="AE102" s="3">
        <f t="shared" ca="1" si="111"/>
        <v>6.6514275720748778E-2</v>
      </c>
      <c r="AF102" s="3">
        <f t="shared" ca="1" si="111"/>
        <v>9.4132990314950343E-2</v>
      </c>
      <c r="AG102" s="3">
        <f t="shared" ca="1" si="111"/>
        <v>7.3770933949210193E-2</v>
      </c>
      <c r="AH102" s="3">
        <f t="shared" ca="1" si="111"/>
        <v>0.10475274543311835</v>
      </c>
      <c r="AI102" s="3">
        <f t="shared" ca="1" si="111"/>
        <v>0.11517818655415454</v>
      </c>
      <c r="AJ102" s="3">
        <f t="shared" ca="1" si="111"/>
        <v>0.15163798559030423</v>
      </c>
    </row>
    <row r="103" spans="1:36" x14ac:dyDescent="0.35">
      <c r="A103" t="s">
        <v>77</v>
      </c>
      <c r="B103" t="s">
        <v>62</v>
      </c>
      <c r="C103" s="4">
        <v>2</v>
      </c>
      <c r="D103" s="3">
        <f t="shared" ca="1" si="77"/>
        <v>2.7817528312323578E-2</v>
      </c>
      <c r="E103" s="3">
        <f t="shared" ca="1" si="112"/>
        <v>2.7566149816306788E-2</v>
      </c>
      <c r="F103" s="3">
        <f t="shared" ca="1" si="112"/>
        <v>3.0978627768809733E-2</v>
      </c>
      <c r="G103" s="3">
        <f t="shared" ca="1" si="112"/>
        <v>2.9470913026603547E-2</v>
      </c>
      <c r="H103" s="3">
        <f t="shared" ca="1" si="112"/>
        <v>3.2306522340379756E-2</v>
      </c>
      <c r="I103" s="3">
        <f t="shared" ca="1" si="112"/>
        <v>3.0886685465258253E-2</v>
      </c>
      <c r="J103" s="3">
        <f t="shared" ca="1" si="112"/>
        <v>3.5498152202003322E-2</v>
      </c>
      <c r="K103" s="3">
        <f t="shared" ca="1" si="112"/>
        <v>3.1674680705582721E-2</v>
      </c>
      <c r="L103" s="3">
        <f t="shared" ca="1" si="112"/>
        <v>3.7918542449390635E-2</v>
      </c>
      <c r="M103" s="3">
        <f t="shared" ca="1" si="112"/>
        <v>3.3559779056980418E-2</v>
      </c>
      <c r="N103" s="3">
        <f t="shared" ca="1" si="112"/>
        <v>3.9308612899572701E-2</v>
      </c>
      <c r="O103" s="3">
        <f t="shared" ca="1" si="112"/>
        <v>3.5934162095903922E-2</v>
      </c>
      <c r="P103" s="3">
        <f t="shared" ca="1" si="112"/>
        <v>4.1461693099977576E-2</v>
      </c>
      <c r="Q103" s="3">
        <f t="shared" ca="1" si="112"/>
        <v>3.880773266191713E-2</v>
      </c>
      <c r="R103" s="3">
        <f t="shared" ca="1" si="112"/>
        <v>4.2131513792248387E-2</v>
      </c>
      <c r="S103" s="3">
        <f t="shared" ca="1" si="112"/>
        <v>4.1147097961346392E-2</v>
      </c>
      <c r="T103" s="3">
        <f t="shared" ca="1" si="112"/>
        <v>4.4890961198724537E-2</v>
      </c>
      <c r="U103" s="3">
        <f t="shared" ca="1" si="112"/>
        <v>4.2398899535181334E-2</v>
      </c>
      <c r="V103" s="3">
        <f t="shared" ca="1" si="112"/>
        <v>4.8197306942898671E-2</v>
      </c>
      <c r="W103" s="3">
        <f t="shared" ca="1" si="112"/>
        <v>4.2770584804372611E-2</v>
      </c>
      <c r="X103" s="3">
        <f t="shared" ca="1" si="112"/>
        <v>5.2502821120018528E-2</v>
      </c>
      <c r="Y103" s="3">
        <f t="shared" ca="1" si="112"/>
        <v>4.9931889092613979E-2</v>
      </c>
      <c r="Z103" s="3">
        <f t="shared" ca="1" si="112"/>
        <v>6.5982483899587885E-2</v>
      </c>
      <c r="AA103" s="3">
        <f t="shared" ca="1" si="112"/>
        <v>5.1984141786841936E-2</v>
      </c>
      <c r="AB103" s="3">
        <f t="shared" ref="AB103" ca="1" si="120">MIN(0.99,AB46+$O$3)</f>
        <v>7.4495649935478747E-2</v>
      </c>
      <c r="AC103" s="3">
        <f t="shared" ca="1" si="111"/>
        <v>6.1801772817457752E-2</v>
      </c>
      <c r="AD103" s="3">
        <f t="shared" ca="1" si="111"/>
        <v>8.4132497473260265E-2</v>
      </c>
      <c r="AE103" s="3">
        <f t="shared" ca="1" si="111"/>
        <v>6.7482183615030472E-2</v>
      </c>
      <c r="AF103" s="3">
        <f t="shared" ca="1" si="111"/>
        <v>9.5118026132022304E-2</v>
      </c>
      <c r="AG103" s="3">
        <f t="shared" ca="1" si="111"/>
        <v>7.4683562113713922E-2</v>
      </c>
      <c r="AH103" s="3">
        <f t="shared" ca="1" si="111"/>
        <v>0.10574436361981801</v>
      </c>
      <c r="AI103" s="3">
        <f t="shared" ca="1" si="111"/>
        <v>0.11612231678170315</v>
      </c>
      <c r="AJ103" s="3">
        <f t="shared" ca="1" si="111"/>
        <v>0.15257057776785329</v>
      </c>
    </row>
    <row r="104" spans="1:36" x14ac:dyDescent="0.35">
      <c r="A104" t="s">
        <v>77</v>
      </c>
      <c r="B104" t="s">
        <v>62</v>
      </c>
      <c r="C104" s="4" t="s">
        <v>65</v>
      </c>
      <c r="D104" s="3">
        <f t="shared" ca="1" si="77"/>
        <v>2.8783064581378647E-2</v>
      </c>
      <c r="E104" s="3">
        <f t="shared" ca="1" si="112"/>
        <v>2.8548357170842222E-2</v>
      </c>
      <c r="F104" s="3">
        <f t="shared" ca="1" si="112"/>
        <v>3.19540338428589E-2</v>
      </c>
      <c r="G104" s="3">
        <f t="shared" ca="1" si="112"/>
        <v>3.0438331316003667E-2</v>
      </c>
      <c r="H104" s="3">
        <f t="shared" ca="1" si="112"/>
        <v>3.3301319637788693E-2</v>
      </c>
      <c r="I104" s="3">
        <f t="shared" ca="1" si="112"/>
        <v>3.1880286467005678E-2</v>
      </c>
      <c r="J104" s="3">
        <f t="shared" ca="1" si="112"/>
        <v>3.6498099143199875E-2</v>
      </c>
      <c r="K104" s="3">
        <f t="shared" ca="1" si="112"/>
        <v>3.2606493392256235E-2</v>
      </c>
      <c r="L104" s="3">
        <f t="shared" ca="1" si="112"/>
        <v>3.8916945717602153E-2</v>
      </c>
      <c r="M104" s="3">
        <f t="shared" ca="1" si="112"/>
        <v>3.452338630573315E-2</v>
      </c>
      <c r="N104" s="3">
        <f t="shared" ca="1" si="112"/>
        <v>4.0226101717636353E-2</v>
      </c>
      <c r="O104" s="3">
        <f t="shared" ca="1" si="112"/>
        <v>3.68791669132887E-2</v>
      </c>
      <c r="P104" s="3">
        <f t="shared" ca="1" si="112"/>
        <v>4.242026211893047E-2</v>
      </c>
      <c r="Q104" s="3">
        <f t="shared" ca="1" si="112"/>
        <v>3.9723458355925376E-2</v>
      </c>
      <c r="R104" s="3">
        <f t="shared" ca="1" si="112"/>
        <v>4.3042224596413547E-2</v>
      </c>
      <c r="S104" s="3">
        <f t="shared" ca="1" si="112"/>
        <v>4.211191578904782E-2</v>
      </c>
      <c r="T104" s="3">
        <f t="shared" ca="1" si="112"/>
        <v>4.5879542280953714E-2</v>
      </c>
      <c r="U104" s="3">
        <f t="shared" ca="1" si="112"/>
        <v>4.3323491915391144E-2</v>
      </c>
      <c r="V104" s="3">
        <f t="shared" ca="1" si="112"/>
        <v>4.9147189124835483E-2</v>
      </c>
      <c r="W104" s="3">
        <f t="shared" ca="1" si="112"/>
        <v>4.3689423310480015E-2</v>
      </c>
      <c r="X104" s="3">
        <f t="shared" ca="1" si="112"/>
        <v>5.348602765126162E-2</v>
      </c>
      <c r="Y104" s="3">
        <f t="shared" ca="1" si="112"/>
        <v>5.0920292491510061E-2</v>
      </c>
      <c r="Z104" s="3">
        <f t="shared" ca="1" si="112"/>
        <v>6.6954689444067711E-2</v>
      </c>
      <c r="AA104" s="3">
        <f t="shared" ca="1" si="112"/>
        <v>5.2983124688247507E-2</v>
      </c>
      <c r="AB104" s="3">
        <f t="shared" ref="AB104" ca="1" si="121">MIN(0.99,AB47+$O$3)</f>
        <v>7.5404865439959223E-2</v>
      </c>
      <c r="AC104" s="3">
        <f t="shared" ca="1" si="111"/>
        <v>6.2729296613929328E-2</v>
      </c>
      <c r="AD104" s="3">
        <f t="shared" ca="1" si="111"/>
        <v>8.504576304401773E-2</v>
      </c>
      <c r="AE104" s="3">
        <f t="shared" ca="1" si="111"/>
        <v>6.8448810065226878E-2</v>
      </c>
      <c r="AF104" s="3">
        <f t="shared" ca="1" si="111"/>
        <v>9.6059564159562627E-2</v>
      </c>
      <c r="AG104" s="3">
        <f t="shared" ca="1" si="111"/>
        <v>7.5629220363176902E-2</v>
      </c>
      <c r="AH104" s="3">
        <f t="shared" ca="1" si="111"/>
        <v>0.10667639692437575</v>
      </c>
      <c r="AI104" s="3">
        <f t="shared" ca="1" si="111"/>
        <v>0.11702693446209922</v>
      </c>
      <c r="AJ104" s="3">
        <f t="shared" ca="1" si="111"/>
        <v>0.15354648553299341</v>
      </c>
    </row>
    <row r="105" spans="1:36" x14ac:dyDescent="0.35">
      <c r="A105" t="s">
        <v>77</v>
      </c>
      <c r="B105" t="s">
        <v>62</v>
      </c>
      <c r="C105" s="4" t="s">
        <v>66</v>
      </c>
      <c r="D105" s="3">
        <f t="shared" ca="1" si="77"/>
        <v>2.9692267764479054E-2</v>
      </c>
      <c r="E105" s="3">
        <f t="shared" ca="1" si="112"/>
        <v>2.9482017224127868E-2</v>
      </c>
      <c r="F105" s="3">
        <f t="shared" ca="1" si="112"/>
        <v>3.2893937003893294E-2</v>
      </c>
      <c r="G105" s="3">
        <f t="shared" ca="1" si="112"/>
        <v>3.1369271064742486E-2</v>
      </c>
      <c r="H105" s="3">
        <f t="shared" ca="1" si="112"/>
        <v>3.4214598425263865E-2</v>
      </c>
      <c r="I105" s="3">
        <f t="shared" ca="1" si="112"/>
        <v>3.2805907695228356E-2</v>
      </c>
      <c r="J105" s="3">
        <f t="shared" ca="1" si="112"/>
        <v>3.7455627108915701E-2</v>
      </c>
      <c r="K105" s="3">
        <f t="shared" ca="1" si="112"/>
        <v>3.3568944537241942E-2</v>
      </c>
      <c r="L105" s="3">
        <f t="shared" ca="1" si="112"/>
        <v>3.989495573226734E-2</v>
      </c>
      <c r="M105" s="3">
        <f t="shared" ca="1" si="112"/>
        <v>3.5430498036445102E-2</v>
      </c>
      <c r="N105" s="3">
        <f t="shared" ca="1" si="112"/>
        <v>4.1206448433461634E-2</v>
      </c>
      <c r="O105" s="3">
        <f t="shared" ca="1" si="112"/>
        <v>3.780967398867717E-2</v>
      </c>
      <c r="P105" s="3">
        <f t="shared" ca="1" si="112"/>
        <v>4.3369095809646208E-2</v>
      </c>
      <c r="Q105" s="3">
        <f t="shared" ca="1" si="112"/>
        <v>4.062431829213798E-2</v>
      </c>
      <c r="R105" s="3">
        <f t="shared" ca="1" si="112"/>
        <v>4.4020270576618947E-2</v>
      </c>
      <c r="S105" s="3">
        <f t="shared" ca="1" si="112"/>
        <v>4.3033599829350296E-2</v>
      </c>
      <c r="T105" s="3">
        <f t="shared" ca="1" si="112"/>
        <v>4.6809126546758943E-2</v>
      </c>
      <c r="U105" s="3">
        <f t="shared" ca="1" si="112"/>
        <v>4.4230744185364851E-2</v>
      </c>
      <c r="V105" s="3">
        <f t="shared" ca="1" si="112"/>
        <v>5.0118359278886471E-2</v>
      </c>
      <c r="W105" s="3">
        <f t="shared" ca="1" si="112"/>
        <v>4.4594034081455666E-2</v>
      </c>
      <c r="X105" s="3">
        <f t="shared" ca="1" si="112"/>
        <v>5.4459676690594046E-2</v>
      </c>
      <c r="Y105" s="3">
        <f t="shared" ca="1" si="112"/>
        <v>5.1874524292812661E-2</v>
      </c>
      <c r="Z105" s="3">
        <f t="shared" ca="1" si="112"/>
        <v>6.7870599307143106E-2</v>
      </c>
      <c r="AA105" s="3">
        <f t="shared" ca="1" si="112"/>
        <v>5.3893097680869341E-2</v>
      </c>
      <c r="AB105" s="3">
        <f t="shared" ref="AB105" ca="1" si="122">MIN(0.99,AB48+$O$3)</f>
        <v>7.6326774550978888E-2</v>
      </c>
      <c r="AC105" s="3">
        <f t="shared" ca="1" si="111"/>
        <v>6.3686551037000147E-2</v>
      </c>
      <c r="AD105" s="3">
        <f t="shared" ca="1" si="111"/>
        <v>8.6010544036173253E-2</v>
      </c>
      <c r="AE105" s="3">
        <f t="shared" ca="1" si="111"/>
        <v>6.9448747984171735E-2</v>
      </c>
      <c r="AF105" s="3">
        <f t="shared" ca="1" si="111"/>
        <v>9.7049648298112468E-2</v>
      </c>
      <c r="AG105" s="3">
        <f t="shared" ca="1" si="111"/>
        <v>7.6553473582291476E-2</v>
      </c>
      <c r="AH105" s="3">
        <f t="shared" ca="1" si="111"/>
        <v>0.10766570839302933</v>
      </c>
      <c r="AI105" s="3">
        <f t="shared" ca="1" si="111"/>
        <v>0.11797015106122591</v>
      </c>
      <c r="AJ105" s="3">
        <f t="shared" ca="1" si="111"/>
        <v>0.15449818303859589</v>
      </c>
    </row>
    <row r="106" spans="1:36" x14ac:dyDescent="0.35">
      <c r="A106" t="s">
        <v>77</v>
      </c>
      <c r="B106" t="s">
        <v>62</v>
      </c>
      <c r="C106" s="4">
        <v>3</v>
      </c>
      <c r="D106" s="3">
        <f t="shared" ca="1" si="77"/>
        <v>3.0594274478868318E-2</v>
      </c>
      <c r="E106" s="3">
        <f t="shared" ca="1" si="112"/>
        <v>3.0419047984716421E-2</v>
      </c>
      <c r="F106" s="3">
        <f t="shared" ca="1" si="112"/>
        <v>3.3890566977303679E-2</v>
      </c>
      <c r="G106" s="3">
        <f t="shared" ca="1" si="112"/>
        <v>3.2314793968492378E-2</v>
      </c>
      <c r="H106" s="3">
        <f t="shared" ca="1" si="112"/>
        <v>3.5130308044812722E-2</v>
      </c>
      <c r="I106" s="3">
        <f t="shared" ca="1" si="112"/>
        <v>3.3796471344026371E-2</v>
      </c>
      <c r="J106" s="3">
        <f t="shared" ca="1" si="112"/>
        <v>3.8384795807367963E-2</v>
      </c>
      <c r="K106" s="3">
        <f t="shared" ca="1" si="112"/>
        <v>3.4477846831730323E-2</v>
      </c>
      <c r="L106" s="3">
        <f t="shared" ca="1" si="112"/>
        <v>4.0854790669011196E-2</v>
      </c>
      <c r="M106" s="3">
        <f t="shared" ca="1" si="112"/>
        <v>3.6348462197499029E-2</v>
      </c>
      <c r="N106" s="3">
        <f t="shared" ca="1" si="112"/>
        <v>4.2158650349272499E-2</v>
      </c>
      <c r="O106" s="3">
        <f t="shared" ca="1" si="112"/>
        <v>3.8734394468983385E-2</v>
      </c>
      <c r="P106" s="3">
        <f t="shared" ca="1" si="112"/>
        <v>4.428927992888837E-2</v>
      </c>
      <c r="Q106" s="3">
        <f t="shared" ca="1" si="112"/>
        <v>4.152489060976193E-2</v>
      </c>
      <c r="R106" s="3">
        <f t="shared" ca="1" si="112"/>
        <v>4.4997577619553732E-2</v>
      </c>
      <c r="S106" s="3">
        <f t="shared" ca="1" si="112"/>
        <v>4.397116339807626E-2</v>
      </c>
      <c r="T106" s="3">
        <f t="shared" ca="1" si="112"/>
        <v>4.7794883616490494E-2</v>
      </c>
      <c r="U106" s="3">
        <f t="shared" ca="1" si="112"/>
        <v>4.5211801856654327E-2</v>
      </c>
      <c r="V106" s="3">
        <f t="shared" ca="1" si="112"/>
        <v>5.11114704615378E-2</v>
      </c>
      <c r="W106" s="3">
        <f t="shared" ca="1" si="112"/>
        <v>4.5565481561719953E-2</v>
      </c>
      <c r="X106" s="3">
        <f t="shared" ca="1" si="112"/>
        <v>5.5422693033801908E-2</v>
      </c>
      <c r="Y106" s="3">
        <f t="shared" ca="1" si="112"/>
        <v>5.2803373949168703E-2</v>
      </c>
      <c r="Z106" s="3">
        <f t="shared" ca="1" si="112"/>
        <v>6.8864061056313181E-2</v>
      </c>
      <c r="AA106" s="3">
        <f t="shared" ca="1" si="112"/>
        <v>5.4875872752425184E-2</v>
      </c>
      <c r="AB106" s="3">
        <f t="shared" ref="AB106" ca="1" si="123">MIN(0.99,AB49+$O$3)</f>
        <v>7.7276655642735781E-2</v>
      </c>
      <c r="AC106" s="3">
        <f t="shared" ca="1" si="111"/>
        <v>6.4652044479067194E-2</v>
      </c>
      <c r="AD106" s="3">
        <f t="shared" ca="1" si="111"/>
        <v>8.6995364053749802E-2</v>
      </c>
      <c r="AE106" s="3">
        <f t="shared" ca="1" si="111"/>
        <v>7.0414545083608143E-2</v>
      </c>
      <c r="AF106" s="3">
        <f t="shared" ca="1" si="111"/>
        <v>9.798195192633874E-2</v>
      </c>
      <c r="AG106" s="3">
        <f t="shared" ca="1" si="111"/>
        <v>7.7512760441136183E-2</v>
      </c>
      <c r="AH106" s="3">
        <f t="shared" ca="1" si="111"/>
        <v>0.1086289161173318</v>
      </c>
      <c r="AI106" s="3">
        <f t="shared" ca="1" si="111"/>
        <v>0.11891174807433977</v>
      </c>
      <c r="AJ106" s="3">
        <f t="shared" ca="1" si="111"/>
        <v>0.15547900639743301</v>
      </c>
    </row>
    <row r="107" spans="1:36" x14ac:dyDescent="0.35">
      <c r="A107" t="s">
        <v>77</v>
      </c>
      <c r="B107" t="s">
        <v>62</v>
      </c>
      <c r="C107" s="4" t="s">
        <v>67</v>
      </c>
      <c r="D107" s="3">
        <f t="shared" ca="1" si="77"/>
        <v>3.1507261778063102E-2</v>
      </c>
      <c r="E107" s="3">
        <f t="shared" ca="1" si="112"/>
        <v>3.1418664309336528E-2</v>
      </c>
      <c r="F107" s="3">
        <f t="shared" ca="1" si="112"/>
        <v>3.4838970215703535E-2</v>
      </c>
      <c r="G107" s="3">
        <f t="shared" ca="1" si="112"/>
        <v>3.3270226620715604E-2</v>
      </c>
      <c r="H107" s="3">
        <f t="shared" ca="1" si="112"/>
        <v>3.6039422900349248E-2</v>
      </c>
      <c r="I107" s="3">
        <f t="shared" ca="1" si="112"/>
        <v>3.4766772654257802E-2</v>
      </c>
      <c r="J107" s="3">
        <f t="shared" ca="1" si="112"/>
        <v>3.9288327321147676E-2</v>
      </c>
      <c r="K107" s="3">
        <f t="shared" ca="1" si="112"/>
        <v>3.5430795894998784E-2</v>
      </c>
      <c r="L107" s="3">
        <f t="shared" ca="1" si="112"/>
        <v>4.1768354203950253E-2</v>
      </c>
      <c r="M107" s="3">
        <f t="shared" ca="1" si="112"/>
        <v>3.7280189412680624E-2</v>
      </c>
      <c r="N107" s="3">
        <f t="shared" ca="1" si="112"/>
        <v>4.3102802595216969E-2</v>
      </c>
      <c r="O107" s="3">
        <f t="shared" ca="1" si="112"/>
        <v>3.9724009327180287E-2</v>
      </c>
      <c r="P107" s="3">
        <f t="shared" ca="1" si="112"/>
        <v>4.5240793716714689E-2</v>
      </c>
      <c r="Q107" s="3">
        <f t="shared" ca="1" si="112"/>
        <v>4.2435578296083729E-2</v>
      </c>
      <c r="R107" s="3">
        <f t="shared" ca="1" si="112"/>
        <v>4.5982953570196911E-2</v>
      </c>
      <c r="S107" s="3">
        <f t="shared" ca="1" si="112"/>
        <v>4.4927661150257585E-2</v>
      </c>
      <c r="T107" s="3">
        <f t="shared" ca="1" si="112"/>
        <v>4.8726374927918842E-2</v>
      </c>
      <c r="U107" s="3">
        <f t="shared" ca="1" si="112"/>
        <v>4.6137929393930313E-2</v>
      </c>
      <c r="V107" s="3">
        <f t="shared" ca="1" si="112"/>
        <v>5.2076623094779298E-2</v>
      </c>
      <c r="W107" s="3">
        <f t="shared" ca="1" si="112"/>
        <v>4.6519817399304553E-2</v>
      </c>
      <c r="X107" s="3">
        <f t="shared" ca="1" si="112"/>
        <v>5.6353232413125003E-2</v>
      </c>
      <c r="Y107" s="3">
        <f t="shared" ca="1" si="112"/>
        <v>5.3766792116739945E-2</v>
      </c>
      <c r="Z107" s="3">
        <f t="shared" ca="1" si="112"/>
        <v>6.9803547748534783E-2</v>
      </c>
      <c r="AA107" s="3">
        <f t="shared" ca="1" si="112"/>
        <v>5.5833864563171999E-2</v>
      </c>
      <c r="AB107" s="3">
        <f t="shared" ref="AB107" ca="1" si="124">MIN(0.99,AB50+$O$3)</f>
        <v>7.8192933576772775E-2</v>
      </c>
      <c r="AC107" s="3">
        <f t="shared" ca="1" si="111"/>
        <v>6.5576590048241457E-2</v>
      </c>
      <c r="AD107" s="3">
        <f t="shared" ca="1" si="111"/>
        <v>8.7905234727120113E-2</v>
      </c>
      <c r="AE107" s="3">
        <f t="shared" ca="1" si="111"/>
        <v>7.1374736740146161E-2</v>
      </c>
      <c r="AF107" s="3">
        <f t="shared" ca="1" si="111"/>
        <v>9.8918877030336499E-2</v>
      </c>
      <c r="AG107" s="3">
        <f t="shared" ca="1" si="111"/>
        <v>7.8491994473996213E-2</v>
      </c>
      <c r="AH107" s="3">
        <f t="shared" ca="1" si="111"/>
        <v>0.10959536511143114</v>
      </c>
      <c r="AI107" s="3">
        <f t="shared" ca="1" si="111"/>
        <v>0.11985622035793558</v>
      </c>
      <c r="AJ107" s="3">
        <f t="shared" ca="1" si="111"/>
        <v>0.1564006732661154</v>
      </c>
    </row>
    <row r="108" spans="1:36" x14ac:dyDescent="0.35">
      <c r="A108" t="s">
        <v>77</v>
      </c>
      <c r="B108" t="s">
        <v>62</v>
      </c>
      <c r="C108" s="4" t="s">
        <v>68</v>
      </c>
      <c r="D108" s="3">
        <f t="shared" ca="1" si="77"/>
        <v>3.241116207392368E-2</v>
      </c>
      <c r="E108" s="3">
        <f t="shared" ref="E108:AA119" ca="1" si="125">MIN(0.99,E51+$O$3)</f>
        <v>3.241604731041494E-2</v>
      </c>
      <c r="F108" s="3">
        <f t="shared" ca="1" si="125"/>
        <v>3.5775310626386773E-2</v>
      </c>
      <c r="G108" s="3">
        <f t="shared" ca="1" si="125"/>
        <v>3.4213014889881807E-2</v>
      </c>
      <c r="H108" s="3">
        <f t="shared" ca="1" si="125"/>
        <v>3.6985507637467704E-2</v>
      </c>
      <c r="I108" s="3">
        <f t="shared" ca="1" si="125"/>
        <v>3.5727067324474081E-2</v>
      </c>
      <c r="J108" s="3">
        <f t="shared" ca="1" si="125"/>
        <v>4.0257844791897854E-2</v>
      </c>
      <c r="K108" s="3">
        <f t="shared" ca="1" si="125"/>
        <v>3.6371411213918008E-2</v>
      </c>
      <c r="L108" s="3">
        <f t="shared" ca="1" si="125"/>
        <v>4.2725915329527096E-2</v>
      </c>
      <c r="M108" s="3">
        <f t="shared" ca="1" si="125"/>
        <v>3.8244380702059544E-2</v>
      </c>
      <c r="N108" s="3">
        <f t="shared" ca="1" si="125"/>
        <v>4.4030669907762623E-2</v>
      </c>
      <c r="O108" s="3">
        <f t="shared" ca="1" si="125"/>
        <v>4.0656868639080052E-2</v>
      </c>
      <c r="P108" s="3">
        <f t="shared" ca="1" si="125"/>
        <v>4.6169052522782209E-2</v>
      </c>
      <c r="Q108" s="3">
        <f t="shared" ca="1" si="125"/>
        <v>4.3431167292795017E-2</v>
      </c>
      <c r="R108" s="3">
        <f t="shared" ca="1" si="125"/>
        <v>4.692812464443312E-2</v>
      </c>
      <c r="S108" s="3">
        <f t="shared" ca="1" si="125"/>
        <v>4.5904079725548733E-2</v>
      </c>
      <c r="T108" s="3">
        <f t="shared" ca="1" si="125"/>
        <v>4.9627034545963934E-2</v>
      </c>
      <c r="U108" s="3">
        <f t="shared" ca="1" si="125"/>
        <v>4.7051426722053494E-2</v>
      </c>
      <c r="V108" s="3">
        <f t="shared" ca="1" si="125"/>
        <v>5.3018589169893715E-2</v>
      </c>
      <c r="W108" s="3">
        <f t="shared" ca="1" si="125"/>
        <v>4.7446705133094291E-2</v>
      </c>
      <c r="X108" s="3">
        <f t="shared" ca="1" si="125"/>
        <v>5.7261785530811918E-2</v>
      </c>
      <c r="Y108" s="3">
        <f t="shared" ca="1" si="125"/>
        <v>5.4668926958263461E-2</v>
      </c>
      <c r="Z108" s="3">
        <f t="shared" ca="1" si="125"/>
        <v>7.0756592378378211E-2</v>
      </c>
      <c r="AA108" s="3">
        <f t="shared" ca="1" si="125"/>
        <v>5.6801426991201685E-2</v>
      </c>
      <c r="AB108" s="3">
        <f t="shared" ref="AB108" ca="1" si="126">MIN(0.99,AB51+$O$3)</f>
        <v>7.9150183509311911E-2</v>
      </c>
      <c r="AC108" s="3">
        <f t="shared" ca="1" si="111"/>
        <v>6.6500302626473509E-2</v>
      </c>
      <c r="AD108" s="3">
        <f t="shared" ca="1" si="111"/>
        <v>8.8847408599207034E-2</v>
      </c>
      <c r="AE108" s="3">
        <f t="shared" ca="1" si="111"/>
        <v>7.2309961356073801E-2</v>
      </c>
      <c r="AF108" s="3">
        <f t="shared" ca="1" si="111"/>
        <v>9.9916984195258157E-2</v>
      </c>
      <c r="AG108" s="3">
        <f t="shared" ca="1" si="111"/>
        <v>7.9462096330036563E-2</v>
      </c>
      <c r="AH108" s="3">
        <f t="shared" ca="1" si="111"/>
        <v>0.11058023754932017</v>
      </c>
      <c r="AI108" s="3">
        <f t="shared" ca="1" si="111"/>
        <v>0.1208409572394854</v>
      </c>
      <c r="AJ108" s="3">
        <f t="shared" ca="1" si="111"/>
        <v>0.1573502311832837</v>
      </c>
    </row>
    <row r="109" spans="1:36" x14ac:dyDescent="0.35">
      <c r="A109" t="s">
        <v>77</v>
      </c>
      <c r="B109" t="s">
        <v>62</v>
      </c>
      <c r="C109" s="4">
        <v>4</v>
      </c>
      <c r="D109" s="3">
        <f t="shared" ca="1" si="77"/>
        <v>3.3352080057552511E-2</v>
      </c>
      <c r="E109" s="3">
        <f t="shared" ca="1" si="125"/>
        <v>3.3335862970965094E-2</v>
      </c>
      <c r="F109" s="3">
        <f t="shared" ca="1" si="125"/>
        <v>3.671440486345573E-2</v>
      </c>
      <c r="G109" s="3">
        <f t="shared" ca="1" si="125"/>
        <v>3.5180053528096583E-2</v>
      </c>
      <c r="H109" s="3">
        <f t="shared" ca="1" si="125"/>
        <v>3.7938500514886564E-2</v>
      </c>
      <c r="I109" s="3">
        <f t="shared" ca="1" si="125"/>
        <v>3.6692401745204384E-2</v>
      </c>
      <c r="J109" s="3">
        <f t="shared" ca="1" si="125"/>
        <v>4.1211337789727756E-2</v>
      </c>
      <c r="K109" s="3">
        <f t="shared" ca="1" si="125"/>
        <v>3.7321227668681047E-2</v>
      </c>
      <c r="L109" s="3">
        <f t="shared" ca="1" si="125"/>
        <v>4.3642544522466124E-2</v>
      </c>
      <c r="M109" s="3">
        <f t="shared" ca="1" si="125"/>
        <v>3.9178911202820917E-2</v>
      </c>
      <c r="N109" s="3">
        <f t="shared" ca="1" si="125"/>
        <v>4.5019778838211878E-2</v>
      </c>
      <c r="O109" s="3">
        <f t="shared" ca="1" si="125"/>
        <v>4.1586177542232476E-2</v>
      </c>
      <c r="P109" s="3">
        <f t="shared" ca="1" si="125"/>
        <v>4.7090641902851463E-2</v>
      </c>
      <c r="Q109" s="3">
        <f t="shared" ca="1" si="125"/>
        <v>4.4405564886151952E-2</v>
      </c>
      <c r="R109" s="3">
        <f t="shared" ca="1" si="125"/>
        <v>4.7927124797033684E-2</v>
      </c>
      <c r="S109" s="3">
        <f t="shared" ca="1" si="125"/>
        <v>4.6857040400956548E-2</v>
      </c>
      <c r="T109" s="3">
        <f t="shared" ca="1" si="125"/>
        <v>5.0611720262156962E-2</v>
      </c>
      <c r="U109" s="3">
        <f t="shared" ca="1" si="125"/>
        <v>4.800966112133935E-2</v>
      </c>
      <c r="V109" s="3">
        <f t="shared" ca="1" si="125"/>
        <v>5.3982982623372755E-2</v>
      </c>
      <c r="W109" s="3">
        <f t="shared" ca="1" si="125"/>
        <v>4.8386539195028888E-2</v>
      </c>
      <c r="X109" s="3">
        <f t="shared" ca="1" si="125"/>
        <v>5.825349389460624E-2</v>
      </c>
      <c r="Y109" s="3">
        <f t="shared" ca="1" si="125"/>
        <v>5.5628156595537374E-2</v>
      </c>
      <c r="Z109" s="3">
        <f t="shared" ca="1" si="125"/>
        <v>7.1686007122657047E-2</v>
      </c>
      <c r="AA109" s="3">
        <f t="shared" ca="1" si="125"/>
        <v>5.78008719692929E-2</v>
      </c>
      <c r="AB109" s="3">
        <f t="shared" ref="AB109" ca="1" si="127">MIN(0.99,AB52+$O$3)</f>
        <v>8.0100027381240252E-2</v>
      </c>
      <c r="AC109" s="3">
        <f t="shared" ca="1" si="111"/>
        <v>6.7409454515623871E-2</v>
      </c>
      <c r="AD109" s="3">
        <f t="shared" ca="1" si="111"/>
        <v>8.9814558850557058E-2</v>
      </c>
      <c r="AE109" s="3">
        <f t="shared" ca="1" si="111"/>
        <v>7.3221019353694489E-2</v>
      </c>
      <c r="AF109" s="3">
        <f t="shared" ca="1" si="111"/>
        <v>0.10089339531303804</v>
      </c>
      <c r="AG109" s="3">
        <f t="shared" ca="1" si="111"/>
        <v>8.0421156855715242E-2</v>
      </c>
      <c r="AH109" s="3">
        <f t="shared" ca="1" si="111"/>
        <v>0.11156906406684144</v>
      </c>
      <c r="AI109" s="3">
        <f t="shared" ca="1" si="111"/>
        <v>0.1217484377234154</v>
      </c>
      <c r="AJ109" s="3">
        <f t="shared" ca="1" si="111"/>
        <v>0.15834224271623046</v>
      </c>
    </row>
    <row r="110" spans="1:36" x14ac:dyDescent="0.35">
      <c r="A110" t="s">
        <v>77</v>
      </c>
      <c r="B110" t="s">
        <v>62</v>
      </c>
      <c r="C110" s="4" t="s">
        <v>69</v>
      </c>
      <c r="D110" s="3">
        <f t="shared" ca="1" si="77"/>
        <v>3.4252892781382042E-2</v>
      </c>
      <c r="E110" s="3">
        <f t="shared" ca="1" si="125"/>
        <v>3.4282405117157515E-2</v>
      </c>
      <c r="F110" s="3">
        <f t="shared" ca="1" si="125"/>
        <v>3.767254918277757E-2</v>
      </c>
      <c r="G110" s="3">
        <f t="shared" ca="1" si="125"/>
        <v>3.6115228540177735E-2</v>
      </c>
      <c r="H110" s="3">
        <f t="shared" ca="1" si="125"/>
        <v>3.8904244730124563E-2</v>
      </c>
      <c r="I110" s="3">
        <f t="shared" ca="1" si="125"/>
        <v>3.7672427692525295E-2</v>
      </c>
      <c r="J110" s="3">
        <f t="shared" ca="1" si="125"/>
        <v>4.2198976618254544E-2</v>
      </c>
      <c r="K110" s="3">
        <f t="shared" ca="1" si="125"/>
        <v>3.8293996462293207E-2</v>
      </c>
      <c r="L110" s="3">
        <f t="shared" ca="1" si="125"/>
        <v>4.4608068838596984E-2</v>
      </c>
      <c r="M110" s="3">
        <f t="shared" ca="1" si="125"/>
        <v>4.0113425867899663E-2</v>
      </c>
      <c r="N110" s="3">
        <f t="shared" ca="1" si="125"/>
        <v>4.5948623098868629E-2</v>
      </c>
      <c r="O110" s="3">
        <f t="shared" ca="1" si="125"/>
        <v>4.252804085669068E-2</v>
      </c>
      <c r="P110" s="3">
        <f t="shared" ca="1" si="125"/>
        <v>4.799550734612467E-2</v>
      </c>
      <c r="Q110" s="3">
        <f t="shared" ca="1" si="125"/>
        <v>4.5403194391290966E-2</v>
      </c>
      <c r="R110" s="3">
        <f t="shared" ca="1" si="125"/>
        <v>4.8884104771294623E-2</v>
      </c>
      <c r="S110" s="3">
        <f t="shared" ca="1" si="125"/>
        <v>4.7800543029163915E-2</v>
      </c>
      <c r="T110" s="3">
        <f t="shared" ca="1" si="125"/>
        <v>5.1555396402967774E-2</v>
      </c>
      <c r="U110" s="3">
        <f t="shared" ca="1" si="125"/>
        <v>4.8954858093652513E-2</v>
      </c>
      <c r="V110" s="3">
        <f t="shared" ca="1" si="125"/>
        <v>5.492153595572679E-2</v>
      </c>
      <c r="W110" s="3">
        <f t="shared" ca="1" si="125"/>
        <v>4.9300833425765099E-2</v>
      </c>
      <c r="X110" s="3">
        <f t="shared" ca="1" si="125"/>
        <v>5.9222654669474573E-2</v>
      </c>
      <c r="Y110" s="3">
        <f t="shared" ca="1" si="125"/>
        <v>5.6535037618145365E-2</v>
      </c>
      <c r="Z110" s="3">
        <f t="shared" ca="1" si="125"/>
        <v>7.2612495434711405E-2</v>
      </c>
      <c r="AA110" s="3">
        <f t="shared" ca="1" si="125"/>
        <v>5.8730030037916291E-2</v>
      </c>
      <c r="AB110" s="3">
        <f t="shared" ref="AB110" ca="1" si="128">MIN(0.99,AB53+$O$3)</f>
        <v>8.1084024443282027E-2</v>
      </c>
      <c r="AC110" s="3">
        <f t="shared" ca="1" si="111"/>
        <v>6.8396203139463679E-2</v>
      </c>
      <c r="AD110" s="3">
        <f t="shared" ca="1" si="111"/>
        <v>9.0739844545102616E-2</v>
      </c>
      <c r="AE110" s="3">
        <f t="shared" ca="1" si="111"/>
        <v>7.4189370734790289E-2</v>
      </c>
      <c r="AF110" s="3">
        <f t="shared" ca="1" si="111"/>
        <v>0.10185973438554596</v>
      </c>
      <c r="AG110" s="3">
        <f t="shared" ca="1" si="111"/>
        <v>8.1399467951680127E-2</v>
      </c>
      <c r="AH110" s="3">
        <f t="shared" ca="1" si="111"/>
        <v>0.11254306769887337</v>
      </c>
      <c r="AI110" s="3">
        <f t="shared" ca="1" si="111"/>
        <v>0.12270312910221692</v>
      </c>
      <c r="AJ110" s="3">
        <f t="shared" ca="1" si="111"/>
        <v>0.15933512323311783</v>
      </c>
    </row>
    <row r="111" spans="1:36" x14ac:dyDescent="0.35">
      <c r="A111" t="s">
        <v>77</v>
      </c>
      <c r="B111" t="s">
        <v>62</v>
      </c>
      <c r="C111" s="4" t="s">
        <v>70</v>
      </c>
      <c r="D111" s="3">
        <f t="shared" ca="1" si="77"/>
        <v>3.5217907175117989E-2</v>
      </c>
      <c r="E111" s="3">
        <f t="shared" ca="1" si="125"/>
        <v>3.5260425210607335E-2</v>
      </c>
      <c r="F111" s="3">
        <f t="shared" ca="1" si="125"/>
        <v>3.8604297579761276E-2</v>
      </c>
      <c r="G111" s="3">
        <f t="shared" ca="1" si="125"/>
        <v>3.7098446303545578E-2</v>
      </c>
      <c r="H111" s="3">
        <f t="shared" ca="1" si="125"/>
        <v>3.9821406506635008E-2</v>
      </c>
      <c r="I111" s="3">
        <f t="shared" ca="1" si="125"/>
        <v>3.8613072348121648E-2</v>
      </c>
      <c r="J111" s="3">
        <f t="shared" ca="1" si="125"/>
        <v>4.3120896269045965E-2</v>
      </c>
      <c r="K111" s="3">
        <f t="shared" ca="1" si="125"/>
        <v>3.9225934381121028E-2</v>
      </c>
      <c r="L111" s="3">
        <f t="shared" ca="1" si="125"/>
        <v>4.5538076483926312E-2</v>
      </c>
      <c r="M111" s="3">
        <f t="shared" ca="1" si="125"/>
        <v>4.1019057466010034E-2</v>
      </c>
      <c r="N111" s="3">
        <f t="shared" ca="1" si="125"/>
        <v>4.6896820231957639E-2</v>
      </c>
      <c r="O111" s="3">
        <f t="shared" ca="1" si="125"/>
        <v>4.3470061928957998E-2</v>
      </c>
      <c r="P111" s="3">
        <f t="shared" ca="1" si="125"/>
        <v>4.8941357922615017E-2</v>
      </c>
      <c r="Q111" s="3">
        <f t="shared" ca="1" si="125"/>
        <v>4.6319654618823022E-2</v>
      </c>
      <c r="R111" s="3">
        <f t="shared" ca="1" si="125"/>
        <v>4.9878186785647483E-2</v>
      </c>
      <c r="S111" s="3">
        <f t="shared" ca="1" si="125"/>
        <v>4.8765688578388228E-2</v>
      </c>
      <c r="T111" s="3">
        <f t="shared" ca="1" si="125"/>
        <v>5.2501869293947179E-2</v>
      </c>
      <c r="U111" s="3">
        <f t="shared" ca="1" si="125"/>
        <v>4.9944137006687699E-2</v>
      </c>
      <c r="V111" s="3">
        <f t="shared" ca="1" si="125"/>
        <v>5.5911974268886638E-2</v>
      </c>
      <c r="W111" s="3">
        <f t="shared" ca="1" si="125"/>
        <v>5.0251466371785299E-2</v>
      </c>
      <c r="X111" s="3">
        <f t="shared" ca="1" si="125"/>
        <v>6.0157869967204396E-2</v>
      </c>
      <c r="Y111" s="3">
        <f t="shared" ca="1" si="125"/>
        <v>5.7474682437786688E-2</v>
      </c>
      <c r="Z111" s="3">
        <f t="shared" ca="1" si="125"/>
        <v>7.3578907339580085E-2</v>
      </c>
      <c r="AA111" s="3">
        <f t="shared" ca="1" si="125"/>
        <v>5.9661739532130234E-2</v>
      </c>
      <c r="AB111" s="3">
        <f t="shared" ref="AB111:AJ119" ca="1" si="129">MIN(0.99,AB54+$O$3)</f>
        <v>8.2078184019322264E-2</v>
      </c>
      <c r="AC111" s="3">
        <f t="shared" ca="1" si="129"/>
        <v>6.9379430381883253E-2</v>
      </c>
      <c r="AD111" s="3">
        <f t="shared" ca="1" si="129"/>
        <v>9.164864828848171E-2</v>
      </c>
      <c r="AE111" s="3">
        <f t="shared" ca="1" si="129"/>
        <v>7.5178590310255339E-2</v>
      </c>
      <c r="AF111" s="3">
        <f t="shared" ca="1" si="129"/>
        <v>0.10281151418939874</v>
      </c>
      <c r="AG111" s="3">
        <f t="shared" ca="1" si="129"/>
        <v>8.2361755985027416E-2</v>
      </c>
      <c r="AH111" s="3">
        <f t="shared" ca="1" si="129"/>
        <v>0.11351985401108358</v>
      </c>
      <c r="AI111" s="3">
        <f t="shared" ca="1" si="129"/>
        <v>0.12363109492365659</v>
      </c>
      <c r="AJ111" s="3">
        <f t="shared" ca="1" si="129"/>
        <v>0.16031527861777903</v>
      </c>
    </row>
    <row r="112" spans="1:36" x14ac:dyDescent="0.35">
      <c r="A112" t="s">
        <v>77</v>
      </c>
      <c r="B112" t="s">
        <v>62</v>
      </c>
      <c r="C112" s="4">
        <v>5</v>
      </c>
      <c r="D112" s="3">
        <f t="shared" ca="1" si="77"/>
        <v>3.6141127813324347E-2</v>
      </c>
      <c r="E112" s="3">
        <f t="shared" ca="1" si="125"/>
        <v>3.6206307092020031E-2</v>
      </c>
      <c r="F112" s="3">
        <f t="shared" ca="1" si="125"/>
        <v>3.9519127305588389E-2</v>
      </c>
      <c r="G112" s="3">
        <f t="shared" ca="1" si="125"/>
        <v>3.8069265154552737E-2</v>
      </c>
      <c r="H112" s="3">
        <f t="shared" ca="1" si="125"/>
        <v>4.0724130101544055E-2</v>
      </c>
      <c r="I112" s="3">
        <f t="shared" ca="1" si="125"/>
        <v>3.9565490926466489E-2</v>
      </c>
      <c r="J112" s="3">
        <f t="shared" ca="1" si="125"/>
        <v>4.4062449914054037E-2</v>
      </c>
      <c r="K112" s="3">
        <f t="shared" ca="1" si="125"/>
        <v>4.022249272252694E-2</v>
      </c>
      <c r="L112" s="3">
        <f t="shared" ca="1" si="125"/>
        <v>4.6509705172763524E-2</v>
      </c>
      <c r="M112" s="3">
        <f t="shared" ca="1" si="125"/>
        <v>4.1926559332582797E-2</v>
      </c>
      <c r="N112" s="3">
        <f t="shared" ca="1" si="125"/>
        <v>4.7872966120531629E-2</v>
      </c>
      <c r="O112" s="3">
        <f t="shared" ca="1" si="125"/>
        <v>4.4399343335724518E-2</v>
      </c>
      <c r="P112" s="3">
        <f t="shared" ca="1" si="125"/>
        <v>4.985514667928069E-2</v>
      </c>
      <c r="Q112" s="3">
        <f t="shared" ca="1" si="125"/>
        <v>4.7289760714600698E-2</v>
      </c>
      <c r="R112" s="3">
        <f t="shared" ca="1" si="125"/>
        <v>5.0875759237192786E-2</v>
      </c>
      <c r="S112" s="3">
        <f t="shared" ca="1" si="125"/>
        <v>4.9678778355925532E-2</v>
      </c>
      <c r="T112" s="3">
        <f t="shared" ca="1" si="125"/>
        <v>5.3459356794746504E-2</v>
      </c>
      <c r="U112" s="3">
        <f t="shared" ca="1" si="125"/>
        <v>5.0904221102308578E-2</v>
      </c>
      <c r="V112" s="3">
        <f t="shared" ca="1" si="125"/>
        <v>5.6829100213476029E-2</v>
      </c>
      <c r="W112" s="3">
        <f t="shared" ca="1" si="125"/>
        <v>5.1169232363111175E-2</v>
      </c>
      <c r="X112" s="3">
        <f t="shared" ca="1" si="125"/>
        <v>6.1119424562016217E-2</v>
      </c>
      <c r="Y112" s="3">
        <f t="shared" ca="1" si="125"/>
        <v>5.8381735075919303E-2</v>
      </c>
      <c r="Z112" s="3">
        <f t="shared" ca="1" si="125"/>
        <v>7.4513950057985431E-2</v>
      </c>
      <c r="AA112" s="3">
        <f t="shared" ca="1" si="125"/>
        <v>6.0624776193692761E-2</v>
      </c>
      <c r="AB112" s="3">
        <f t="shared" ref="AB112" ca="1" si="130">MIN(0.99,AB55+$O$3)</f>
        <v>8.3042020244689388E-2</v>
      </c>
      <c r="AC112" s="3">
        <f t="shared" ca="1" si="129"/>
        <v>7.0298200315280751E-2</v>
      </c>
      <c r="AD112" s="3">
        <f t="shared" ca="1" si="129"/>
        <v>9.2648332340733164E-2</v>
      </c>
      <c r="AE112" s="3">
        <f t="shared" ca="1" si="129"/>
        <v>7.6091919330193131E-2</v>
      </c>
      <c r="AF112" s="3">
        <f t="shared" ca="1" si="129"/>
        <v>0.1037186089900603</v>
      </c>
      <c r="AG112" s="3">
        <f t="shared" ca="1" si="129"/>
        <v>8.3349041190509177E-2</v>
      </c>
      <c r="AH112" s="3">
        <f t="shared" ca="1" si="129"/>
        <v>0.1144939986085228</v>
      </c>
      <c r="AI112" s="3">
        <f t="shared" ca="1" si="129"/>
        <v>0.12461929079525005</v>
      </c>
      <c r="AJ112" s="3">
        <f t="shared" ca="1" si="129"/>
        <v>0.16124457796971181</v>
      </c>
    </row>
    <row r="113" spans="1:36" x14ac:dyDescent="0.35">
      <c r="A113" t="s">
        <v>77</v>
      </c>
      <c r="B113" t="s">
        <v>62</v>
      </c>
      <c r="C113" s="4" t="s">
        <v>71</v>
      </c>
      <c r="D113" s="3">
        <f t="shared" ca="1" si="77"/>
        <v>3.7047898189398756E-2</v>
      </c>
      <c r="E113" s="3">
        <f t="shared" ca="1" si="125"/>
        <v>3.7193947782503185E-2</v>
      </c>
      <c r="F113" s="3">
        <f t="shared" ca="1" si="125"/>
        <v>4.0486662318163134E-2</v>
      </c>
      <c r="G113" s="3">
        <f t="shared" ca="1" si="125"/>
        <v>3.9053174194000589E-2</v>
      </c>
      <c r="H113" s="3">
        <f t="shared" ca="1" si="125"/>
        <v>4.1642036865934304E-2</v>
      </c>
      <c r="I113" s="3">
        <f t="shared" ca="1" si="125"/>
        <v>4.0560211502161103E-2</v>
      </c>
      <c r="J113" s="3">
        <f t="shared" ca="1" si="125"/>
        <v>4.5049534859065016E-2</v>
      </c>
      <c r="K113" s="3">
        <f t="shared" ca="1" si="125"/>
        <v>4.116906096286467E-2</v>
      </c>
      <c r="L113" s="3">
        <f t="shared" ca="1" si="125"/>
        <v>4.7430331738163231E-2</v>
      </c>
      <c r="M113" s="3">
        <f t="shared" ca="1" si="125"/>
        <v>4.2876624426681428E-2</v>
      </c>
      <c r="N113" s="3">
        <f t="shared" ca="1" si="125"/>
        <v>4.8809813455247736E-2</v>
      </c>
      <c r="O113" s="3">
        <f t="shared" ca="1" si="125"/>
        <v>4.5377995931433934E-2</v>
      </c>
      <c r="P113" s="3">
        <f t="shared" ca="1" si="125"/>
        <v>5.0793216574067948E-2</v>
      </c>
      <c r="Q113" s="3">
        <f t="shared" ca="1" si="125"/>
        <v>4.8258419452100187E-2</v>
      </c>
      <c r="R113" s="3">
        <f t="shared" ca="1" si="125"/>
        <v>5.1777278326176582E-2</v>
      </c>
      <c r="S113" s="3">
        <f t="shared" ca="1" si="125"/>
        <v>5.0646409761639852E-2</v>
      </c>
      <c r="T113" s="3">
        <f t="shared" ca="1" si="125"/>
        <v>5.4415216781662487E-2</v>
      </c>
      <c r="U113" s="3">
        <f t="shared" ca="1" si="125"/>
        <v>5.1804867165896148E-2</v>
      </c>
      <c r="V113" s="3">
        <f t="shared" ca="1" si="125"/>
        <v>5.7730977380573943E-2</v>
      </c>
      <c r="W113" s="3">
        <f t="shared" ca="1" si="125"/>
        <v>5.2087726139519522E-2</v>
      </c>
      <c r="X113" s="3">
        <f t="shared" ca="1" si="125"/>
        <v>6.2095100583476615E-2</v>
      </c>
      <c r="Y113" s="3">
        <f t="shared" ca="1" si="125"/>
        <v>5.9334191895975052E-2</v>
      </c>
      <c r="Z113" s="3">
        <f t="shared" ca="1" si="125"/>
        <v>7.5455706509084314E-2</v>
      </c>
      <c r="AA113" s="3">
        <f t="shared" ca="1" si="125"/>
        <v>6.1556358937544492E-2</v>
      </c>
      <c r="AB113" s="3">
        <f t="shared" ref="AB113" ca="1" si="131">MIN(0.99,AB56+$O$3)</f>
        <v>8.3948572433135069E-2</v>
      </c>
      <c r="AC113" s="3">
        <f t="shared" ca="1" si="129"/>
        <v>7.1230392305639545E-2</v>
      </c>
      <c r="AD113" s="3">
        <f t="shared" ca="1" si="129"/>
        <v>9.3563937466386138E-2</v>
      </c>
      <c r="AE113" s="3">
        <f t="shared" ca="1" si="129"/>
        <v>7.7082503672523728E-2</v>
      </c>
      <c r="AF113" s="3">
        <f t="shared" ca="1" si="129"/>
        <v>0.1046682732455991</v>
      </c>
      <c r="AG113" s="3">
        <f t="shared" ca="1" si="129"/>
        <v>8.430096739624432E-2</v>
      </c>
      <c r="AH113" s="3">
        <f t="shared" ca="1" si="129"/>
        <v>0.115447017454676</v>
      </c>
      <c r="AI113" s="3">
        <f t="shared" ca="1" si="129"/>
        <v>0.12552284634534333</v>
      </c>
      <c r="AJ113" s="3">
        <f t="shared" ca="1" si="129"/>
        <v>0.16220877061491065</v>
      </c>
    </row>
    <row r="114" spans="1:36" x14ac:dyDescent="0.35">
      <c r="A114" t="s">
        <v>77</v>
      </c>
      <c r="B114" t="s">
        <v>62</v>
      </c>
      <c r="C114" s="4" t="s">
        <v>72</v>
      </c>
      <c r="D114" s="3">
        <f t="shared" ca="1" si="77"/>
        <v>3.8013505165867149E-2</v>
      </c>
      <c r="E114" s="3">
        <f t="shared" ca="1" si="125"/>
        <v>3.8101137214670268E-2</v>
      </c>
      <c r="F114" s="3">
        <f t="shared" ca="1" si="125"/>
        <v>4.1410918885738127E-2</v>
      </c>
      <c r="G114" s="3">
        <f t="shared" ca="1" si="125"/>
        <v>3.995411736435156E-2</v>
      </c>
      <c r="H114" s="3">
        <f t="shared" ca="1" si="125"/>
        <v>4.2587022473391675E-2</v>
      </c>
      <c r="I114" s="3">
        <f t="shared" ca="1" si="125"/>
        <v>4.1522164274478336E-2</v>
      </c>
      <c r="J114" s="3">
        <f t="shared" ca="1" si="125"/>
        <v>4.6022467919716689E-2</v>
      </c>
      <c r="K114" s="3">
        <f t="shared" ca="1" si="125"/>
        <v>4.213121194750255E-2</v>
      </c>
      <c r="L114" s="3">
        <f t="shared" ca="1" si="125"/>
        <v>4.8353501189013534E-2</v>
      </c>
      <c r="M114" s="3">
        <f t="shared" ca="1" si="125"/>
        <v>4.3792964892850068E-2</v>
      </c>
      <c r="N114" s="3">
        <f t="shared" ca="1" si="125"/>
        <v>4.9760148147333476E-2</v>
      </c>
      <c r="O114" s="3">
        <f t="shared" ca="1" si="125"/>
        <v>4.6367970339510234E-2</v>
      </c>
      <c r="P114" s="3">
        <f t="shared" ca="1" si="125"/>
        <v>5.1718818699454078E-2</v>
      </c>
      <c r="Q114" s="3">
        <f t="shared" ca="1" si="125"/>
        <v>4.9188982618582532E-2</v>
      </c>
      <c r="R114" s="3">
        <f t="shared" ca="1" si="125"/>
        <v>5.2719875408066282E-2</v>
      </c>
      <c r="S114" s="3">
        <f t="shared" ca="1" si="125"/>
        <v>5.1584865961715784E-2</v>
      </c>
      <c r="T114" s="3">
        <f t="shared" ca="1" si="125"/>
        <v>5.5401563884860165E-2</v>
      </c>
      <c r="U114" s="3">
        <f t="shared" ca="1" si="125"/>
        <v>5.2783487034411103E-2</v>
      </c>
      <c r="V114" s="3">
        <f t="shared" ca="1" si="125"/>
        <v>5.8659832673463239E-2</v>
      </c>
      <c r="W114" s="3">
        <f t="shared" ca="1" si="125"/>
        <v>5.3058065415066483E-2</v>
      </c>
      <c r="X114" s="3">
        <f t="shared" ca="1" si="125"/>
        <v>6.3059878139085174E-2</v>
      </c>
      <c r="Y114" s="3">
        <f t="shared" ca="1" si="125"/>
        <v>6.0235837176143489E-2</v>
      </c>
      <c r="Z114" s="3">
        <f t="shared" ca="1" si="125"/>
        <v>7.6398676152535816E-2</v>
      </c>
      <c r="AA114" s="3">
        <f t="shared" ca="1" si="125"/>
        <v>6.2542617821804522E-2</v>
      </c>
      <c r="AB114" s="3">
        <f t="shared" ref="AB114" ca="1" si="132">MIN(0.99,AB57+$O$3)</f>
        <v>8.4927174351363127E-2</v>
      </c>
      <c r="AC114" s="3">
        <f t="shared" ca="1" si="129"/>
        <v>7.217255572484027E-2</v>
      </c>
      <c r="AD114" s="3">
        <f t="shared" ca="1" si="129"/>
        <v>9.4552949575624046E-2</v>
      </c>
      <c r="AE114" s="3">
        <f t="shared" ca="1" si="129"/>
        <v>7.8075933108579437E-2</v>
      </c>
      <c r="AF114" s="3">
        <f t="shared" ca="1" si="129"/>
        <v>0.10558715556417875</v>
      </c>
      <c r="AG114" s="3">
        <f t="shared" ca="1" si="129"/>
        <v>8.5277389347350144E-2</v>
      </c>
      <c r="AH114" s="3">
        <f t="shared" ca="1" si="129"/>
        <v>0.11641017335713322</v>
      </c>
      <c r="AI114" s="3">
        <f t="shared" ca="1" si="129"/>
        <v>0.12646192958839025</v>
      </c>
      <c r="AJ114" s="3">
        <f t="shared" ca="1" si="129"/>
        <v>0.16317088335100344</v>
      </c>
    </row>
    <row r="115" spans="1:36" x14ac:dyDescent="0.35">
      <c r="A115" t="s">
        <v>77</v>
      </c>
      <c r="B115" t="s">
        <v>62</v>
      </c>
      <c r="C115" s="4">
        <v>6</v>
      </c>
      <c r="D115" s="3">
        <f t="shared" ca="1" si="77"/>
        <v>3.8970960225025636E-2</v>
      </c>
      <c r="E115" s="3">
        <f t="shared" ca="1" si="125"/>
        <v>3.9006002806789404E-2</v>
      </c>
      <c r="F115" s="3">
        <f t="shared" ca="1" si="125"/>
        <v>4.2363045427415022E-2</v>
      </c>
      <c r="G115" s="3">
        <f t="shared" ca="1" si="125"/>
        <v>4.0884495966732083E-2</v>
      </c>
      <c r="H115" s="3">
        <f t="shared" ca="1" si="125"/>
        <v>4.3579234012875959E-2</v>
      </c>
      <c r="I115" s="3">
        <f t="shared" ca="1" si="125"/>
        <v>4.2441447587045641E-2</v>
      </c>
      <c r="J115" s="3">
        <f t="shared" ca="1" si="125"/>
        <v>4.6950110951396652E-2</v>
      </c>
      <c r="K115" s="3">
        <f t="shared" ca="1" si="125"/>
        <v>4.3050528695585712E-2</v>
      </c>
      <c r="L115" s="3">
        <f t="shared" ca="1" si="125"/>
        <v>4.9323989179398044E-2</v>
      </c>
      <c r="M115" s="3">
        <f t="shared" ca="1" si="125"/>
        <v>4.4728798409588683E-2</v>
      </c>
      <c r="N115" s="3">
        <f t="shared" ca="1" si="125"/>
        <v>5.0662882813241897E-2</v>
      </c>
      <c r="O115" s="3">
        <f t="shared" ca="1" si="125"/>
        <v>4.7311053486308846E-2</v>
      </c>
      <c r="P115" s="3">
        <f t="shared" ca="1" si="125"/>
        <v>5.2688784170756356E-2</v>
      </c>
      <c r="Q115" s="3">
        <f t="shared" ca="1" si="125"/>
        <v>5.0170013296866461E-2</v>
      </c>
      <c r="R115" s="3">
        <f t="shared" ca="1" si="125"/>
        <v>5.36303275291228E-2</v>
      </c>
      <c r="S115" s="3">
        <f t="shared" ca="1" si="125"/>
        <v>5.2504173285796762E-2</v>
      </c>
      <c r="T115" s="3">
        <f t="shared" ca="1" si="125"/>
        <v>5.6378288666347871E-2</v>
      </c>
      <c r="U115" s="3">
        <f t="shared" ca="1" si="125"/>
        <v>5.3782537071597122E-2</v>
      </c>
      <c r="V115" s="3">
        <f t="shared" ca="1" si="125"/>
        <v>5.9618548104760222E-2</v>
      </c>
      <c r="W115" s="3">
        <f t="shared" ca="1" si="125"/>
        <v>5.3980514234866286E-2</v>
      </c>
      <c r="X115" s="3">
        <f t="shared" ca="1" si="125"/>
        <v>6.3968159915141251E-2</v>
      </c>
      <c r="Y115" s="3">
        <f t="shared" ca="1" si="125"/>
        <v>6.1162082463951273E-2</v>
      </c>
      <c r="Z115" s="3">
        <f t="shared" ca="1" si="125"/>
        <v>7.7338252552760028E-2</v>
      </c>
      <c r="AA115" s="3">
        <f t="shared" ca="1" si="125"/>
        <v>6.350808692654461E-2</v>
      </c>
      <c r="AB115" s="3">
        <f t="shared" ref="AB115" ca="1" si="133">MIN(0.99,AB58+$O$3)</f>
        <v>8.5836267131019328E-2</v>
      </c>
      <c r="AC115" s="3">
        <f t="shared" ca="1" si="129"/>
        <v>7.3102948033483384E-2</v>
      </c>
      <c r="AD115" s="3">
        <f t="shared" ca="1" si="129"/>
        <v>9.5473152505702374E-2</v>
      </c>
      <c r="AE115" s="3">
        <f t="shared" ca="1" si="129"/>
        <v>7.9001270790248962E-2</v>
      </c>
      <c r="AF115" s="3">
        <f t="shared" ca="1" si="129"/>
        <v>0.10651316074301681</v>
      </c>
      <c r="AG115" s="3">
        <f t="shared" ca="1" si="129"/>
        <v>8.6272324017778623E-2</v>
      </c>
      <c r="AH115" s="3">
        <f t="shared" ca="1" si="129"/>
        <v>0.1173649914955405</v>
      </c>
      <c r="AI115" s="3">
        <f t="shared" ca="1" si="129"/>
        <v>0.12738529268917817</v>
      </c>
      <c r="AJ115" s="3">
        <f t="shared" ca="1" si="129"/>
        <v>0.1640860884403256</v>
      </c>
    </row>
    <row r="116" spans="1:36" x14ac:dyDescent="0.35">
      <c r="A116" t="s">
        <v>77</v>
      </c>
      <c r="B116" t="s">
        <v>62</v>
      </c>
      <c r="C116" s="4" t="s">
        <v>73</v>
      </c>
      <c r="D116" s="3">
        <f t="shared" ca="1" si="77"/>
        <v>3.9941438933984122E-2</v>
      </c>
      <c r="E116" s="3">
        <f t="shared" ca="1" si="125"/>
        <v>3.997128324085001E-2</v>
      </c>
      <c r="F116" s="3">
        <f t="shared" ca="1" si="125"/>
        <v>4.3349583121652199E-2</v>
      </c>
      <c r="G116" s="3">
        <f t="shared" ca="1" si="125"/>
        <v>4.1814325947342683E-2</v>
      </c>
      <c r="H116" s="3">
        <f t="shared" ca="1" si="125"/>
        <v>4.4512903161412758E-2</v>
      </c>
      <c r="I116" s="3">
        <f t="shared" ca="1" si="125"/>
        <v>4.3380539483678877E-2</v>
      </c>
      <c r="J116" s="3">
        <f t="shared" ca="1" si="125"/>
        <v>4.7892831174568204E-2</v>
      </c>
      <c r="K116" s="3">
        <f t="shared" ca="1" si="125"/>
        <v>4.4047413940262847E-2</v>
      </c>
      <c r="L116" s="3">
        <f t="shared" ca="1" si="125"/>
        <v>5.0307975698441601E-2</v>
      </c>
      <c r="M116" s="3">
        <f t="shared" ca="1" si="125"/>
        <v>4.5719134038379759E-2</v>
      </c>
      <c r="N116" s="3">
        <f t="shared" ca="1" si="125"/>
        <v>5.164937611579265E-2</v>
      </c>
      <c r="O116" s="3">
        <f t="shared" ca="1" si="125"/>
        <v>4.826548700497061E-2</v>
      </c>
      <c r="P116" s="3">
        <f t="shared" ca="1" si="125"/>
        <v>5.362964096162301E-2</v>
      </c>
      <c r="Q116" s="3">
        <f t="shared" ca="1" si="125"/>
        <v>5.1146799556390121E-2</v>
      </c>
      <c r="R116" s="3">
        <f t="shared" ca="1" si="125"/>
        <v>5.460718583459629E-2</v>
      </c>
      <c r="S116" s="3">
        <f t="shared" ca="1" si="125"/>
        <v>5.3472686577660619E-2</v>
      </c>
      <c r="T116" s="3">
        <f t="shared" ca="1" si="125"/>
        <v>5.7287143157083664E-2</v>
      </c>
      <c r="U116" s="3">
        <f t="shared" ca="1" si="125"/>
        <v>5.4722496671661569E-2</v>
      </c>
      <c r="V116" s="3">
        <f t="shared" ca="1" si="125"/>
        <v>6.0581786632328577E-2</v>
      </c>
      <c r="W116" s="3">
        <f t="shared" ca="1" si="125"/>
        <v>5.4957107034432719E-2</v>
      </c>
      <c r="X116" s="3">
        <f t="shared" ca="1" si="125"/>
        <v>6.494666905062281E-2</v>
      </c>
      <c r="Y116" s="3">
        <f t="shared" ca="1" si="125"/>
        <v>6.2078918917457537E-2</v>
      </c>
      <c r="Z116" s="3">
        <f t="shared" ca="1" si="125"/>
        <v>7.8334913182412924E-2</v>
      </c>
      <c r="AA116" s="3">
        <f t="shared" ca="1" si="125"/>
        <v>6.4408931423628218E-2</v>
      </c>
      <c r="AB116" s="3">
        <f t="shared" ref="AB116" ca="1" si="134">MIN(0.99,AB59+$O$3)</f>
        <v>8.679452850872979E-2</v>
      </c>
      <c r="AC116" s="3">
        <f t="shared" ca="1" si="129"/>
        <v>7.4102476651004848E-2</v>
      </c>
      <c r="AD116" s="3">
        <f t="shared" ca="1" si="129"/>
        <v>9.6420811871966355E-2</v>
      </c>
      <c r="AE116" s="3">
        <f t="shared" ca="1" si="129"/>
        <v>7.9917039247212884E-2</v>
      </c>
      <c r="AF116" s="3">
        <f t="shared" ca="1" si="129"/>
        <v>0.10749996403339043</v>
      </c>
      <c r="AG116" s="3">
        <f t="shared" ca="1" si="129"/>
        <v>8.7262655806081696E-2</v>
      </c>
      <c r="AH116" s="3">
        <f t="shared" ca="1" si="129"/>
        <v>0.11831322789948467</v>
      </c>
      <c r="AI116" s="3">
        <f t="shared" ca="1" si="129"/>
        <v>0.12834145298080213</v>
      </c>
      <c r="AJ116" s="3">
        <f t="shared" ca="1" si="129"/>
        <v>0.16500767388322995</v>
      </c>
    </row>
    <row r="117" spans="1:36" x14ac:dyDescent="0.35">
      <c r="A117" t="s">
        <v>77</v>
      </c>
      <c r="B117" t="s">
        <v>62</v>
      </c>
      <c r="C117" s="4" t="s">
        <v>74</v>
      </c>
      <c r="D117" s="3">
        <f t="shared" ca="1" si="77"/>
        <v>4.0898896359240669E-2</v>
      </c>
      <c r="E117" s="3">
        <f t="shared" ca="1" si="125"/>
        <v>4.0954218888753488E-2</v>
      </c>
      <c r="F117" s="3">
        <f t="shared" ca="1" si="125"/>
        <v>4.4290226770066013E-2</v>
      </c>
      <c r="G117" s="3">
        <f t="shared" ca="1" si="125"/>
        <v>4.2752458296207788E-2</v>
      </c>
      <c r="H117" s="3">
        <f t="shared" ca="1" si="125"/>
        <v>4.5500837200920477E-2</v>
      </c>
      <c r="I117" s="3">
        <f t="shared" ca="1" si="125"/>
        <v>4.4351148179154823E-2</v>
      </c>
      <c r="J117" s="3">
        <f t="shared" ca="1" si="125"/>
        <v>4.8876313122492326E-2</v>
      </c>
      <c r="K117" s="3">
        <f t="shared" ca="1" si="125"/>
        <v>4.4975178429432397E-2</v>
      </c>
      <c r="L117" s="3">
        <f t="shared" ca="1" si="125"/>
        <v>5.1210746475896532E-2</v>
      </c>
      <c r="M117" s="3">
        <f t="shared" ca="1" si="125"/>
        <v>4.6621374230412821E-2</v>
      </c>
      <c r="N117" s="3">
        <f t="shared" ca="1" si="125"/>
        <v>5.2552626250183386E-2</v>
      </c>
      <c r="O117" s="3">
        <f t="shared" ca="1" si="125"/>
        <v>4.923530425552395E-2</v>
      </c>
      <c r="P117" s="3">
        <f t="shared" ca="1" si="125"/>
        <v>5.4592678381497978E-2</v>
      </c>
      <c r="Q117" s="3">
        <f t="shared" ca="1" si="125"/>
        <v>5.2106199962341948E-2</v>
      </c>
      <c r="R117" s="3">
        <f t="shared" ca="1" si="125"/>
        <v>5.5600899930007025E-2</v>
      </c>
      <c r="S117" s="3">
        <f t="shared" ca="1" si="125"/>
        <v>5.4462693315118132E-2</v>
      </c>
      <c r="T117" s="3">
        <f t="shared" ca="1" si="125"/>
        <v>5.8267995604864432E-2</v>
      </c>
      <c r="U117" s="3">
        <f t="shared" ca="1" si="125"/>
        <v>5.5693317284550528E-2</v>
      </c>
      <c r="V117" s="3">
        <f t="shared" ca="1" si="125"/>
        <v>6.1523707203621457E-2</v>
      </c>
      <c r="W117" s="3">
        <f t="shared" ca="1" si="125"/>
        <v>5.5903900831188555E-2</v>
      </c>
      <c r="X117" s="3">
        <f t="shared" ca="1" si="125"/>
        <v>6.5881290495929529E-2</v>
      </c>
      <c r="Y117" s="3">
        <f t="shared" ca="1" si="125"/>
        <v>6.3054225701150407E-2</v>
      </c>
      <c r="Z117" s="3">
        <f t="shared" ca="1" si="125"/>
        <v>7.9297945301703962E-2</v>
      </c>
      <c r="AA117" s="3">
        <f t="shared" ca="1" si="125"/>
        <v>6.5319546827239519E-2</v>
      </c>
      <c r="AB117" s="3">
        <f t="shared" ref="AB117" ca="1" si="135">MIN(0.99,AB60+$O$3)</f>
        <v>8.7791338742747804E-2</v>
      </c>
      <c r="AC117" s="3">
        <f t="shared" ca="1" si="129"/>
        <v>7.505996392053213E-2</v>
      </c>
      <c r="AD117" s="3">
        <f t="shared" ca="1" si="129"/>
        <v>9.7328591280725907E-2</v>
      </c>
      <c r="AE117" s="3">
        <f t="shared" ca="1" si="129"/>
        <v>8.0882987596302691E-2</v>
      </c>
      <c r="AF117" s="3">
        <f t="shared" ca="1" si="129"/>
        <v>0.1084455038081103</v>
      </c>
      <c r="AG117" s="3">
        <f t="shared" ca="1" si="129"/>
        <v>8.8178952137762001E-2</v>
      </c>
      <c r="AH117" s="3">
        <f t="shared" ca="1" si="129"/>
        <v>0.11930814569914711</v>
      </c>
      <c r="AI117" s="3">
        <f t="shared" ca="1" si="129"/>
        <v>0.12929671998418019</v>
      </c>
      <c r="AJ117" s="3">
        <f t="shared" ca="1" si="129"/>
        <v>0.16591627696969996</v>
      </c>
    </row>
    <row r="118" spans="1:36" x14ac:dyDescent="0.35">
      <c r="A118" t="s">
        <v>77</v>
      </c>
      <c r="B118" t="s">
        <v>62</v>
      </c>
      <c r="C118" s="4">
        <v>7</v>
      </c>
      <c r="D118" s="3">
        <f t="shared" ca="1" si="77"/>
        <v>4.184078277334459E-2</v>
      </c>
      <c r="E118" s="3">
        <f t="shared" ca="1" si="125"/>
        <v>4.1908550115087845E-2</v>
      </c>
      <c r="F118" s="3">
        <f t="shared" ca="1" si="125"/>
        <v>4.5200582888255014E-2</v>
      </c>
      <c r="G118" s="3">
        <f t="shared" ca="1" si="125"/>
        <v>4.3709243248238543E-2</v>
      </c>
      <c r="H118" s="3">
        <f t="shared" ca="1" si="125"/>
        <v>4.647910390179813E-2</v>
      </c>
      <c r="I118" s="3">
        <f t="shared" ca="1" si="125"/>
        <v>4.53217213691159E-2</v>
      </c>
      <c r="J118" s="3">
        <f t="shared" ca="1" si="125"/>
        <v>4.9800892642992284E-2</v>
      </c>
      <c r="K118" s="3">
        <f t="shared" ca="1" si="125"/>
        <v>4.5908359212996963E-2</v>
      </c>
      <c r="L118" s="3">
        <f t="shared" ca="1" si="125"/>
        <v>5.2157934157978571E-2</v>
      </c>
      <c r="M118" s="3">
        <f t="shared" ca="1" si="125"/>
        <v>4.7522051983000094E-2</v>
      </c>
      <c r="N118" s="3">
        <f t="shared" ca="1" si="125"/>
        <v>5.3546386207429186E-2</v>
      </c>
      <c r="O118" s="3">
        <f t="shared" ca="1" si="125"/>
        <v>5.0150129067042568E-2</v>
      </c>
      <c r="P118" s="3">
        <f t="shared" ca="1" si="125"/>
        <v>5.5578800119039068E-2</v>
      </c>
      <c r="Q118" s="3">
        <f t="shared" ca="1" si="125"/>
        <v>5.310336375370453E-2</v>
      </c>
      <c r="R118" s="3">
        <f t="shared" ca="1" si="125"/>
        <v>5.6565368070960721E-2</v>
      </c>
      <c r="S118" s="3">
        <f t="shared" ca="1" si="125"/>
        <v>5.5450265289794798E-2</v>
      </c>
      <c r="T118" s="3">
        <f t="shared" ca="1" si="125"/>
        <v>5.9255384463221893E-2</v>
      </c>
      <c r="U118" s="3">
        <f t="shared" ca="1" si="125"/>
        <v>5.6683150111262542E-2</v>
      </c>
      <c r="V118" s="3">
        <f t="shared" ca="1" si="125"/>
        <v>6.2511337076823562E-2</v>
      </c>
      <c r="W118" s="3">
        <f t="shared" ca="1" si="125"/>
        <v>5.6838293996067504E-2</v>
      </c>
      <c r="X118" s="3">
        <f t="shared" ca="1" si="125"/>
        <v>6.6828963375130335E-2</v>
      </c>
      <c r="Y118" s="3">
        <f t="shared" ca="1" si="125"/>
        <v>6.4004388031448534E-2</v>
      </c>
      <c r="Z118" s="3">
        <f t="shared" ca="1" si="125"/>
        <v>8.0250622448529707E-2</v>
      </c>
      <c r="AA118" s="3">
        <f t="shared" ca="1" si="125"/>
        <v>6.6274551291892053E-2</v>
      </c>
      <c r="AB118" s="3">
        <f t="shared" ref="AB118" ca="1" si="136">MIN(0.99,AB61+$O$3)</f>
        <v>8.8694199843996624E-2</v>
      </c>
      <c r="AC118" s="3">
        <f t="shared" ca="1" si="129"/>
        <v>7.5984914949163471E-2</v>
      </c>
      <c r="AD118" s="3">
        <f t="shared" ca="1" si="129"/>
        <v>9.830932699294162E-2</v>
      </c>
      <c r="AE118" s="3">
        <f t="shared" ca="1" si="129"/>
        <v>8.1790028523985175E-2</v>
      </c>
      <c r="AF118" s="3">
        <f t="shared" ca="1" si="129"/>
        <v>0.10941087165827493</v>
      </c>
      <c r="AG118" s="3">
        <f t="shared" ca="1" si="129"/>
        <v>8.9114292189571592E-2</v>
      </c>
      <c r="AH118" s="3">
        <f t="shared" ca="1" si="129"/>
        <v>0.12028533318532722</v>
      </c>
      <c r="AI118" s="3">
        <f t="shared" ca="1" si="129"/>
        <v>0.13027925400946491</v>
      </c>
      <c r="AJ118" s="3">
        <f t="shared" ca="1" si="129"/>
        <v>0.16682051759209637</v>
      </c>
    </row>
    <row r="119" spans="1:36" x14ac:dyDescent="0.35">
      <c r="A119" t="s">
        <v>77</v>
      </c>
      <c r="B119" t="s">
        <v>62</v>
      </c>
      <c r="C119" s="4" t="s">
        <v>75</v>
      </c>
      <c r="D119" s="3">
        <f t="shared" ca="1" si="77"/>
        <v>4.2818896010044849E-2</v>
      </c>
      <c r="E119" s="3">
        <f t="shared" ca="1" si="125"/>
        <v>4.2830000834851306E-2</v>
      </c>
      <c r="F119" s="3">
        <f t="shared" ca="1" si="125"/>
        <v>4.6173771869622182E-2</v>
      </c>
      <c r="G119" s="3">
        <f t="shared" ref="G119:AB119" ca="1" si="137">MIN(0.99,G62+$O$3)</f>
        <v>4.4610550581027586E-2</v>
      </c>
      <c r="H119" s="3">
        <f t="shared" ca="1" si="137"/>
        <v>4.7453683490209626E-2</v>
      </c>
      <c r="I119" s="3">
        <f t="shared" ca="1" si="137"/>
        <v>4.6292380706682304E-2</v>
      </c>
      <c r="J119" s="3">
        <f t="shared" ca="1" si="137"/>
        <v>5.0799687461112464E-2</v>
      </c>
      <c r="K119" s="3">
        <f t="shared" ca="1" si="137"/>
        <v>4.6823234018341098E-2</v>
      </c>
      <c r="L119" s="3">
        <f t="shared" ca="1" si="137"/>
        <v>5.3065688911084971E-2</v>
      </c>
      <c r="M119" s="3">
        <f t="shared" ca="1" si="137"/>
        <v>4.8423454540192382E-2</v>
      </c>
      <c r="N119" s="3">
        <f t="shared" ca="1" si="137"/>
        <v>5.4513995510441816E-2</v>
      </c>
      <c r="O119" s="3">
        <f t="shared" ca="1" si="137"/>
        <v>5.1069033195365009E-2</v>
      </c>
      <c r="P119" s="3">
        <f t="shared" ca="1" si="137"/>
        <v>5.6507055929296675E-2</v>
      </c>
      <c r="Q119" s="3">
        <f t="shared" ca="1" si="137"/>
        <v>5.405669421780343E-2</v>
      </c>
      <c r="R119" s="3">
        <f t="shared" ca="1" si="137"/>
        <v>5.7497352449134821E-2</v>
      </c>
      <c r="S119" s="3">
        <f t="shared" ca="1" si="137"/>
        <v>5.6381384150811613E-2</v>
      </c>
      <c r="T119" s="3">
        <f t="shared" ca="1" si="137"/>
        <v>6.0158335447846621E-2</v>
      </c>
      <c r="U119" s="3">
        <f t="shared" ca="1" si="137"/>
        <v>5.7603192623945532E-2</v>
      </c>
      <c r="V119" s="3">
        <f t="shared" ca="1" si="137"/>
        <v>6.3470695338767563E-2</v>
      </c>
      <c r="W119" s="3">
        <f t="shared" ca="1" si="137"/>
        <v>5.7784196995109685E-2</v>
      </c>
      <c r="X119" s="3">
        <f t="shared" ca="1" si="137"/>
        <v>6.7786435065790018E-2</v>
      </c>
      <c r="Y119" s="3">
        <f t="shared" ca="1" si="137"/>
        <v>6.4982476254653823E-2</v>
      </c>
      <c r="Z119" s="3">
        <f t="shared" ca="1" si="137"/>
        <v>8.1246627711201502E-2</v>
      </c>
      <c r="AA119" s="3">
        <f t="shared" ca="1" si="137"/>
        <v>6.7222569322303805E-2</v>
      </c>
      <c r="AB119" s="3">
        <f t="shared" ca="1" si="137"/>
        <v>8.9687402456049253E-2</v>
      </c>
      <c r="AC119" s="3">
        <f t="shared" ca="1" si="129"/>
        <v>7.6912452012992003E-2</v>
      </c>
      <c r="AD119" s="3">
        <f t="shared" ca="1" si="129"/>
        <v>9.9227067526741458E-2</v>
      </c>
      <c r="AE119" s="3">
        <f t="shared" ca="1" si="129"/>
        <v>8.270744087752635E-2</v>
      </c>
      <c r="AF119" s="3">
        <f t="shared" ca="1" si="129"/>
        <v>0.11035985654148886</v>
      </c>
      <c r="AG119" s="3">
        <f t="shared" ca="1" si="129"/>
        <v>9.0064678256661812E-2</v>
      </c>
      <c r="AH119" s="3">
        <f t="shared" ca="1" si="129"/>
        <v>0.12127538596171233</v>
      </c>
      <c r="AI119" s="3">
        <f t="shared" ca="1" si="129"/>
        <v>0.13124007329217355</v>
      </c>
      <c r="AJ119" s="3">
        <f t="shared" ca="1" si="129"/>
        <v>0.16776799401159856</v>
      </c>
    </row>
  </sheetData>
  <phoneticPr fontId="3" type="noConversion"/>
  <dataValidations disablePrompts="1"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>
      <selection activeCell="F12" sqref="F1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sheetPr>
    <tabColor theme="4"/>
  </sheetPr>
  <dimension ref="A5:AJ11"/>
  <sheetViews>
    <sheetView tabSelected="1" zoomScale="70" zoomScaleNormal="70" workbookViewId="0">
      <selection activeCell="F12" sqref="F12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s="2" customFormat="1" x14ac:dyDescent="0.35">
      <c r="A5" s="2" t="s">
        <v>207</v>
      </c>
      <c r="B5" s="2" t="s">
        <v>26</v>
      </c>
      <c r="C5" s="2" t="s">
        <v>79</v>
      </c>
      <c r="D5" s="2" t="s">
        <v>174</v>
      </c>
      <c r="E5" s="2" t="s">
        <v>175</v>
      </c>
      <c r="F5" s="2" t="s">
        <v>176</v>
      </c>
      <c r="G5" s="2" t="s">
        <v>177</v>
      </c>
      <c r="H5" s="2" t="s">
        <v>178</v>
      </c>
      <c r="I5" s="2" t="s">
        <v>179</v>
      </c>
      <c r="J5" s="2" t="s">
        <v>180</v>
      </c>
      <c r="K5" s="2" t="s">
        <v>181</v>
      </c>
      <c r="L5" s="2" t="s">
        <v>182</v>
      </c>
      <c r="M5" s="2" t="s">
        <v>183</v>
      </c>
      <c r="N5" s="2" t="s">
        <v>184</v>
      </c>
      <c r="O5" s="2" t="s">
        <v>185</v>
      </c>
      <c r="P5" s="2" t="s">
        <v>186</v>
      </c>
      <c r="Q5" s="2" t="s">
        <v>187</v>
      </c>
      <c r="R5" s="2" t="s">
        <v>188</v>
      </c>
      <c r="S5" s="2" t="s">
        <v>189</v>
      </c>
      <c r="T5" s="2" t="s">
        <v>190</v>
      </c>
      <c r="U5" s="2" t="s">
        <v>191</v>
      </c>
      <c r="V5" s="2" t="s">
        <v>192</v>
      </c>
      <c r="W5" s="2" t="s">
        <v>193</v>
      </c>
      <c r="X5" s="2" t="s">
        <v>194</v>
      </c>
      <c r="Y5" s="2" t="s">
        <v>195</v>
      </c>
      <c r="Z5" s="2" t="s">
        <v>196</v>
      </c>
      <c r="AA5" s="2" t="s">
        <v>197</v>
      </c>
      <c r="AB5" s="2" t="s">
        <v>198</v>
      </c>
      <c r="AC5" s="2" t="s">
        <v>199</v>
      </c>
      <c r="AD5" s="2" t="s">
        <v>200</v>
      </c>
      <c r="AE5" s="2" t="s">
        <v>201</v>
      </c>
      <c r="AF5" s="2" t="s">
        <v>202</v>
      </c>
      <c r="AG5" s="2" t="s">
        <v>203</v>
      </c>
      <c r="AH5" s="2" t="s">
        <v>204</v>
      </c>
      <c r="AI5" s="2" t="s">
        <v>205</v>
      </c>
      <c r="AJ5" s="2" t="s">
        <v>206</v>
      </c>
    </row>
    <row r="6" spans="1:36" x14ac:dyDescent="0.35">
      <c r="A6" t="s">
        <v>80</v>
      </c>
      <c r="B6" t="s">
        <v>76</v>
      </c>
      <c r="C6" s="5">
        <v>0.43</v>
      </c>
    </row>
    <row r="7" spans="1:36" x14ac:dyDescent="0.35">
      <c r="A7" t="s">
        <v>80</v>
      </c>
      <c r="B7" t="s">
        <v>61</v>
      </c>
      <c r="C7" s="5">
        <v>0.45</v>
      </c>
    </row>
    <row r="8" spans="1:36" x14ac:dyDescent="0.35">
      <c r="A8" t="s">
        <v>80</v>
      </c>
      <c r="B8" t="s">
        <v>62</v>
      </c>
      <c r="C8" s="5">
        <v>0.46</v>
      </c>
    </row>
    <row r="9" spans="1:36" x14ac:dyDescent="0.35">
      <c r="A9" t="s">
        <v>81</v>
      </c>
      <c r="B9" t="s">
        <v>76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81</v>
      </c>
      <c r="B10" t="s">
        <v>61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81</v>
      </c>
      <c r="B11" t="s">
        <v>62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</sheetData>
  <phoneticPr fontId="3" type="noConversion"/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1"/>
  <sheetViews>
    <sheetView workbookViewId="0">
      <selection activeCell="H18" sqref="H18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G13" sqref="G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sheetPr>
    <tabColor theme="4"/>
  </sheetPr>
  <dimension ref="A5:AJ11"/>
  <sheetViews>
    <sheetView zoomScale="90" workbookViewId="0">
      <selection activeCell="I18" sqref="I18"/>
    </sheetView>
  </sheetViews>
  <sheetFormatPr baseColWidth="10" defaultRowHeight="14.5" x14ac:dyDescent="0.35"/>
  <cols>
    <col min="1" max="1" width="18" bestFit="1" customWidth="1"/>
    <col min="3" max="3" width="18.0898437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130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C6" s="5"/>
    </row>
    <row r="7" spans="1:36" x14ac:dyDescent="0.35">
      <c r="C7" s="5"/>
    </row>
    <row r="8" spans="1:36" x14ac:dyDescent="0.35">
      <c r="C8" s="5"/>
    </row>
    <row r="9" spans="1:36" x14ac:dyDescent="0.35">
      <c r="D9" s="5"/>
      <c r="E9" s="5"/>
      <c r="F9" s="5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5">
      <c r="D10" s="5"/>
      <c r="E10" s="5"/>
      <c r="F10" s="5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1:36" x14ac:dyDescent="0.35">
      <c r="D11" s="5"/>
      <c r="E11" s="5"/>
      <c r="F11" s="5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</row>
  </sheetData>
  <dataValidations count="1">
    <dataValidation type="list" allowBlank="1" showInputMessage="1" showErrorMessage="1" sqref="B7:B8 B10:B11" xr:uid="{004D243F-8B2B-4B8E-B450-DEFF82CA03C9}">
      <formula1>"CENTRAL,STRESS,OPTIMISTE"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F0-Scenarios Weight</vt:lpstr>
      <vt:lpstr>F1-Mapping fields Non Retail</vt:lpstr>
      <vt:lpstr>F1-Mapping fields Retail S1S2</vt:lpstr>
      <vt:lpstr>F1-Mapping fields Retail S3</vt:lpstr>
      <vt:lpstr>F2-Mapping time steps</vt:lpstr>
      <vt:lpstr>F3-Mapping Segment SICR</vt:lpstr>
      <vt:lpstr>F4-Histo PD Multi Non Retail</vt:lpstr>
      <vt:lpstr>Histo PD Multi Retail</vt:lpstr>
      <vt:lpstr>Perimeters Segmentation</vt:lpstr>
      <vt:lpstr>F6-PD S1S2 Non Retail</vt:lpstr>
      <vt:lpstr>PD S1S2 Retail</vt:lpstr>
      <vt:lpstr>F8-LGD S1S2 Non Retail</vt:lpstr>
      <vt:lpstr>LGD S1S2 Retail</vt:lpstr>
      <vt:lpstr>LGD S3 Retail</vt:lpstr>
      <vt:lpstr>CCF Retail</vt:lpstr>
      <vt:lpstr>F12-CCF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2025-08-29T13:16:56Z</dcterms:modified>
</cp:coreProperties>
</file>