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xialog365-my.sharepoint.com/personal/hcle_nexialog_com/Documents/Documents/IFRS9-Simulation/sample/templates/"/>
    </mc:Choice>
  </mc:AlternateContent>
  <xr:revisionPtr revIDLastSave="288" documentId="8_{AFB8AE1F-C1C1-4A4D-92C3-D5E9A3F69F11}" xr6:coauthVersionLast="47" xr6:coauthVersionMax="47" xr10:uidLastSave="{9121BBD3-EB4F-4E98-85CF-A4DC0805A658}"/>
  <bookViews>
    <workbookView xWindow="-110" yWindow="-110" windowWidth="19420" windowHeight="10420" tabRatio="831" firstSheet="6" activeTab="12" xr2:uid="{5ADE5E38-8C15-4A1D-BC21-AF3E8C7499E2}"/>
  </bookViews>
  <sheets>
    <sheet name="Mapping fields Non Retail" sheetId="1" r:id="rId1"/>
    <sheet name="Mapping time steps" sheetId="2" r:id="rId2"/>
    <sheet name="Mapping SICR" sheetId="3" r:id="rId3"/>
    <sheet name="Histo PD Multi Non Retail" sheetId="4" r:id="rId4"/>
    <sheet name="Histo PD Multi Retail" sheetId="5" r:id="rId5"/>
    <sheet name="Perimeters Segmentation" sheetId="6" r:id="rId6"/>
    <sheet name="PD S1S2 Non Retail" sheetId="7" r:id="rId7"/>
    <sheet name="PD S1S2 Retail" sheetId="8" r:id="rId8"/>
    <sheet name="LGD S1S2 Non Retail" sheetId="9" r:id="rId9"/>
    <sheet name="LGD S1S2 Retail" sheetId="10" r:id="rId10"/>
    <sheet name="LGD S3 Retail" sheetId="11" r:id="rId11"/>
    <sheet name="CCF Retail" sheetId="12" r:id="rId12"/>
    <sheet name="CCF Non Retail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9" l="1"/>
  <c r="F10" i="9" s="1"/>
  <c r="G10" i="9" s="1"/>
  <c r="H10" i="9" s="1"/>
  <c r="I10" i="9" s="1"/>
  <c r="J10" i="9" s="1"/>
  <c r="K10" i="9" s="1"/>
  <c r="L10" i="9" s="1"/>
  <c r="E11" i="9"/>
  <c r="F11" i="9" s="1"/>
  <c r="G11" i="9" s="1"/>
  <c r="H11" i="9" s="1"/>
  <c r="I11" i="9" s="1"/>
  <c r="J11" i="9" s="1"/>
  <c r="K11" i="9" s="1"/>
  <c r="L11" i="9" s="1"/>
  <c r="E9" i="9"/>
  <c r="F9" i="9" s="1"/>
  <c r="G9" i="9" s="1"/>
  <c r="H9" i="9" s="1"/>
  <c r="I9" i="9" s="1"/>
  <c r="J9" i="9" s="1"/>
  <c r="K9" i="9" s="1"/>
  <c r="L9" i="9" s="1"/>
  <c r="D11" i="9"/>
  <c r="D10" i="9"/>
  <c r="X3" i="7"/>
  <c r="Y3" i="7" s="1"/>
  <c r="Z3" i="7" s="1"/>
  <c r="AA3" i="7" s="1"/>
  <c r="AB3" i="7" s="1"/>
  <c r="AC3" i="7" s="1"/>
  <c r="AD3" i="7" s="1"/>
  <c r="AE3" i="7" s="1"/>
  <c r="AF3" i="7" s="1"/>
  <c r="AG3" i="7" s="1"/>
  <c r="D6" i="7"/>
  <c r="D25" i="7" l="1"/>
  <c r="D63" i="7"/>
  <c r="E6" i="7"/>
  <c r="AH3" i="7"/>
  <c r="AI3" i="7" s="1"/>
  <c r="AJ3" i="7" s="1"/>
  <c r="D7" i="7"/>
  <c r="E25" i="7" l="1"/>
  <c r="E63" i="7"/>
  <c r="D44" i="7"/>
  <c r="D101" i="7" s="1"/>
  <c r="D82" i="7"/>
  <c r="D26" i="7"/>
  <c r="D64" i="7"/>
  <c r="D8" i="7"/>
  <c r="F6" i="7"/>
  <c r="E7" i="7"/>
  <c r="E82" i="7" l="1"/>
  <c r="E44" i="7"/>
  <c r="E101" i="7" s="1"/>
  <c r="F25" i="7"/>
  <c r="F63" i="7"/>
  <c r="E26" i="7"/>
  <c r="E64" i="7"/>
  <c r="D83" i="7"/>
  <c r="D45" i="7"/>
  <c r="D102" i="7" s="1"/>
  <c r="D27" i="7"/>
  <c r="D65" i="7"/>
  <c r="F7" i="7"/>
  <c r="D9" i="7"/>
  <c r="E8" i="7"/>
  <c r="G6" i="7"/>
  <c r="F82" i="7" l="1"/>
  <c r="F44" i="7"/>
  <c r="F101" i="7" s="1"/>
  <c r="E83" i="7"/>
  <c r="E45" i="7"/>
  <c r="E102" i="7" s="1"/>
  <c r="F26" i="7"/>
  <c r="F64" i="7"/>
  <c r="E27" i="7"/>
  <c r="E65" i="7"/>
  <c r="G25" i="7"/>
  <c r="G63" i="7"/>
  <c r="D84" i="7"/>
  <c r="D46" i="7"/>
  <c r="D103" i="7" s="1"/>
  <c r="D28" i="7"/>
  <c r="D66" i="7"/>
  <c r="F8" i="7"/>
  <c r="G7" i="7"/>
  <c r="D10" i="7"/>
  <c r="E9" i="7"/>
  <c r="H6" i="7"/>
  <c r="F83" i="7" l="1"/>
  <c r="F45" i="7"/>
  <c r="F102" i="7" s="1"/>
  <c r="E84" i="7"/>
  <c r="E46" i="7"/>
  <c r="E103" i="7" s="1"/>
  <c r="G82" i="7"/>
  <c r="G44" i="7"/>
  <c r="G101" i="7" s="1"/>
  <c r="F27" i="7"/>
  <c r="F65" i="7"/>
  <c r="G26" i="7"/>
  <c r="G64" i="7"/>
  <c r="E28" i="7"/>
  <c r="E66" i="7"/>
  <c r="H25" i="7"/>
  <c r="H63" i="7"/>
  <c r="D85" i="7"/>
  <c r="D47" i="7"/>
  <c r="D104" i="7" s="1"/>
  <c r="D29" i="7"/>
  <c r="D67" i="7"/>
  <c r="F9" i="7"/>
  <c r="G8" i="7"/>
  <c r="H7" i="7"/>
  <c r="D11" i="7"/>
  <c r="E10" i="7"/>
  <c r="I6" i="7"/>
  <c r="F84" i="7" l="1"/>
  <c r="F46" i="7"/>
  <c r="F103" i="7" s="1"/>
  <c r="G83" i="7"/>
  <c r="G45" i="7"/>
  <c r="G102" i="7" s="1"/>
  <c r="E85" i="7"/>
  <c r="E47" i="7"/>
  <c r="E104" i="7" s="1"/>
  <c r="H82" i="7"/>
  <c r="H44" i="7"/>
  <c r="H101" i="7" s="1"/>
  <c r="F28" i="7"/>
  <c r="F66" i="7"/>
  <c r="G27" i="7"/>
  <c r="G65" i="7"/>
  <c r="H26" i="7"/>
  <c r="H64" i="7"/>
  <c r="E29" i="7"/>
  <c r="E67" i="7"/>
  <c r="I25" i="7"/>
  <c r="I63" i="7"/>
  <c r="D86" i="7"/>
  <c r="D48" i="7"/>
  <c r="D105" i="7" s="1"/>
  <c r="D30" i="7"/>
  <c r="D68" i="7"/>
  <c r="F10" i="7"/>
  <c r="G9" i="7"/>
  <c r="H8" i="7"/>
  <c r="I7" i="7"/>
  <c r="D12" i="7"/>
  <c r="E11" i="7"/>
  <c r="J6" i="7"/>
  <c r="F85" i="7" l="1"/>
  <c r="F47" i="7"/>
  <c r="F104" i="7" s="1"/>
  <c r="G84" i="7"/>
  <c r="G46" i="7"/>
  <c r="G103" i="7" s="1"/>
  <c r="H83" i="7"/>
  <c r="H45" i="7"/>
  <c r="H102" i="7" s="1"/>
  <c r="E86" i="7"/>
  <c r="E48" i="7"/>
  <c r="E105" i="7" s="1"/>
  <c r="I82" i="7"/>
  <c r="I44" i="7"/>
  <c r="I101" i="7" s="1"/>
  <c r="F29" i="7"/>
  <c r="F67" i="7"/>
  <c r="G28" i="7"/>
  <c r="G66" i="7"/>
  <c r="H27" i="7"/>
  <c r="H65" i="7"/>
  <c r="I26" i="7"/>
  <c r="I64" i="7"/>
  <c r="E30" i="7"/>
  <c r="E68" i="7"/>
  <c r="J25" i="7"/>
  <c r="J63" i="7"/>
  <c r="D87" i="7"/>
  <c r="D49" i="7"/>
  <c r="D106" i="7" s="1"/>
  <c r="D31" i="7"/>
  <c r="D69" i="7"/>
  <c r="F11" i="7"/>
  <c r="G10" i="7"/>
  <c r="H9" i="7"/>
  <c r="I8" i="7"/>
  <c r="J7" i="7"/>
  <c r="D13" i="7"/>
  <c r="E12" i="7"/>
  <c r="K6" i="7"/>
  <c r="F86" i="7" l="1"/>
  <c r="F48" i="7"/>
  <c r="F105" i="7" s="1"/>
  <c r="G85" i="7"/>
  <c r="G47" i="7"/>
  <c r="G104" i="7" s="1"/>
  <c r="H84" i="7"/>
  <c r="H46" i="7"/>
  <c r="H103" i="7" s="1"/>
  <c r="I83" i="7"/>
  <c r="I45" i="7"/>
  <c r="I102" i="7" s="1"/>
  <c r="E87" i="7"/>
  <c r="E49" i="7"/>
  <c r="E106" i="7" s="1"/>
  <c r="J82" i="7"/>
  <c r="J44" i="7"/>
  <c r="J101" i="7" s="1"/>
  <c r="F30" i="7"/>
  <c r="F68" i="7"/>
  <c r="G29" i="7"/>
  <c r="G67" i="7"/>
  <c r="H28" i="7"/>
  <c r="H66" i="7"/>
  <c r="I27" i="7"/>
  <c r="I65" i="7"/>
  <c r="J26" i="7"/>
  <c r="J64" i="7"/>
  <c r="E31" i="7"/>
  <c r="E69" i="7"/>
  <c r="K25" i="7"/>
  <c r="K63" i="7"/>
  <c r="D88" i="7"/>
  <c r="D50" i="7"/>
  <c r="D107" i="7" s="1"/>
  <c r="D32" i="7"/>
  <c r="D70" i="7"/>
  <c r="F12" i="7"/>
  <c r="G11" i="7"/>
  <c r="H10" i="7"/>
  <c r="I9" i="7"/>
  <c r="J8" i="7"/>
  <c r="K7" i="7"/>
  <c r="D14" i="7"/>
  <c r="E13" i="7"/>
  <c r="L6" i="7"/>
  <c r="F87" i="7" l="1"/>
  <c r="F49" i="7"/>
  <c r="F106" i="7" s="1"/>
  <c r="G86" i="7"/>
  <c r="G48" i="7"/>
  <c r="G105" i="7" s="1"/>
  <c r="H85" i="7"/>
  <c r="H47" i="7"/>
  <c r="H104" i="7" s="1"/>
  <c r="I84" i="7"/>
  <c r="I46" i="7"/>
  <c r="I103" i="7" s="1"/>
  <c r="J83" i="7"/>
  <c r="J45" i="7"/>
  <c r="J102" i="7" s="1"/>
  <c r="E88" i="7"/>
  <c r="E50" i="7"/>
  <c r="E107" i="7" s="1"/>
  <c r="K82" i="7"/>
  <c r="K44" i="7"/>
  <c r="K101" i="7" s="1"/>
  <c r="F31" i="7"/>
  <c r="F69" i="7"/>
  <c r="G30" i="7"/>
  <c r="G68" i="7"/>
  <c r="H29" i="7"/>
  <c r="H67" i="7"/>
  <c r="I28" i="7"/>
  <c r="I66" i="7"/>
  <c r="J27" i="7"/>
  <c r="J65" i="7"/>
  <c r="K26" i="7"/>
  <c r="K64" i="7"/>
  <c r="E32" i="7"/>
  <c r="E70" i="7"/>
  <c r="L25" i="7"/>
  <c r="L63" i="7"/>
  <c r="D89" i="7"/>
  <c r="D51" i="7"/>
  <c r="D108" i="7" s="1"/>
  <c r="D33" i="7"/>
  <c r="D71" i="7"/>
  <c r="F13" i="7"/>
  <c r="G12" i="7"/>
  <c r="I10" i="7"/>
  <c r="H11" i="7"/>
  <c r="J9" i="7"/>
  <c r="K8" i="7"/>
  <c r="L7" i="7"/>
  <c r="D15" i="7"/>
  <c r="E14" i="7"/>
  <c r="M6" i="7"/>
  <c r="F88" i="7" l="1"/>
  <c r="F50" i="7"/>
  <c r="F107" i="7" s="1"/>
  <c r="G87" i="7"/>
  <c r="G49" i="7"/>
  <c r="G106" i="7" s="1"/>
  <c r="H86" i="7"/>
  <c r="H48" i="7"/>
  <c r="H105" i="7" s="1"/>
  <c r="I85" i="7"/>
  <c r="I47" i="7"/>
  <c r="I104" i="7" s="1"/>
  <c r="J84" i="7"/>
  <c r="J46" i="7"/>
  <c r="J103" i="7" s="1"/>
  <c r="K83" i="7"/>
  <c r="K45" i="7"/>
  <c r="K102" i="7" s="1"/>
  <c r="E89" i="7"/>
  <c r="E51" i="7"/>
  <c r="E108" i="7" s="1"/>
  <c r="L82" i="7"/>
  <c r="L44" i="7"/>
  <c r="L101" i="7" s="1"/>
  <c r="F32" i="7"/>
  <c r="F70" i="7"/>
  <c r="G31" i="7"/>
  <c r="G69" i="7"/>
  <c r="I29" i="7"/>
  <c r="I67" i="7"/>
  <c r="H30" i="7"/>
  <c r="H68" i="7"/>
  <c r="J28" i="7"/>
  <c r="J66" i="7"/>
  <c r="K27" i="7"/>
  <c r="K65" i="7"/>
  <c r="L26" i="7"/>
  <c r="L64" i="7"/>
  <c r="E33" i="7"/>
  <c r="E71" i="7"/>
  <c r="M25" i="7"/>
  <c r="M63" i="7"/>
  <c r="D90" i="7"/>
  <c r="D52" i="7"/>
  <c r="D109" i="7" s="1"/>
  <c r="D34" i="7"/>
  <c r="D72" i="7"/>
  <c r="F14" i="7"/>
  <c r="G13" i="7"/>
  <c r="I11" i="7"/>
  <c r="H12" i="7"/>
  <c r="J10" i="7"/>
  <c r="K9" i="7"/>
  <c r="L8" i="7"/>
  <c r="M7" i="7"/>
  <c r="D16" i="7"/>
  <c r="E15" i="7"/>
  <c r="N6" i="7"/>
  <c r="F89" i="7" l="1"/>
  <c r="F51" i="7"/>
  <c r="F108" i="7" s="1"/>
  <c r="G88" i="7"/>
  <c r="G50" i="7"/>
  <c r="G107" i="7" s="1"/>
  <c r="I86" i="7"/>
  <c r="I48" i="7"/>
  <c r="I105" i="7" s="1"/>
  <c r="H87" i="7"/>
  <c r="H49" i="7"/>
  <c r="H106" i="7" s="1"/>
  <c r="J85" i="7"/>
  <c r="J47" i="7"/>
  <c r="J104" i="7" s="1"/>
  <c r="K84" i="7"/>
  <c r="K46" i="7"/>
  <c r="K103" i="7" s="1"/>
  <c r="L83" i="7"/>
  <c r="L45" i="7"/>
  <c r="L102" i="7" s="1"/>
  <c r="E90" i="7"/>
  <c r="E52" i="7"/>
  <c r="E109" i="7" s="1"/>
  <c r="M82" i="7"/>
  <c r="M44" i="7"/>
  <c r="M101" i="7" s="1"/>
  <c r="F33" i="7"/>
  <c r="F71" i="7"/>
  <c r="G32" i="7"/>
  <c r="G70" i="7"/>
  <c r="I30" i="7"/>
  <c r="I68" i="7"/>
  <c r="H31" i="7"/>
  <c r="H69" i="7"/>
  <c r="J29" i="7"/>
  <c r="J67" i="7"/>
  <c r="K28" i="7"/>
  <c r="K66" i="7"/>
  <c r="L27" i="7"/>
  <c r="L65" i="7"/>
  <c r="M26" i="7"/>
  <c r="M64" i="7"/>
  <c r="E34" i="7"/>
  <c r="E72" i="7"/>
  <c r="N25" i="7"/>
  <c r="N63" i="7"/>
  <c r="D91" i="7"/>
  <c r="D53" i="7"/>
  <c r="D110" i="7" s="1"/>
  <c r="D35" i="7"/>
  <c r="D73" i="7"/>
  <c r="F15" i="7"/>
  <c r="G14" i="7"/>
  <c r="I12" i="7"/>
  <c r="H13" i="7"/>
  <c r="K10" i="7"/>
  <c r="J11" i="7"/>
  <c r="L9" i="7"/>
  <c r="M8" i="7"/>
  <c r="N7" i="7"/>
  <c r="D17" i="7"/>
  <c r="E16" i="7"/>
  <c r="O6" i="7"/>
  <c r="F90" i="7" l="1"/>
  <c r="F52" i="7"/>
  <c r="F109" i="7" s="1"/>
  <c r="G89" i="7"/>
  <c r="G51" i="7"/>
  <c r="G108" i="7" s="1"/>
  <c r="I87" i="7"/>
  <c r="I49" i="7"/>
  <c r="I106" i="7" s="1"/>
  <c r="H88" i="7"/>
  <c r="H50" i="7"/>
  <c r="H107" i="7" s="1"/>
  <c r="J86" i="7"/>
  <c r="J48" i="7"/>
  <c r="J105" i="7" s="1"/>
  <c r="K85" i="7"/>
  <c r="K47" i="7"/>
  <c r="K104" i="7" s="1"/>
  <c r="L84" i="7"/>
  <c r="L46" i="7"/>
  <c r="L103" i="7" s="1"/>
  <c r="M83" i="7"/>
  <c r="M45" i="7"/>
  <c r="M102" i="7" s="1"/>
  <c r="E91" i="7"/>
  <c r="E53" i="7"/>
  <c r="E110" i="7" s="1"/>
  <c r="N82" i="7"/>
  <c r="N44" i="7"/>
  <c r="N101" i="7" s="1"/>
  <c r="F34" i="7"/>
  <c r="F72" i="7"/>
  <c r="G33" i="7"/>
  <c r="G71" i="7"/>
  <c r="I31" i="7"/>
  <c r="I69" i="7"/>
  <c r="H32" i="7"/>
  <c r="H70" i="7"/>
  <c r="K29" i="7"/>
  <c r="K67" i="7"/>
  <c r="J30" i="7"/>
  <c r="J68" i="7"/>
  <c r="L28" i="7"/>
  <c r="L66" i="7"/>
  <c r="M27" i="7"/>
  <c r="M65" i="7"/>
  <c r="N26" i="7"/>
  <c r="N64" i="7"/>
  <c r="E35" i="7"/>
  <c r="E73" i="7"/>
  <c r="O25" i="7"/>
  <c r="O63" i="7"/>
  <c r="D92" i="7"/>
  <c r="D54" i="7"/>
  <c r="D111" i="7" s="1"/>
  <c r="D36" i="7"/>
  <c r="D74" i="7"/>
  <c r="F16" i="7"/>
  <c r="G15" i="7"/>
  <c r="H14" i="7"/>
  <c r="I13" i="7"/>
  <c r="K11" i="7"/>
  <c r="J12" i="7"/>
  <c r="L10" i="7"/>
  <c r="M9" i="7"/>
  <c r="N8" i="7"/>
  <c r="O7" i="7"/>
  <c r="D18" i="7"/>
  <c r="E17" i="7"/>
  <c r="P6" i="7"/>
  <c r="F91" i="7" l="1"/>
  <c r="F53" i="7"/>
  <c r="F110" i="7" s="1"/>
  <c r="G90" i="7"/>
  <c r="G52" i="7"/>
  <c r="G109" i="7" s="1"/>
  <c r="I88" i="7"/>
  <c r="I50" i="7"/>
  <c r="I107" i="7" s="1"/>
  <c r="H89" i="7"/>
  <c r="H51" i="7"/>
  <c r="H108" i="7" s="1"/>
  <c r="K86" i="7"/>
  <c r="K48" i="7"/>
  <c r="K105" i="7" s="1"/>
  <c r="J87" i="7"/>
  <c r="J49" i="7"/>
  <c r="J106" i="7" s="1"/>
  <c r="L85" i="7"/>
  <c r="L47" i="7"/>
  <c r="L104" i="7" s="1"/>
  <c r="M84" i="7"/>
  <c r="M46" i="7"/>
  <c r="M103" i="7" s="1"/>
  <c r="N83" i="7"/>
  <c r="N45" i="7"/>
  <c r="N102" i="7" s="1"/>
  <c r="E92" i="7"/>
  <c r="E54" i="7"/>
  <c r="E111" i="7" s="1"/>
  <c r="O82" i="7"/>
  <c r="O44" i="7"/>
  <c r="O101" i="7" s="1"/>
  <c r="F35" i="7"/>
  <c r="F73" i="7"/>
  <c r="G34" i="7"/>
  <c r="G72" i="7"/>
  <c r="H33" i="7"/>
  <c r="H71" i="7"/>
  <c r="I32" i="7"/>
  <c r="I70" i="7"/>
  <c r="K30" i="7"/>
  <c r="K68" i="7"/>
  <c r="J31" i="7"/>
  <c r="J69" i="7"/>
  <c r="L29" i="7"/>
  <c r="L67" i="7"/>
  <c r="M28" i="7"/>
  <c r="M66" i="7"/>
  <c r="N27" i="7"/>
  <c r="N65" i="7"/>
  <c r="O26" i="7"/>
  <c r="O64" i="7"/>
  <c r="E36" i="7"/>
  <c r="E74" i="7"/>
  <c r="P25" i="7"/>
  <c r="P63" i="7"/>
  <c r="D93" i="7"/>
  <c r="D55" i="7"/>
  <c r="D112" i="7" s="1"/>
  <c r="D37" i="7"/>
  <c r="D75" i="7"/>
  <c r="F17" i="7"/>
  <c r="G16" i="7"/>
  <c r="H15" i="7"/>
  <c r="I14" i="7"/>
  <c r="K12" i="7"/>
  <c r="J13" i="7"/>
  <c r="L11" i="7"/>
  <c r="M10" i="7"/>
  <c r="N9" i="7"/>
  <c r="O8" i="7"/>
  <c r="P7" i="7"/>
  <c r="D19" i="7"/>
  <c r="E18" i="7"/>
  <c r="Q6" i="7"/>
  <c r="F92" i="7" l="1"/>
  <c r="F54" i="7"/>
  <c r="F111" i="7" s="1"/>
  <c r="G91" i="7"/>
  <c r="G53" i="7"/>
  <c r="G110" i="7" s="1"/>
  <c r="H90" i="7"/>
  <c r="H52" i="7"/>
  <c r="H109" i="7" s="1"/>
  <c r="I89" i="7"/>
  <c r="I51" i="7"/>
  <c r="I108" i="7" s="1"/>
  <c r="K87" i="7"/>
  <c r="K49" i="7"/>
  <c r="K106" i="7" s="1"/>
  <c r="J88" i="7"/>
  <c r="J50" i="7"/>
  <c r="J107" i="7" s="1"/>
  <c r="L86" i="7"/>
  <c r="L48" i="7"/>
  <c r="L105" i="7" s="1"/>
  <c r="M85" i="7"/>
  <c r="M47" i="7"/>
  <c r="M104" i="7" s="1"/>
  <c r="N84" i="7"/>
  <c r="N46" i="7"/>
  <c r="N103" i="7" s="1"/>
  <c r="O83" i="7"/>
  <c r="O45" i="7"/>
  <c r="O102" i="7" s="1"/>
  <c r="E93" i="7"/>
  <c r="E55" i="7"/>
  <c r="E112" i="7" s="1"/>
  <c r="P82" i="7"/>
  <c r="P44" i="7"/>
  <c r="P101" i="7" s="1"/>
  <c r="F36" i="7"/>
  <c r="F74" i="7"/>
  <c r="G35" i="7"/>
  <c r="G73" i="7"/>
  <c r="H34" i="7"/>
  <c r="H72" i="7"/>
  <c r="I33" i="7"/>
  <c r="I71" i="7"/>
  <c r="K31" i="7"/>
  <c r="K69" i="7"/>
  <c r="J32" i="7"/>
  <c r="J70" i="7"/>
  <c r="L30" i="7"/>
  <c r="L68" i="7"/>
  <c r="M29" i="7"/>
  <c r="M67" i="7"/>
  <c r="N28" i="7"/>
  <c r="N66" i="7"/>
  <c r="O27" i="7"/>
  <c r="O65" i="7"/>
  <c r="P26" i="7"/>
  <c r="P64" i="7"/>
  <c r="E37" i="7"/>
  <c r="E75" i="7"/>
  <c r="Q25" i="7"/>
  <c r="Q63" i="7"/>
  <c r="D94" i="7"/>
  <c r="D56" i="7"/>
  <c r="D113" i="7" s="1"/>
  <c r="D38" i="7"/>
  <c r="D76" i="7"/>
  <c r="F18" i="7"/>
  <c r="G17" i="7"/>
  <c r="H16" i="7"/>
  <c r="I15" i="7"/>
  <c r="K13" i="7"/>
  <c r="J14" i="7"/>
  <c r="L12" i="7"/>
  <c r="M11" i="7"/>
  <c r="N10" i="7"/>
  <c r="O9" i="7"/>
  <c r="P8" i="7"/>
  <c r="Q7" i="7"/>
  <c r="D20" i="7"/>
  <c r="E19" i="7"/>
  <c r="R6" i="7"/>
  <c r="F93" i="7" l="1"/>
  <c r="F55" i="7"/>
  <c r="F112" i="7" s="1"/>
  <c r="G92" i="7"/>
  <c r="G54" i="7"/>
  <c r="G111" i="7" s="1"/>
  <c r="H91" i="7"/>
  <c r="H53" i="7"/>
  <c r="H110" i="7" s="1"/>
  <c r="I90" i="7"/>
  <c r="I52" i="7"/>
  <c r="I109" i="7" s="1"/>
  <c r="K88" i="7"/>
  <c r="K50" i="7"/>
  <c r="K107" i="7" s="1"/>
  <c r="J89" i="7"/>
  <c r="J51" i="7"/>
  <c r="J108" i="7" s="1"/>
  <c r="L87" i="7"/>
  <c r="L49" i="7"/>
  <c r="L106" i="7" s="1"/>
  <c r="M86" i="7"/>
  <c r="M48" i="7"/>
  <c r="M105" i="7" s="1"/>
  <c r="N85" i="7"/>
  <c r="N47" i="7"/>
  <c r="N104" i="7" s="1"/>
  <c r="O84" i="7"/>
  <c r="O46" i="7"/>
  <c r="O103" i="7" s="1"/>
  <c r="P83" i="7"/>
  <c r="P45" i="7"/>
  <c r="P102" i="7" s="1"/>
  <c r="E94" i="7"/>
  <c r="E56" i="7"/>
  <c r="E113" i="7" s="1"/>
  <c r="Q82" i="7"/>
  <c r="Q44" i="7"/>
  <c r="Q101" i="7" s="1"/>
  <c r="F37" i="7"/>
  <c r="F75" i="7"/>
  <c r="G36" i="7"/>
  <c r="G74" i="7"/>
  <c r="H35" i="7"/>
  <c r="H73" i="7"/>
  <c r="I34" i="7"/>
  <c r="I72" i="7"/>
  <c r="K32" i="7"/>
  <c r="K70" i="7"/>
  <c r="J33" i="7"/>
  <c r="J71" i="7"/>
  <c r="L31" i="7"/>
  <c r="L69" i="7"/>
  <c r="M30" i="7"/>
  <c r="M68" i="7"/>
  <c r="N29" i="7"/>
  <c r="N67" i="7"/>
  <c r="O28" i="7"/>
  <c r="O66" i="7"/>
  <c r="P27" i="7"/>
  <c r="P65" i="7"/>
  <c r="Q26" i="7"/>
  <c r="Q64" i="7"/>
  <c r="E38" i="7"/>
  <c r="E76" i="7"/>
  <c r="R25" i="7"/>
  <c r="R63" i="7"/>
  <c r="D95" i="7"/>
  <c r="D57" i="7"/>
  <c r="D114" i="7" s="1"/>
  <c r="D39" i="7"/>
  <c r="D77" i="7"/>
  <c r="F19" i="7"/>
  <c r="G18" i="7"/>
  <c r="K14" i="7"/>
  <c r="H17" i="7"/>
  <c r="I16" i="7"/>
  <c r="J15" i="7"/>
  <c r="L13" i="7"/>
  <c r="M12" i="7"/>
  <c r="N11" i="7"/>
  <c r="O10" i="7"/>
  <c r="P9" i="7"/>
  <c r="Q8" i="7"/>
  <c r="R7" i="7"/>
  <c r="D21" i="7"/>
  <c r="E20" i="7"/>
  <c r="S6" i="7"/>
  <c r="F94" i="7" l="1"/>
  <c r="F56" i="7"/>
  <c r="F113" i="7" s="1"/>
  <c r="G93" i="7"/>
  <c r="G55" i="7"/>
  <c r="G112" i="7" s="1"/>
  <c r="H92" i="7"/>
  <c r="H54" i="7"/>
  <c r="H111" i="7" s="1"/>
  <c r="I91" i="7"/>
  <c r="I53" i="7"/>
  <c r="I110" i="7" s="1"/>
  <c r="K89" i="7"/>
  <c r="K51" i="7"/>
  <c r="K108" i="7" s="1"/>
  <c r="J90" i="7"/>
  <c r="J52" i="7"/>
  <c r="J109" i="7" s="1"/>
  <c r="L88" i="7"/>
  <c r="L50" i="7"/>
  <c r="L107" i="7" s="1"/>
  <c r="M87" i="7"/>
  <c r="M49" i="7"/>
  <c r="M106" i="7" s="1"/>
  <c r="N86" i="7"/>
  <c r="N48" i="7"/>
  <c r="N105" i="7" s="1"/>
  <c r="O85" i="7"/>
  <c r="O47" i="7"/>
  <c r="O104" i="7" s="1"/>
  <c r="P84" i="7"/>
  <c r="P46" i="7"/>
  <c r="P103" i="7" s="1"/>
  <c r="Q83" i="7"/>
  <c r="Q45" i="7"/>
  <c r="Q102" i="7" s="1"/>
  <c r="E95" i="7"/>
  <c r="E57" i="7"/>
  <c r="E114" i="7" s="1"/>
  <c r="R82" i="7"/>
  <c r="R44" i="7"/>
  <c r="R101" i="7" s="1"/>
  <c r="F38" i="7"/>
  <c r="F76" i="7"/>
  <c r="G37" i="7"/>
  <c r="G75" i="7"/>
  <c r="K33" i="7"/>
  <c r="K71" i="7"/>
  <c r="H36" i="7"/>
  <c r="H74" i="7"/>
  <c r="I35" i="7"/>
  <c r="I73" i="7"/>
  <c r="J34" i="7"/>
  <c r="J72" i="7"/>
  <c r="L32" i="7"/>
  <c r="L70" i="7"/>
  <c r="M31" i="7"/>
  <c r="M69" i="7"/>
  <c r="N30" i="7"/>
  <c r="N68" i="7"/>
  <c r="O29" i="7"/>
  <c r="O67" i="7"/>
  <c r="P28" i="7"/>
  <c r="P66" i="7"/>
  <c r="Q27" i="7"/>
  <c r="Q65" i="7"/>
  <c r="R26" i="7"/>
  <c r="R64" i="7"/>
  <c r="E39" i="7"/>
  <c r="E77" i="7"/>
  <c r="S25" i="7"/>
  <c r="S63" i="7"/>
  <c r="D96" i="7"/>
  <c r="D58" i="7"/>
  <c r="D115" i="7" s="1"/>
  <c r="D40" i="7"/>
  <c r="D78" i="7"/>
  <c r="F20" i="7"/>
  <c r="F77" i="7" s="1"/>
  <c r="G19" i="7"/>
  <c r="K15" i="7"/>
  <c r="H18" i="7"/>
  <c r="J16" i="7"/>
  <c r="I17" i="7"/>
  <c r="L14" i="7"/>
  <c r="M13" i="7"/>
  <c r="N12" i="7"/>
  <c r="O11" i="7"/>
  <c r="P10" i="7"/>
  <c r="Q9" i="7"/>
  <c r="R8" i="7"/>
  <c r="S7" i="7"/>
  <c r="D22" i="7"/>
  <c r="E21" i="7"/>
  <c r="T6" i="7"/>
  <c r="F95" i="7" l="1"/>
  <c r="F57" i="7"/>
  <c r="F114" i="7" s="1"/>
  <c r="G94" i="7"/>
  <c r="G56" i="7"/>
  <c r="G113" i="7" s="1"/>
  <c r="K90" i="7"/>
  <c r="K52" i="7"/>
  <c r="K109" i="7" s="1"/>
  <c r="H93" i="7"/>
  <c r="H55" i="7"/>
  <c r="H112" i="7" s="1"/>
  <c r="I92" i="7"/>
  <c r="I54" i="7"/>
  <c r="I111" i="7" s="1"/>
  <c r="J91" i="7"/>
  <c r="J53" i="7"/>
  <c r="J110" i="7" s="1"/>
  <c r="L89" i="7"/>
  <c r="L51" i="7"/>
  <c r="L108" i="7" s="1"/>
  <c r="M88" i="7"/>
  <c r="M50" i="7"/>
  <c r="M107" i="7" s="1"/>
  <c r="N87" i="7"/>
  <c r="N49" i="7"/>
  <c r="N106" i="7" s="1"/>
  <c r="O86" i="7"/>
  <c r="O48" i="7"/>
  <c r="O105" i="7" s="1"/>
  <c r="P85" i="7"/>
  <c r="P47" i="7"/>
  <c r="P104" i="7" s="1"/>
  <c r="Q84" i="7"/>
  <c r="Q46" i="7"/>
  <c r="Q103" i="7" s="1"/>
  <c r="R83" i="7"/>
  <c r="R45" i="7"/>
  <c r="R102" i="7" s="1"/>
  <c r="E96" i="7"/>
  <c r="E58" i="7"/>
  <c r="E115" i="7" s="1"/>
  <c r="S82" i="7"/>
  <c r="S44" i="7"/>
  <c r="S101" i="7" s="1"/>
  <c r="G38" i="7"/>
  <c r="G76" i="7"/>
  <c r="K34" i="7"/>
  <c r="K72" i="7"/>
  <c r="H37" i="7"/>
  <c r="H75" i="7"/>
  <c r="J35" i="7"/>
  <c r="J73" i="7"/>
  <c r="I36" i="7"/>
  <c r="I74" i="7"/>
  <c r="L33" i="7"/>
  <c r="L71" i="7"/>
  <c r="M32" i="7"/>
  <c r="M70" i="7"/>
  <c r="N31" i="7"/>
  <c r="N69" i="7"/>
  <c r="O30" i="7"/>
  <c r="O68" i="7"/>
  <c r="P29" i="7"/>
  <c r="P67" i="7"/>
  <c r="Q28" i="7"/>
  <c r="Q66" i="7"/>
  <c r="R27" i="7"/>
  <c r="R65" i="7"/>
  <c r="S26" i="7"/>
  <c r="S64" i="7"/>
  <c r="E40" i="7"/>
  <c r="E78" i="7"/>
  <c r="T25" i="7"/>
  <c r="T63" i="7"/>
  <c r="D97" i="7"/>
  <c r="D59" i="7"/>
  <c r="D116" i="7" s="1"/>
  <c r="D41" i="7"/>
  <c r="D79" i="7"/>
  <c r="F21" i="7"/>
  <c r="F78" i="7" s="1"/>
  <c r="F39" i="7"/>
  <c r="G20" i="7"/>
  <c r="K16" i="7"/>
  <c r="H19" i="7"/>
  <c r="J17" i="7"/>
  <c r="I18" i="7"/>
  <c r="L15" i="7"/>
  <c r="N13" i="7"/>
  <c r="O12" i="7"/>
  <c r="P11" i="7"/>
  <c r="Q10" i="7"/>
  <c r="S8" i="7"/>
  <c r="M14" i="7"/>
  <c r="R9" i="7"/>
  <c r="T7" i="7"/>
  <c r="D23" i="7"/>
  <c r="E22" i="7"/>
  <c r="U6" i="7"/>
  <c r="G95" i="7" l="1"/>
  <c r="G57" i="7"/>
  <c r="G114" i="7" s="1"/>
  <c r="K91" i="7"/>
  <c r="K53" i="7"/>
  <c r="K110" i="7" s="1"/>
  <c r="H94" i="7"/>
  <c r="H56" i="7"/>
  <c r="H113" i="7" s="1"/>
  <c r="J92" i="7"/>
  <c r="J54" i="7"/>
  <c r="J111" i="7" s="1"/>
  <c r="I93" i="7"/>
  <c r="I55" i="7"/>
  <c r="I112" i="7" s="1"/>
  <c r="L90" i="7"/>
  <c r="L52" i="7"/>
  <c r="L109" i="7" s="1"/>
  <c r="M89" i="7"/>
  <c r="M51" i="7"/>
  <c r="M108" i="7" s="1"/>
  <c r="N88" i="7"/>
  <c r="N50" i="7"/>
  <c r="N107" i="7" s="1"/>
  <c r="O87" i="7"/>
  <c r="O49" i="7"/>
  <c r="O106" i="7" s="1"/>
  <c r="P86" i="7"/>
  <c r="P48" i="7"/>
  <c r="P105" i="7" s="1"/>
  <c r="Q85" i="7"/>
  <c r="Q47" i="7"/>
  <c r="Q104" i="7" s="1"/>
  <c r="R84" i="7"/>
  <c r="R46" i="7"/>
  <c r="R103" i="7" s="1"/>
  <c r="S83" i="7"/>
  <c r="S45" i="7"/>
  <c r="S102" i="7" s="1"/>
  <c r="E97" i="7"/>
  <c r="E59" i="7"/>
  <c r="E116" i="7" s="1"/>
  <c r="T82" i="7"/>
  <c r="T44" i="7"/>
  <c r="T101" i="7" s="1"/>
  <c r="F58" i="7"/>
  <c r="F115" i="7" s="1"/>
  <c r="F96" i="7"/>
  <c r="G39" i="7"/>
  <c r="G77" i="7"/>
  <c r="K35" i="7"/>
  <c r="K73" i="7"/>
  <c r="H38" i="7"/>
  <c r="H76" i="7"/>
  <c r="J36" i="7"/>
  <c r="J74" i="7"/>
  <c r="I37" i="7"/>
  <c r="I75" i="7"/>
  <c r="L34" i="7"/>
  <c r="L72" i="7"/>
  <c r="N32" i="7"/>
  <c r="N70" i="7"/>
  <c r="O31" i="7"/>
  <c r="O69" i="7"/>
  <c r="P30" i="7"/>
  <c r="P68" i="7"/>
  <c r="Q29" i="7"/>
  <c r="Q67" i="7"/>
  <c r="S27" i="7"/>
  <c r="S65" i="7"/>
  <c r="M33" i="7"/>
  <c r="M71" i="7"/>
  <c r="R28" i="7"/>
  <c r="R66" i="7"/>
  <c r="T26" i="7"/>
  <c r="T64" i="7"/>
  <c r="E41" i="7"/>
  <c r="E79" i="7"/>
  <c r="U25" i="7"/>
  <c r="U63" i="7"/>
  <c r="D98" i="7"/>
  <c r="D60" i="7"/>
  <c r="D117" i="7" s="1"/>
  <c r="D42" i="7"/>
  <c r="D80" i="7"/>
  <c r="F40" i="7"/>
  <c r="F22" i="7"/>
  <c r="F79" i="7" s="1"/>
  <c r="G21" i="7"/>
  <c r="K17" i="7"/>
  <c r="H20" i="7"/>
  <c r="J18" i="7"/>
  <c r="I19" i="7"/>
  <c r="L16" i="7"/>
  <c r="N14" i="7"/>
  <c r="O13" i="7"/>
  <c r="P12" i="7"/>
  <c r="Q11" i="7"/>
  <c r="S9" i="7"/>
  <c r="R10" i="7"/>
  <c r="T8" i="7"/>
  <c r="M15" i="7"/>
  <c r="U7" i="7"/>
  <c r="D24" i="7"/>
  <c r="E23" i="7"/>
  <c r="V6" i="7"/>
  <c r="G96" i="7" l="1"/>
  <c r="G58" i="7"/>
  <c r="G115" i="7" s="1"/>
  <c r="K92" i="7"/>
  <c r="K54" i="7"/>
  <c r="K111" i="7" s="1"/>
  <c r="H95" i="7"/>
  <c r="H57" i="7"/>
  <c r="H114" i="7" s="1"/>
  <c r="J93" i="7"/>
  <c r="J55" i="7"/>
  <c r="J112" i="7" s="1"/>
  <c r="I94" i="7"/>
  <c r="I56" i="7"/>
  <c r="I113" i="7" s="1"/>
  <c r="L91" i="7"/>
  <c r="L53" i="7"/>
  <c r="L110" i="7" s="1"/>
  <c r="N89" i="7"/>
  <c r="N51" i="7"/>
  <c r="N108" i="7" s="1"/>
  <c r="O88" i="7"/>
  <c r="O50" i="7"/>
  <c r="O107" i="7" s="1"/>
  <c r="P87" i="7"/>
  <c r="P49" i="7"/>
  <c r="P106" i="7" s="1"/>
  <c r="Q86" i="7"/>
  <c r="Q48" i="7"/>
  <c r="Q105" i="7" s="1"/>
  <c r="S84" i="7"/>
  <c r="S46" i="7"/>
  <c r="S103" i="7" s="1"/>
  <c r="M90" i="7"/>
  <c r="M52" i="7"/>
  <c r="M109" i="7" s="1"/>
  <c r="R85" i="7"/>
  <c r="R47" i="7"/>
  <c r="R104" i="7" s="1"/>
  <c r="T83" i="7"/>
  <c r="T45" i="7"/>
  <c r="T102" i="7" s="1"/>
  <c r="E98" i="7"/>
  <c r="E60" i="7"/>
  <c r="E117" i="7" s="1"/>
  <c r="U82" i="7"/>
  <c r="U44" i="7"/>
  <c r="U101" i="7" s="1"/>
  <c r="F59" i="7"/>
  <c r="F116" i="7" s="1"/>
  <c r="F97" i="7"/>
  <c r="G40" i="7"/>
  <c r="G78" i="7"/>
  <c r="K36" i="7"/>
  <c r="K74" i="7"/>
  <c r="H39" i="7"/>
  <c r="H77" i="7"/>
  <c r="J37" i="7"/>
  <c r="J75" i="7"/>
  <c r="I38" i="7"/>
  <c r="I76" i="7"/>
  <c r="L35" i="7"/>
  <c r="L73" i="7"/>
  <c r="N33" i="7"/>
  <c r="N71" i="7"/>
  <c r="O32" i="7"/>
  <c r="O70" i="7"/>
  <c r="P31" i="7"/>
  <c r="P69" i="7"/>
  <c r="Q30" i="7"/>
  <c r="Q68" i="7"/>
  <c r="S28" i="7"/>
  <c r="S66" i="7"/>
  <c r="R29" i="7"/>
  <c r="R67" i="7"/>
  <c r="T27" i="7"/>
  <c r="T65" i="7"/>
  <c r="M34" i="7"/>
  <c r="M72" i="7"/>
  <c r="U26" i="7"/>
  <c r="U64" i="7"/>
  <c r="E42" i="7"/>
  <c r="E80" i="7"/>
  <c r="V25" i="7"/>
  <c r="V63" i="7"/>
  <c r="D99" i="7"/>
  <c r="D61" i="7"/>
  <c r="D118" i="7" s="1"/>
  <c r="D43" i="7"/>
  <c r="D81" i="7"/>
  <c r="F41" i="7"/>
  <c r="F23" i="7"/>
  <c r="F80" i="7" s="1"/>
  <c r="G22" i="7"/>
  <c r="K18" i="7"/>
  <c r="H21" i="7"/>
  <c r="J19" i="7"/>
  <c r="I20" i="7"/>
  <c r="R11" i="7"/>
  <c r="T9" i="7"/>
  <c r="M16" i="7"/>
  <c r="L17" i="7"/>
  <c r="P13" i="7"/>
  <c r="Q12" i="7"/>
  <c r="S10" i="7"/>
  <c r="N15" i="7"/>
  <c r="O14" i="7"/>
  <c r="U8" i="7"/>
  <c r="V7" i="7"/>
  <c r="E24" i="7"/>
  <c r="W6" i="7"/>
  <c r="G97" i="7" l="1"/>
  <c r="G59" i="7"/>
  <c r="G116" i="7" s="1"/>
  <c r="K93" i="7"/>
  <c r="K55" i="7"/>
  <c r="K112" i="7" s="1"/>
  <c r="H96" i="7"/>
  <c r="H58" i="7"/>
  <c r="H115" i="7" s="1"/>
  <c r="J94" i="7"/>
  <c r="J56" i="7"/>
  <c r="J113" i="7" s="1"/>
  <c r="I95" i="7"/>
  <c r="I57" i="7"/>
  <c r="I114" i="7" s="1"/>
  <c r="L92" i="7"/>
  <c r="L54" i="7"/>
  <c r="L111" i="7" s="1"/>
  <c r="N90" i="7"/>
  <c r="N52" i="7"/>
  <c r="N109" i="7" s="1"/>
  <c r="O89" i="7"/>
  <c r="O51" i="7"/>
  <c r="O108" i="7" s="1"/>
  <c r="P88" i="7"/>
  <c r="P50" i="7"/>
  <c r="P107" i="7" s="1"/>
  <c r="Q87" i="7"/>
  <c r="Q49" i="7"/>
  <c r="Q106" i="7" s="1"/>
  <c r="S85" i="7"/>
  <c r="S47" i="7"/>
  <c r="S104" i="7" s="1"/>
  <c r="R86" i="7"/>
  <c r="R48" i="7"/>
  <c r="R105" i="7" s="1"/>
  <c r="T84" i="7"/>
  <c r="T46" i="7"/>
  <c r="T103" i="7" s="1"/>
  <c r="M91" i="7"/>
  <c r="M53" i="7"/>
  <c r="M110" i="7" s="1"/>
  <c r="U83" i="7"/>
  <c r="U45" i="7"/>
  <c r="U102" i="7" s="1"/>
  <c r="E99" i="7"/>
  <c r="E61" i="7"/>
  <c r="E118" i="7" s="1"/>
  <c r="V82" i="7"/>
  <c r="V44" i="7"/>
  <c r="V101" i="7" s="1"/>
  <c r="F60" i="7"/>
  <c r="F117" i="7" s="1"/>
  <c r="F98" i="7"/>
  <c r="G41" i="7"/>
  <c r="G79" i="7"/>
  <c r="K37" i="7"/>
  <c r="K75" i="7"/>
  <c r="H40" i="7"/>
  <c r="H78" i="7"/>
  <c r="J38" i="7"/>
  <c r="J76" i="7"/>
  <c r="I39" i="7"/>
  <c r="I77" i="7"/>
  <c r="R30" i="7"/>
  <c r="R68" i="7"/>
  <c r="T28" i="7"/>
  <c r="T66" i="7"/>
  <c r="M35" i="7"/>
  <c r="M73" i="7"/>
  <c r="L36" i="7"/>
  <c r="L74" i="7"/>
  <c r="P32" i="7"/>
  <c r="P70" i="7"/>
  <c r="Q31" i="7"/>
  <c r="Q69" i="7"/>
  <c r="S29" i="7"/>
  <c r="S67" i="7"/>
  <c r="N34" i="7"/>
  <c r="N72" i="7"/>
  <c r="O33" i="7"/>
  <c r="O71" i="7"/>
  <c r="U27" i="7"/>
  <c r="U65" i="7"/>
  <c r="V26" i="7"/>
  <c r="V64" i="7"/>
  <c r="E43" i="7"/>
  <c r="E81" i="7"/>
  <c r="W25" i="7"/>
  <c r="W63" i="7"/>
  <c r="D100" i="7"/>
  <c r="D62" i="7"/>
  <c r="D119" i="7" s="1"/>
  <c r="F42" i="7"/>
  <c r="F24" i="7"/>
  <c r="G23" i="7"/>
  <c r="K19" i="7"/>
  <c r="H22" i="7"/>
  <c r="J20" i="7"/>
  <c r="I21" i="7"/>
  <c r="I78" i="7" s="1"/>
  <c r="S11" i="7"/>
  <c r="M17" i="7"/>
  <c r="R12" i="7"/>
  <c r="T10" i="7"/>
  <c r="L18" i="7"/>
  <c r="P14" i="7"/>
  <c r="Q13" i="7"/>
  <c r="O15" i="7"/>
  <c r="U9" i="7"/>
  <c r="N16" i="7"/>
  <c r="V8" i="7"/>
  <c r="W7" i="7"/>
  <c r="X6" i="7"/>
  <c r="G98" i="7" l="1"/>
  <c r="G60" i="7"/>
  <c r="G117" i="7" s="1"/>
  <c r="K94" i="7"/>
  <c r="K56" i="7"/>
  <c r="K113" i="7" s="1"/>
  <c r="H97" i="7"/>
  <c r="H59" i="7"/>
  <c r="H116" i="7" s="1"/>
  <c r="J95" i="7"/>
  <c r="J57" i="7"/>
  <c r="J114" i="7" s="1"/>
  <c r="I96" i="7"/>
  <c r="I58" i="7"/>
  <c r="I115" i="7" s="1"/>
  <c r="R87" i="7"/>
  <c r="R49" i="7"/>
  <c r="R106" i="7" s="1"/>
  <c r="T85" i="7"/>
  <c r="T47" i="7"/>
  <c r="T104" i="7" s="1"/>
  <c r="M92" i="7"/>
  <c r="M54" i="7"/>
  <c r="M111" i="7" s="1"/>
  <c r="L93" i="7"/>
  <c r="L55" i="7"/>
  <c r="L112" i="7" s="1"/>
  <c r="P89" i="7"/>
  <c r="P51" i="7"/>
  <c r="P108" i="7" s="1"/>
  <c r="Q88" i="7"/>
  <c r="Q50" i="7"/>
  <c r="Q107" i="7" s="1"/>
  <c r="S86" i="7"/>
  <c r="S48" i="7"/>
  <c r="S105" i="7" s="1"/>
  <c r="N91" i="7"/>
  <c r="N53" i="7"/>
  <c r="N110" i="7" s="1"/>
  <c r="O90" i="7"/>
  <c r="O52" i="7"/>
  <c r="O109" i="7" s="1"/>
  <c r="U84" i="7"/>
  <c r="U46" i="7"/>
  <c r="U103" i="7" s="1"/>
  <c r="V83" i="7"/>
  <c r="V45" i="7"/>
  <c r="V102" i="7" s="1"/>
  <c r="E100" i="7"/>
  <c r="E62" i="7"/>
  <c r="E119" i="7" s="1"/>
  <c r="W82" i="7"/>
  <c r="W44" i="7"/>
  <c r="W101" i="7" s="1"/>
  <c r="F61" i="7"/>
  <c r="F118" i="7" s="1"/>
  <c r="F99" i="7"/>
  <c r="F43" i="7"/>
  <c r="F81" i="7"/>
  <c r="G42" i="7"/>
  <c r="G80" i="7"/>
  <c r="K38" i="7"/>
  <c r="K76" i="7"/>
  <c r="H41" i="7"/>
  <c r="H79" i="7"/>
  <c r="J39" i="7"/>
  <c r="J77" i="7"/>
  <c r="S30" i="7"/>
  <c r="S68" i="7"/>
  <c r="M36" i="7"/>
  <c r="M74" i="7"/>
  <c r="R31" i="7"/>
  <c r="R69" i="7"/>
  <c r="T29" i="7"/>
  <c r="T67" i="7"/>
  <c r="L37" i="7"/>
  <c r="L75" i="7"/>
  <c r="P33" i="7"/>
  <c r="P71" i="7"/>
  <c r="Q32" i="7"/>
  <c r="Q70" i="7"/>
  <c r="O34" i="7"/>
  <c r="O72" i="7"/>
  <c r="U28" i="7"/>
  <c r="U66" i="7"/>
  <c r="N35" i="7"/>
  <c r="N73" i="7"/>
  <c r="V27" i="7"/>
  <c r="V65" i="7"/>
  <c r="W26" i="7"/>
  <c r="W64" i="7"/>
  <c r="X25" i="7"/>
  <c r="X63" i="7"/>
  <c r="I22" i="7"/>
  <c r="I79" i="7" s="1"/>
  <c r="I40" i="7"/>
  <c r="G24" i="7"/>
  <c r="H23" i="7"/>
  <c r="H80" i="7" s="1"/>
  <c r="J21" i="7"/>
  <c r="K20" i="7"/>
  <c r="S12" i="7"/>
  <c r="M18" i="7"/>
  <c r="R13" i="7"/>
  <c r="T11" i="7"/>
  <c r="L19" i="7"/>
  <c r="P15" i="7"/>
  <c r="Q14" i="7"/>
  <c r="O16" i="7"/>
  <c r="U10" i="7"/>
  <c r="N17" i="7"/>
  <c r="V9" i="7"/>
  <c r="W8" i="7"/>
  <c r="X7" i="7"/>
  <c r="Y6" i="7"/>
  <c r="F100" i="7" l="1"/>
  <c r="F62" i="7"/>
  <c r="F119" i="7" s="1"/>
  <c r="G99" i="7"/>
  <c r="G61" i="7"/>
  <c r="G118" i="7" s="1"/>
  <c r="K95" i="7"/>
  <c r="K57" i="7"/>
  <c r="K114" i="7" s="1"/>
  <c r="H98" i="7"/>
  <c r="H60" i="7"/>
  <c r="H117" i="7" s="1"/>
  <c r="J96" i="7"/>
  <c r="J58" i="7"/>
  <c r="J115" i="7" s="1"/>
  <c r="S87" i="7"/>
  <c r="S49" i="7"/>
  <c r="S106" i="7" s="1"/>
  <c r="M93" i="7"/>
  <c r="M55" i="7"/>
  <c r="M112" i="7" s="1"/>
  <c r="R88" i="7"/>
  <c r="R50" i="7"/>
  <c r="R107" i="7" s="1"/>
  <c r="T86" i="7"/>
  <c r="T48" i="7"/>
  <c r="T105" i="7" s="1"/>
  <c r="L94" i="7"/>
  <c r="L56" i="7"/>
  <c r="L113" i="7" s="1"/>
  <c r="P90" i="7"/>
  <c r="P52" i="7"/>
  <c r="P109" i="7" s="1"/>
  <c r="Q89" i="7"/>
  <c r="Q51" i="7"/>
  <c r="Q108" i="7" s="1"/>
  <c r="O91" i="7"/>
  <c r="O53" i="7"/>
  <c r="O110" i="7" s="1"/>
  <c r="U85" i="7"/>
  <c r="U47" i="7"/>
  <c r="U104" i="7" s="1"/>
  <c r="N92" i="7"/>
  <c r="N54" i="7"/>
  <c r="N111" i="7" s="1"/>
  <c r="V84" i="7"/>
  <c r="V46" i="7"/>
  <c r="V103" i="7" s="1"/>
  <c r="W83" i="7"/>
  <c r="W45" i="7"/>
  <c r="W102" i="7" s="1"/>
  <c r="X82" i="7"/>
  <c r="X44" i="7"/>
  <c r="X101" i="7" s="1"/>
  <c r="I59" i="7"/>
  <c r="I116" i="7" s="1"/>
  <c r="I97" i="7"/>
  <c r="G43" i="7"/>
  <c r="G81" i="7"/>
  <c r="J40" i="7"/>
  <c r="J78" i="7"/>
  <c r="K39" i="7"/>
  <c r="K77" i="7"/>
  <c r="S31" i="7"/>
  <c r="S69" i="7"/>
  <c r="M37" i="7"/>
  <c r="M75" i="7"/>
  <c r="R32" i="7"/>
  <c r="R70" i="7"/>
  <c r="T30" i="7"/>
  <c r="T68" i="7"/>
  <c r="L38" i="7"/>
  <c r="L76" i="7"/>
  <c r="P34" i="7"/>
  <c r="P72" i="7"/>
  <c r="Q33" i="7"/>
  <c r="Q71" i="7"/>
  <c r="O35" i="7"/>
  <c r="O73" i="7"/>
  <c r="U29" i="7"/>
  <c r="U67" i="7"/>
  <c r="N36" i="7"/>
  <c r="N74" i="7"/>
  <c r="V28" i="7"/>
  <c r="V66" i="7"/>
  <c r="W27" i="7"/>
  <c r="W65" i="7"/>
  <c r="X26" i="7"/>
  <c r="X64" i="7"/>
  <c r="Y25" i="7"/>
  <c r="Y63" i="7"/>
  <c r="I41" i="7"/>
  <c r="I23" i="7"/>
  <c r="I80" i="7" s="1"/>
  <c r="H24" i="7"/>
  <c r="H42" i="7"/>
  <c r="J22" i="7"/>
  <c r="K21" i="7"/>
  <c r="S13" i="7"/>
  <c r="M19" i="7"/>
  <c r="L20" i="7"/>
  <c r="R14" i="7"/>
  <c r="T12" i="7"/>
  <c r="Q15" i="7"/>
  <c r="O17" i="7"/>
  <c r="U11" i="7"/>
  <c r="P16" i="7"/>
  <c r="N18" i="7"/>
  <c r="V10" i="7"/>
  <c r="W9" i="7"/>
  <c r="X8" i="7"/>
  <c r="Y7" i="7"/>
  <c r="Z6" i="7"/>
  <c r="G100" i="7" l="1"/>
  <c r="G62" i="7"/>
  <c r="G119" i="7" s="1"/>
  <c r="J97" i="7"/>
  <c r="J59" i="7"/>
  <c r="J116" i="7" s="1"/>
  <c r="K96" i="7"/>
  <c r="K58" i="7"/>
  <c r="K115" i="7" s="1"/>
  <c r="S88" i="7"/>
  <c r="S50" i="7"/>
  <c r="S107" i="7" s="1"/>
  <c r="M94" i="7"/>
  <c r="M56" i="7"/>
  <c r="M113" i="7" s="1"/>
  <c r="R89" i="7"/>
  <c r="R51" i="7"/>
  <c r="R108" i="7" s="1"/>
  <c r="T87" i="7"/>
  <c r="T49" i="7"/>
  <c r="T106" i="7" s="1"/>
  <c r="L95" i="7"/>
  <c r="L57" i="7"/>
  <c r="L114" i="7" s="1"/>
  <c r="P91" i="7"/>
  <c r="P53" i="7"/>
  <c r="P110" i="7" s="1"/>
  <c r="Q90" i="7"/>
  <c r="Q52" i="7"/>
  <c r="Q109" i="7" s="1"/>
  <c r="O92" i="7"/>
  <c r="O54" i="7"/>
  <c r="O111" i="7" s="1"/>
  <c r="U86" i="7"/>
  <c r="U48" i="7"/>
  <c r="U105" i="7" s="1"/>
  <c r="N93" i="7"/>
  <c r="N55" i="7"/>
  <c r="N112" i="7" s="1"/>
  <c r="V85" i="7"/>
  <c r="V47" i="7"/>
  <c r="V104" i="7" s="1"/>
  <c r="W84" i="7"/>
  <c r="W46" i="7"/>
  <c r="W103" i="7" s="1"/>
  <c r="X83" i="7"/>
  <c r="X45" i="7"/>
  <c r="X102" i="7" s="1"/>
  <c r="Y82" i="7"/>
  <c r="Y44" i="7"/>
  <c r="Y101" i="7" s="1"/>
  <c r="I60" i="7"/>
  <c r="I117" i="7" s="1"/>
  <c r="I98" i="7"/>
  <c r="H43" i="7"/>
  <c r="H81" i="7"/>
  <c r="H61" i="7"/>
  <c r="H118" i="7" s="1"/>
  <c r="H99" i="7"/>
  <c r="J41" i="7"/>
  <c r="J79" i="7"/>
  <c r="K40" i="7"/>
  <c r="K78" i="7"/>
  <c r="S32" i="7"/>
  <c r="S70" i="7"/>
  <c r="M38" i="7"/>
  <c r="M76" i="7"/>
  <c r="L39" i="7"/>
  <c r="L77" i="7"/>
  <c r="R33" i="7"/>
  <c r="R71" i="7"/>
  <c r="T31" i="7"/>
  <c r="T69" i="7"/>
  <c r="Q34" i="7"/>
  <c r="Q72" i="7"/>
  <c r="O36" i="7"/>
  <c r="O74" i="7"/>
  <c r="U30" i="7"/>
  <c r="U68" i="7"/>
  <c r="P35" i="7"/>
  <c r="P73" i="7"/>
  <c r="N37" i="7"/>
  <c r="N75" i="7"/>
  <c r="V29" i="7"/>
  <c r="V67" i="7"/>
  <c r="W28" i="7"/>
  <c r="W66" i="7"/>
  <c r="X27" i="7"/>
  <c r="X65" i="7"/>
  <c r="Y26" i="7"/>
  <c r="Y64" i="7"/>
  <c r="Z25" i="7"/>
  <c r="Z63" i="7"/>
  <c r="I42" i="7"/>
  <c r="I24" i="7"/>
  <c r="J23" i="7"/>
  <c r="J80" i="7" s="1"/>
  <c r="K22" i="7"/>
  <c r="K79" i="7" s="1"/>
  <c r="L21" i="7"/>
  <c r="L78" i="7" s="1"/>
  <c r="M20" i="7"/>
  <c r="M77" i="7" s="1"/>
  <c r="Q16" i="7"/>
  <c r="O18" i="7"/>
  <c r="S14" i="7"/>
  <c r="R15" i="7"/>
  <c r="U12" i="7"/>
  <c r="P17" i="7"/>
  <c r="V11" i="7"/>
  <c r="T13" i="7"/>
  <c r="N19" i="7"/>
  <c r="W10" i="7"/>
  <c r="X9" i="7"/>
  <c r="Y8" i="7"/>
  <c r="Z7" i="7"/>
  <c r="AA6" i="7"/>
  <c r="H100" i="7" l="1"/>
  <c r="H62" i="7"/>
  <c r="H119" i="7" s="1"/>
  <c r="J98" i="7"/>
  <c r="J60" i="7"/>
  <c r="J117" i="7" s="1"/>
  <c r="K97" i="7"/>
  <c r="K59" i="7"/>
  <c r="K116" i="7" s="1"/>
  <c r="S89" i="7"/>
  <c r="S51" i="7"/>
  <c r="S108" i="7" s="1"/>
  <c r="M95" i="7"/>
  <c r="M57" i="7"/>
  <c r="M114" i="7" s="1"/>
  <c r="L96" i="7"/>
  <c r="L58" i="7"/>
  <c r="L115" i="7" s="1"/>
  <c r="R90" i="7"/>
  <c r="R52" i="7"/>
  <c r="R109" i="7" s="1"/>
  <c r="T88" i="7"/>
  <c r="T50" i="7"/>
  <c r="T107" i="7" s="1"/>
  <c r="Q91" i="7"/>
  <c r="Q53" i="7"/>
  <c r="Q110" i="7" s="1"/>
  <c r="O93" i="7"/>
  <c r="O55" i="7"/>
  <c r="O112" i="7" s="1"/>
  <c r="U87" i="7"/>
  <c r="U49" i="7"/>
  <c r="U106" i="7" s="1"/>
  <c r="P92" i="7"/>
  <c r="P54" i="7"/>
  <c r="P111" i="7" s="1"/>
  <c r="N94" i="7"/>
  <c r="N56" i="7"/>
  <c r="N113" i="7" s="1"/>
  <c r="V86" i="7"/>
  <c r="V48" i="7"/>
  <c r="V105" i="7" s="1"/>
  <c r="W85" i="7"/>
  <c r="W47" i="7"/>
  <c r="W104" i="7" s="1"/>
  <c r="X84" i="7"/>
  <c r="X46" i="7"/>
  <c r="X103" i="7" s="1"/>
  <c r="Y83" i="7"/>
  <c r="Y45" i="7"/>
  <c r="Y102" i="7" s="1"/>
  <c r="Z82" i="7"/>
  <c r="Z44" i="7"/>
  <c r="Z101" i="7" s="1"/>
  <c r="I61" i="7"/>
  <c r="I118" i="7" s="1"/>
  <c r="I99" i="7"/>
  <c r="I43" i="7"/>
  <c r="I81" i="7"/>
  <c r="Q35" i="7"/>
  <c r="Q73" i="7"/>
  <c r="O37" i="7"/>
  <c r="O75" i="7"/>
  <c r="S33" i="7"/>
  <c r="S71" i="7"/>
  <c r="R34" i="7"/>
  <c r="R72" i="7"/>
  <c r="U31" i="7"/>
  <c r="U69" i="7"/>
  <c r="P36" i="7"/>
  <c r="P74" i="7"/>
  <c r="V30" i="7"/>
  <c r="V68" i="7"/>
  <c r="T32" i="7"/>
  <c r="T70" i="7"/>
  <c r="N38" i="7"/>
  <c r="N76" i="7"/>
  <c r="W29" i="7"/>
  <c r="W67" i="7"/>
  <c r="X28" i="7"/>
  <c r="X66" i="7"/>
  <c r="Y27" i="7"/>
  <c r="Y65" i="7"/>
  <c r="Z26" i="7"/>
  <c r="Z64" i="7"/>
  <c r="AA25" i="7"/>
  <c r="AA63" i="7"/>
  <c r="J42" i="7"/>
  <c r="J24" i="7"/>
  <c r="K41" i="7"/>
  <c r="K23" i="7"/>
  <c r="K80" i="7" s="1"/>
  <c r="L40" i="7"/>
  <c r="L22" i="7"/>
  <c r="L79" i="7" s="1"/>
  <c r="M39" i="7"/>
  <c r="M21" i="7"/>
  <c r="M78" i="7" s="1"/>
  <c r="O19" i="7"/>
  <c r="P18" i="7"/>
  <c r="Q17" i="7"/>
  <c r="S15" i="7"/>
  <c r="R16" i="7"/>
  <c r="U13" i="7"/>
  <c r="V12" i="7"/>
  <c r="T14" i="7"/>
  <c r="N20" i="7"/>
  <c r="W11" i="7"/>
  <c r="X10" i="7"/>
  <c r="Y9" i="7"/>
  <c r="Z8" i="7"/>
  <c r="AA7" i="7"/>
  <c r="AB6" i="7"/>
  <c r="AB25" i="7" l="1"/>
  <c r="AB63" i="7"/>
  <c r="I100" i="7"/>
  <c r="I62" i="7"/>
  <c r="I119" i="7" s="1"/>
  <c r="Q92" i="7"/>
  <c r="Q54" i="7"/>
  <c r="Q111" i="7" s="1"/>
  <c r="O94" i="7"/>
  <c r="O56" i="7"/>
  <c r="O113" i="7" s="1"/>
  <c r="S90" i="7"/>
  <c r="S52" i="7"/>
  <c r="S109" i="7" s="1"/>
  <c r="R91" i="7"/>
  <c r="R53" i="7"/>
  <c r="R110" i="7" s="1"/>
  <c r="U88" i="7"/>
  <c r="U50" i="7"/>
  <c r="U107" i="7" s="1"/>
  <c r="P93" i="7"/>
  <c r="P55" i="7"/>
  <c r="P112" i="7" s="1"/>
  <c r="V87" i="7"/>
  <c r="V49" i="7"/>
  <c r="V106" i="7" s="1"/>
  <c r="T89" i="7"/>
  <c r="T51" i="7"/>
  <c r="T108" i="7" s="1"/>
  <c r="N95" i="7"/>
  <c r="N57" i="7"/>
  <c r="N114" i="7" s="1"/>
  <c r="W86" i="7"/>
  <c r="W48" i="7"/>
  <c r="W105" i="7" s="1"/>
  <c r="X85" i="7"/>
  <c r="X47" i="7"/>
  <c r="X104" i="7" s="1"/>
  <c r="Y84" i="7"/>
  <c r="Y46" i="7"/>
  <c r="Y103" i="7" s="1"/>
  <c r="Z83" i="7"/>
  <c r="Z45" i="7"/>
  <c r="Z102" i="7" s="1"/>
  <c r="AA82" i="7"/>
  <c r="AA44" i="7"/>
  <c r="AA101" i="7" s="1"/>
  <c r="J61" i="7"/>
  <c r="J118" i="7" s="1"/>
  <c r="J99" i="7"/>
  <c r="J43" i="7"/>
  <c r="J81" i="7"/>
  <c r="K60" i="7"/>
  <c r="K117" i="7" s="1"/>
  <c r="K98" i="7"/>
  <c r="L59" i="7"/>
  <c r="L116" i="7" s="1"/>
  <c r="L97" i="7"/>
  <c r="M58" i="7"/>
  <c r="M115" i="7" s="1"/>
  <c r="M96" i="7"/>
  <c r="O38" i="7"/>
  <c r="O76" i="7"/>
  <c r="P37" i="7"/>
  <c r="P75" i="7"/>
  <c r="Q36" i="7"/>
  <c r="Q74" i="7"/>
  <c r="S34" i="7"/>
  <c r="S72" i="7"/>
  <c r="R35" i="7"/>
  <c r="R73" i="7"/>
  <c r="U32" i="7"/>
  <c r="U70" i="7"/>
  <c r="V31" i="7"/>
  <c r="V69" i="7"/>
  <c r="T33" i="7"/>
  <c r="T71" i="7"/>
  <c r="N39" i="7"/>
  <c r="N77" i="7"/>
  <c r="W30" i="7"/>
  <c r="W68" i="7"/>
  <c r="X29" i="7"/>
  <c r="X67" i="7"/>
  <c r="Y28" i="7"/>
  <c r="Y66" i="7"/>
  <c r="Z27" i="7"/>
  <c r="Z65" i="7"/>
  <c r="AA26" i="7"/>
  <c r="AA64" i="7"/>
  <c r="K42" i="7"/>
  <c r="K24" i="7"/>
  <c r="L41" i="7"/>
  <c r="L23" i="7"/>
  <c r="L80" i="7" s="1"/>
  <c r="M40" i="7"/>
  <c r="M22" i="7"/>
  <c r="M79" i="7" s="1"/>
  <c r="O20" i="7"/>
  <c r="P19" i="7"/>
  <c r="Q18" i="7"/>
  <c r="S16" i="7"/>
  <c r="R17" i="7"/>
  <c r="U14" i="7"/>
  <c r="V13" i="7"/>
  <c r="T15" i="7"/>
  <c r="N21" i="7"/>
  <c r="W12" i="7"/>
  <c r="X11" i="7"/>
  <c r="Y10" i="7"/>
  <c r="Z9" i="7"/>
  <c r="AA8" i="7"/>
  <c r="AB7" i="7"/>
  <c r="AC6" i="7"/>
  <c r="AB82" i="7" l="1"/>
  <c r="AB44" i="7"/>
  <c r="AB101" i="7" s="1"/>
  <c r="AB26" i="7"/>
  <c r="AB64" i="7"/>
  <c r="AC25" i="7"/>
  <c r="AC63" i="7"/>
  <c r="J100" i="7"/>
  <c r="J62" i="7"/>
  <c r="J119" i="7" s="1"/>
  <c r="O95" i="7"/>
  <c r="O57" i="7"/>
  <c r="O114" i="7" s="1"/>
  <c r="P94" i="7"/>
  <c r="P56" i="7"/>
  <c r="P113" i="7" s="1"/>
  <c r="Q93" i="7"/>
  <c r="Q55" i="7"/>
  <c r="Q112" i="7" s="1"/>
  <c r="S91" i="7"/>
  <c r="S53" i="7"/>
  <c r="S110" i="7" s="1"/>
  <c r="R92" i="7"/>
  <c r="R54" i="7"/>
  <c r="R111" i="7" s="1"/>
  <c r="U89" i="7"/>
  <c r="U51" i="7"/>
  <c r="U108" i="7" s="1"/>
  <c r="V88" i="7"/>
  <c r="V50" i="7"/>
  <c r="V107" i="7" s="1"/>
  <c r="T90" i="7"/>
  <c r="T52" i="7"/>
  <c r="T109" i="7" s="1"/>
  <c r="N96" i="7"/>
  <c r="N58" i="7"/>
  <c r="N115" i="7" s="1"/>
  <c r="W87" i="7"/>
  <c r="W49" i="7"/>
  <c r="W106" i="7" s="1"/>
  <c r="X86" i="7"/>
  <c r="X48" i="7"/>
  <c r="X105" i="7" s="1"/>
  <c r="Y85" i="7"/>
  <c r="Y47" i="7"/>
  <c r="Y104" i="7" s="1"/>
  <c r="Z84" i="7"/>
  <c r="Z46" i="7"/>
  <c r="Z103" i="7" s="1"/>
  <c r="AA83" i="7"/>
  <c r="AA45" i="7"/>
  <c r="AA102" i="7" s="1"/>
  <c r="K61" i="7"/>
  <c r="K118" i="7" s="1"/>
  <c r="K99" i="7"/>
  <c r="K43" i="7"/>
  <c r="K81" i="7"/>
  <c r="L60" i="7"/>
  <c r="L117" i="7" s="1"/>
  <c r="L98" i="7"/>
  <c r="M59" i="7"/>
  <c r="M116" i="7" s="1"/>
  <c r="M97" i="7"/>
  <c r="O39" i="7"/>
  <c r="O77" i="7"/>
  <c r="P38" i="7"/>
  <c r="P76" i="7"/>
  <c r="Q37" i="7"/>
  <c r="Q75" i="7"/>
  <c r="S35" i="7"/>
  <c r="S73" i="7"/>
  <c r="R36" i="7"/>
  <c r="R74" i="7"/>
  <c r="U33" i="7"/>
  <c r="U71" i="7"/>
  <c r="V32" i="7"/>
  <c r="V70" i="7"/>
  <c r="T34" i="7"/>
  <c r="T72" i="7"/>
  <c r="N40" i="7"/>
  <c r="N78" i="7"/>
  <c r="W31" i="7"/>
  <c r="W69" i="7"/>
  <c r="X30" i="7"/>
  <c r="X68" i="7"/>
  <c r="Y29" i="7"/>
  <c r="Y67" i="7"/>
  <c r="Z28" i="7"/>
  <c r="Z66" i="7"/>
  <c r="AA27" i="7"/>
  <c r="AA65" i="7"/>
  <c r="M41" i="7"/>
  <c r="M23" i="7"/>
  <c r="M80" i="7" s="1"/>
  <c r="L42" i="7"/>
  <c r="L24" i="7"/>
  <c r="O21" i="7"/>
  <c r="P20" i="7"/>
  <c r="Q19" i="7"/>
  <c r="S17" i="7"/>
  <c r="R18" i="7"/>
  <c r="U15" i="7"/>
  <c r="V14" i="7"/>
  <c r="T16" i="7"/>
  <c r="AB8" i="7"/>
  <c r="N22" i="7"/>
  <c r="AA9" i="7"/>
  <c r="W13" i="7"/>
  <c r="X12" i="7"/>
  <c r="Y11" i="7"/>
  <c r="Z10" i="7"/>
  <c r="AC7" i="7"/>
  <c r="AD6" i="7"/>
  <c r="AB83" i="7" l="1"/>
  <c r="AB45" i="7"/>
  <c r="AB102" i="7" s="1"/>
  <c r="AC82" i="7"/>
  <c r="AC44" i="7"/>
  <c r="AC101" i="7" s="1"/>
  <c r="AB27" i="7"/>
  <c r="AB65" i="7"/>
  <c r="AC26" i="7"/>
  <c r="AC64" i="7"/>
  <c r="AD25" i="7"/>
  <c r="AD63" i="7"/>
  <c r="K100" i="7"/>
  <c r="K62" i="7"/>
  <c r="K119" i="7" s="1"/>
  <c r="O96" i="7"/>
  <c r="O58" i="7"/>
  <c r="O115" i="7" s="1"/>
  <c r="P95" i="7"/>
  <c r="P57" i="7"/>
  <c r="P114" i="7" s="1"/>
  <c r="Q94" i="7"/>
  <c r="Q56" i="7"/>
  <c r="Q113" i="7" s="1"/>
  <c r="S92" i="7"/>
  <c r="S54" i="7"/>
  <c r="S111" i="7" s="1"/>
  <c r="R93" i="7"/>
  <c r="R55" i="7"/>
  <c r="R112" i="7" s="1"/>
  <c r="U90" i="7"/>
  <c r="U52" i="7"/>
  <c r="U109" i="7" s="1"/>
  <c r="V89" i="7"/>
  <c r="V51" i="7"/>
  <c r="V108" i="7" s="1"/>
  <c r="T91" i="7"/>
  <c r="T53" i="7"/>
  <c r="T110" i="7" s="1"/>
  <c r="N97" i="7"/>
  <c r="N59" i="7"/>
  <c r="N116" i="7" s="1"/>
  <c r="W88" i="7"/>
  <c r="W50" i="7"/>
  <c r="W107" i="7" s="1"/>
  <c r="X87" i="7"/>
  <c r="X49" i="7"/>
  <c r="X106" i="7" s="1"/>
  <c r="Y86" i="7"/>
  <c r="Y48" i="7"/>
  <c r="Y105" i="7" s="1"/>
  <c r="Z85" i="7"/>
  <c r="Z47" i="7"/>
  <c r="Z104" i="7" s="1"/>
  <c r="AA84" i="7"/>
  <c r="AA46" i="7"/>
  <c r="AA103" i="7" s="1"/>
  <c r="M60" i="7"/>
  <c r="M117" i="7" s="1"/>
  <c r="M98" i="7"/>
  <c r="L61" i="7"/>
  <c r="L118" i="7" s="1"/>
  <c r="L99" i="7"/>
  <c r="L43" i="7"/>
  <c r="L81" i="7"/>
  <c r="O40" i="7"/>
  <c r="O78" i="7"/>
  <c r="P39" i="7"/>
  <c r="P77" i="7"/>
  <c r="Q38" i="7"/>
  <c r="Q76" i="7"/>
  <c r="S36" i="7"/>
  <c r="S74" i="7"/>
  <c r="R37" i="7"/>
  <c r="R75" i="7"/>
  <c r="U34" i="7"/>
  <c r="U72" i="7"/>
  <c r="V33" i="7"/>
  <c r="V71" i="7"/>
  <c r="T35" i="7"/>
  <c r="T73" i="7"/>
  <c r="N41" i="7"/>
  <c r="N79" i="7"/>
  <c r="AA28" i="7"/>
  <c r="AA66" i="7"/>
  <c r="W32" i="7"/>
  <c r="W70" i="7"/>
  <c r="X31" i="7"/>
  <c r="X69" i="7"/>
  <c r="Y30" i="7"/>
  <c r="Y68" i="7"/>
  <c r="Z29" i="7"/>
  <c r="Z67" i="7"/>
  <c r="M42" i="7"/>
  <c r="M24" i="7"/>
  <c r="O22" i="7"/>
  <c r="P21" i="7"/>
  <c r="Q20" i="7"/>
  <c r="R19" i="7"/>
  <c r="S18" i="7"/>
  <c r="U16" i="7"/>
  <c r="V15" i="7"/>
  <c r="T17" i="7"/>
  <c r="AC8" i="7"/>
  <c r="AB9" i="7"/>
  <c r="AA10" i="7"/>
  <c r="N23" i="7"/>
  <c r="W14" i="7"/>
  <c r="X13" i="7"/>
  <c r="Y12" i="7"/>
  <c r="Z11" i="7"/>
  <c r="AD7" i="7"/>
  <c r="AE6" i="7"/>
  <c r="AB84" i="7" l="1"/>
  <c r="AB46" i="7"/>
  <c r="AB103" i="7" s="1"/>
  <c r="AC83" i="7"/>
  <c r="AC45" i="7"/>
  <c r="AC102" i="7" s="1"/>
  <c r="AD82" i="7"/>
  <c r="AD44" i="7"/>
  <c r="AD101" i="7" s="1"/>
  <c r="AC27" i="7"/>
  <c r="AC65" i="7"/>
  <c r="AB28" i="7"/>
  <c r="AB66" i="7"/>
  <c r="AD26" i="7"/>
  <c r="AD64" i="7"/>
  <c r="AE25" i="7"/>
  <c r="AE63" i="7"/>
  <c r="L100" i="7"/>
  <c r="L62" i="7"/>
  <c r="L119" i="7" s="1"/>
  <c r="O97" i="7"/>
  <c r="O59" i="7"/>
  <c r="O116" i="7" s="1"/>
  <c r="P96" i="7"/>
  <c r="P58" i="7"/>
  <c r="P115" i="7" s="1"/>
  <c r="Q95" i="7"/>
  <c r="Q57" i="7"/>
  <c r="Q114" i="7" s="1"/>
  <c r="S93" i="7"/>
  <c r="S55" i="7"/>
  <c r="S112" i="7" s="1"/>
  <c r="R94" i="7"/>
  <c r="R56" i="7"/>
  <c r="R113" i="7" s="1"/>
  <c r="U91" i="7"/>
  <c r="U53" i="7"/>
  <c r="U110" i="7" s="1"/>
  <c r="V90" i="7"/>
  <c r="V52" i="7"/>
  <c r="V109" i="7" s="1"/>
  <c r="T92" i="7"/>
  <c r="T54" i="7"/>
  <c r="T111" i="7" s="1"/>
  <c r="N98" i="7"/>
  <c r="N60" i="7"/>
  <c r="N117" i="7" s="1"/>
  <c r="AA85" i="7"/>
  <c r="AA47" i="7"/>
  <c r="AA104" i="7" s="1"/>
  <c r="W89" i="7"/>
  <c r="W51" i="7"/>
  <c r="W108" i="7" s="1"/>
  <c r="X88" i="7"/>
  <c r="X50" i="7"/>
  <c r="X107" i="7" s="1"/>
  <c r="Y87" i="7"/>
  <c r="Y49" i="7"/>
  <c r="Y106" i="7" s="1"/>
  <c r="Z86" i="7"/>
  <c r="Z48" i="7"/>
  <c r="Z105" i="7" s="1"/>
  <c r="M61" i="7"/>
  <c r="M118" i="7" s="1"/>
  <c r="M99" i="7"/>
  <c r="M43" i="7"/>
  <c r="M81" i="7"/>
  <c r="O41" i="7"/>
  <c r="O79" i="7"/>
  <c r="P40" i="7"/>
  <c r="P78" i="7"/>
  <c r="Q39" i="7"/>
  <c r="Q77" i="7"/>
  <c r="R38" i="7"/>
  <c r="R76" i="7"/>
  <c r="S37" i="7"/>
  <c r="S75" i="7"/>
  <c r="U35" i="7"/>
  <c r="U73" i="7"/>
  <c r="V34" i="7"/>
  <c r="V72" i="7"/>
  <c r="T36" i="7"/>
  <c r="T74" i="7"/>
  <c r="AA29" i="7"/>
  <c r="AA67" i="7"/>
  <c r="N42" i="7"/>
  <c r="N80" i="7"/>
  <c r="W33" i="7"/>
  <c r="W71" i="7"/>
  <c r="X32" i="7"/>
  <c r="X70" i="7"/>
  <c r="Y31" i="7"/>
  <c r="Y69" i="7"/>
  <c r="Z30" i="7"/>
  <c r="Z68" i="7"/>
  <c r="O23" i="7"/>
  <c r="P22" i="7"/>
  <c r="P79" i="7" s="1"/>
  <c r="Q21" i="7"/>
  <c r="R20" i="7"/>
  <c r="U17" i="7"/>
  <c r="T18" i="7"/>
  <c r="S19" i="7"/>
  <c r="V16" i="7"/>
  <c r="AC9" i="7"/>
  <c r="AB10" i="7"/>
  <c r="AA11" i="7"/>
  <c r="N24" i="7"/>
  <c r="W15" i="7"/>
  <c r="X14" i="7"/>
  <c r="Y13" i="7"/>
  <c r="Z12" i="7"/>
  <c r="AD8" i="7"/>
  <c r="AE7" i="7"/>
  <c r="AF6" i="7"/>
  <c r="AC84" i="7" l="1"/>
  <c r="AC46" i="7"/>
  <c r="AC103" i="7" s="1"/>
  <c r="AB85" i="7"/>
  <c r="AB47" i="7"/>
  <c r="AB104" i="7" s="1"/>
  <c r="AD83" i="7"/>
  <c r="AD45" i="7"/>
  <c r="AD102" i="7" s="1"/>
  <c r="AE82" i="7"/>
  <c r="AE44" i="7"/>
  <c r="AE101" i="7" s="1"/>
  <c r="AC28" i="7"/>
  <c r="AC66" i="7"/>
  <c r="AB29" i="7"/>
  <c r="AB67" i="7"/>
  <c r="AD27" i="7"/>
  <c r="AD65" i="7"/>
  <c r="AE26" i="7"/>
  <c r="AE64" i="7"/>
  <c r="AF25" i="7"/>
  <c r="AF63" i="7"/>
  <c r="M100" i="7"/>
  <c r="M62" i="7"/>
  <c r="M119" i="7" s="1"/>
  <c r="O98" i="7"/>
  <c r="O60" i="7"/>
  <c r="O117" i="7" s="1"/>
  <c r="P97" i="7"/>
  <c r="P59" i="7"/>
  <c r="P116" i="7" s="1"/>
  <c r="Q96" i="7"/>
  <c r="Q58" i="7"/>
  <c r="Q115" i="7" s="1"/>
  <c r="R95" i="7"/>
  <c r="R57" i="7"/>
  <c r="R114" i="7" s="1"/>
  <c r="S94" i="7"/>
  <c r="S56" i="7"/>
  <c r="S113" i="7" s="1"/>
  <c r="U92" i="7"/>
  <c r="U54" i="7"/>
  <c r="U111" i="7" s="1"/>
  <c r="V91" i="7"/>
  <c r="V53" i="7"/>
  <c r="V110" i="7" s="1"/>
  <c r="T93" i="7"/>
  <c r="T55" i="7"/>
  <c r="T112" i="7" s="1"/>
  <c r="AA86" i="7"/>
  <c r="AA48" i="7"/>
  <c r="AA105" i="7" s="1"/>
  <c r="N99" i="7"/>
  <c r="N61" i="7"/>
  <c r="N118" i="7" s="1"/>
  <c r="W90" i="7"/>
  <c r="W52" i="7"/>
  <c r="W109" i="7" s="1"/>
  <c r="X89" i="7"/>
  <c r="X51" i="7"/>
  <c r="X108" i="7" s="1"/>
  <c r="Y88" i="7"/>
  <c r="Y50" i="7"/>
  <c r="Y107" i="7" s="1"/>
  <c r="Z87" i="7"/>
  <c r="Z49" i="7"/>
  <c r="Z106" i="7" s="1"/>
  <c r="O42" i="7"/>
  <c r="O80" i="7"/>
  <c r="Q40" i="7"/>
  <c r="Q78" i="7"/>
  <c r="R39" i="7"/>
  <c r="R77" i="7"/>
  <c r="U36" i="7"/>
  <c r="U74" i="7"/>
  <c r="T37" i="7"/>
  <c r="T75" i="7"/>
  <c r="S38" i="7"/>
  <c r="S76" i="7"/>
  <c r="V35" i="7"/>
  <c r="V73" i="7"/>
  <c r="AA30" i="7"/>
  <c r="AA68" i="7"/>
  <c r="N43" i="7"/>
  <c r="N81" i="7"/>
  <c r="W34" i="7"/>
  <c r="W72" i="7"/>
  <c r="X33" i="7"/>
  <c r="X71" i="7"/>
  <c r="Y32" i="7"/>
  <c r="Y70" i="7"/>
  <c r="Z31" i="7"/>
  <c r="Z69" i="7"/>
  <c r="P23" i="7"/>
  <c r="P80" i="7" s="1"/>
  <c r="P41" i="7"/>
  <c r="O24" i="7"/>
  <c r="Q22" i="7"/>
  <c r="R21" i="7"/>
  <c r="T19" i="7"/>
  <c r="U18" i="7"/>
  <c r="V17" i="7"/>
  <c r="S20" i="7"/>
  <c r="S77" i="7" s="1"/>
  <c r="AB11" i="7"/>
  <c r="AC10" i="7"/>
  <c r="AA12" i="7"/>
  <c r="W16" i="7"/>
  <c r="X15" i="7"/>
  <c r="Y14" i="7"/>
  <c r="Z13" i="7"/>
  <c r="AD9" i="7"/>
  <c r="AE8" i="7"/>
  <c r="AF7" i="7"/>
  <c r="AG6" i="7"/>
  <c r="AC85" i="7" l="1"/>
  <c r="AC47" i="7"/>
  <c r="AC104" i="7" s="1"/>
  <c r="AB86" i="7"/>
  <c r="AB48" i="7"/>
  <c r="AB105" i="7" s="1"/>
  <c r="AD84" i="7"/>
  <c r="AD46" i="7"/>
  <c r="AD103" i="7" s="1"/>
  <c r="AE83" i="7"/>
  <c r="AE45" i="7"/>
  <c r="AE102" i="7" s="1"/>
  <c r="AF82" i="7"/>
  <c r="AF44" i="7"/>
  <c r="AF101" i="7" s="1"/>
  <c r="AB30" i="7"/>
  <c r="AB68" i="7"/>
  <c r="AC29" i="7"/>
  <c r="AC67" i="7"/>
  <c r="AD28" i="7"/>
  <c r="AD66" i="7"/>
  <c r="AE27" i="7"/>
  <c r="AE65" i="7"/>
  <c r="AF26" i="7"/>
  <c r="AF64" i="7"/>
  <c r="AG25" i="7"/>
  <c r="AG63" i="7"/>
  <c r="O99" i="7"/>
  <c r="O61" i="7"/>
  <c r="O118" i="7" s="1"/>
  <c r="Q97" i="7"/>
  <c r="Q59" i="7"/>
  <c r="Q116" i="7" s="1"/>
  <c r="R96" i="7"/>
  <c r="R58" i="7"/>
  <c r="R115" i="7" s="1"/>
  <c r="U93" i="7"/>
  <c r="U55" i="7"/>
  <c r="U112" i="7" s="1"/>
  <c r="T94" i="7"/>
  <c r="T56" i="7"/>
  <c r="T113" i="7" s="1"/>
  <c r="S95" i="7"/>
  <c r="S57" i="7"/>
  <c r="S114" i="7" s="1"/>
  <c r="V92" i="7"/>
  <c r="V54" i="7"/>
  <c r="V111" i="7" s="1"/>
  <c r="AA87" i="7"/>
  <c r="AA49" i="7"/>
  <c r="AA106" i="7" s="1"/>
  <c r="N100" i="7"/>
  <c r="N62" i="7"/>
  <c r="N119" i="7" s="1"/>
  <c r="W91" i="7"/>
  <c r="W53" i="7"/>
  <c r="W110" i="7" s="1"/>
  <c r="X90" i="7"/>
  <c r="X52" i="7"/>
  <c r="X109" i="7" s="1"/>
  <c r="Y89" i="7"/>
  <c r="Y51" i="7"/>
  <c r="Y108" i="7" s="1"/>
  <c r="Z88" i="7"/>
  <c r="Z50" i="7"/>
  <c r="Z107" i="7" s="1"/>
  <c r="P60" i="7"/>
  <c r="P117" i="7" s="1"/>
  <c r="P98" i="7"/>
  <c r="O43" i="7"/>
  <c r="O81" i="7"/>
  <c r="Q41" i="7"/>
  <c r="Q79" i="7"/>
  <c r="R40" i="7"/>
  <c r="R78" i="7"/>
  <c r="T38" i="7"/>
  <c r="T76" i="7"/>
  <c r="U37" i="7"/>
  <c r="U75" i="7"/>
  <c r="V36" i="7"/>
  <c r="V74" i="7"/>
  <c r="AA31" i="7"/>
  <c r="AA69" i="7"/>
  <c r="W35" i="7"/>
  <c r="W73" i="7"/>
  <c r="X34" i="7"/>
  <c r="X72" i="7"/>
  <c r="Y33" i="7"/>
  <c r="Y71" i="7"/>
  <c r="Z32" i="7"/>
  <c r="Z70" i="7"/>
  <c r="S39" i="7"/>
  <c r="S21" i="7"/>
  <c r="S78" i="7" s="1"/>
  <c r="P42" i="7"/>
  <c r="P24" i="7"/>
  <c r="V18" i="7"/>
  <c r="Q23" i="7"/>
  <c r="R22" i="7"/>
  <c r="T20" i="7"/>
  <c r="U19" i="7"/>
  <c r="AB12" i="7"/>
  <c r="AC11" i="7"/>
  <c r="AA13" i="7"/>
  <c r="AF8" i="7"/>
  <c r="W17" i="7"/>
  <c r="X16" i="7"/>
  <c r="Y15" i="7"/>
  <c r="Z14" i="7"/>
  <c r="AD10" i="7"/>
  <c r="AE9" i="7"/>
  <c r="AG7" i="7"/>
  <c r="AH6" i="7"/>
  <c r="AB87" i="7" l="1"/>
  <c r="AB49" i="7"/>
  <c r="AB106" i="7" s="1"/>
  <c r="AC86" i="7"/>
  <c r="AC48" i="7"/>
  <c r="AC105" i="7" s="1"/>
  <c r="AD85" i="7"/>
  <c r="AD47" i="7"/>
  <c r="AD104" i="7" s="1"/>
  <c r="AE84" i="7"/>
  <c r="AE46" i="7"/>
  <c r="AE103" i="7" s="1"/>
  <c r="AF83" i="7"/>
  <c r="AF45" i="7"/>
  <c r="AF102" i="7" s="1"/>
  <c r="AG82" i="7"/>
  <c r="AG44" i="7"/>
  <c r="AG101" i="7" s="1"/>
  <c r="AB31" i="7"/>
  <c r="AB69" i="7"/>
  <c r="AC30" i="7"/>
  <c r="AC68" i="7"/>
  <c r="AF27" i="7"/>
  <c r="AF65" i="7"/>
  <c r="AD29" i="7"/>
  <c r="AD67" i="7"/>
  <c r="AE28" i="7"/>
  <c r="AE66" i="7"/>
  <c r="AG26" i="7"/>
  <c r="AG64" i="7"/>
  <c r="AH25" i="7"/>
  <c r="AH63" i="7"/>
  <c r="O100" i="7"/>
  <c r="O62" i="7"/>
  <c r="O119" i="7" s="1"/>
  <c r="Q98" i="7"/>
  <c r="Q60" i="7"/>
  <c r="Q117" i="7" s="1"/>
  <c r="R97" i="7"/>
  <c r="R59" i="7"/>
  <c r="R116" i="7" s="1"/>
  <c r="T95" i="7"/>
  <c r="T57" i="7"/>
  <c r="T114" i="7" s="1"/>
  <c r="U94" i="7"/>
  <c r="U56" i="7"/>
  <c r="U113" i="7" s="1"/>
  <c r="V93" i="7"/>
  <c r="V55" i="7"/>
  <c r="V112" i="7" s="1"/>
  <c r="AA88" i="7"/>
  <c r="AA50" i="7"/>
  <c r="AA107" i="7" s="1"/>
  <c r="W92" i="7"/>
  <c r="W54" i="7"/>
  <c r="W111" i="7" s="1"/>
  <c r="X91" i="7"/>
  <c r="X53" i="7"/>
  <c r="X110" i="7" s="1"/>
  <c r="Y90" i="7"/>
  <c r="Y52" i="7"/>
  <c r="Y109" i="7" s="1"/>
  <c r="Z89" i="7"/>
  <c r="Z51" i="7"/>
  <c r="Z108" i="7" s="1"/>
  <c r="S58" i="7"/>
  <c r="S115" i="7" s="1"/>
  <c r="S96" i="7"/>
  <c r="P61" i="7"/>
  <c r="P118" i="7" s="1"/>
  <c r="P99" i="7"/>
  <c r="P43" i="7"/>
  <c r="P81" i="7"/>
  <c r="V37" i="7"/>
  <c r="V75" i="7"/>
  <c r="Q42" i="7"/>
  <c r="Q80" i="7"/>
  <c r="R41" i="7"/>
  <c r="R79" i="7"/>
  <c r="T39" i="7"/>
  <c r="T77" i="7"/>
  <c r="U38" i="7"/>
  <c r="U76" i="7"/>
  <c r="AA32" i="7"/>
  <c r="AA70" i="7"/>
  <c r="W36" i="7"/>
  <c r="W74" i="7"/>
  <c r="X35" i="7"/>
  <c r="X73" i="7"/>
  <c r="Y34" i="7"/>
  <c r="Y72" i="7"/>
  <c r="Z33" i="7"/>
  <c r="Z71" i="7"/>
  <c r="S40" i="7"/>
  <c r="S22" i="7"/>
  <c r="S79" i="7" s="1"/>
  <c r="V19" i="7"/>
  <c r="R23" i="7"/>
  <c r="R80" i="7" s="1"/>
  <c r="T21" i="7"/>
  <c r="T78" i="7" s="1"/>
  <c r="U20" i="7"/>
  <c r="U77" i="7" s="1"/>
  <c r="Q24" i="7"/>
  <c r="AB13" i="7"/>
  <c r="AC12" i="7"/>
  <c r="AA14" i="7"/>
  <c r="AF9" i="7"/>
  <c r="W18" i="7"/>
  <c r="X17" i="7"/>
  <c r="Y16" i="7"/>
  <c r="Z15" i="7"/>
  <c r="AD11" i="7"/>
  <c r="AE10" i="7"/>
  <c r="AG8" i="7"/>
  <c r="AH7" i="7"/>
  <c r="AI6" i="7"/>
  <c r="AB88" i="7" l="1"/>
  <c r="AB50" i="7"/>
  <c r="AB107" i="7" s="1"/>
  <c r="AC87" i="7"/>
  <c r="AC49" i="7"/>
  <c r="AC106" i="7" s="1"/>
  <c r="AF84" i="7"/>
  <c r="AF46" i="7"/>
  <c r="AF103" i="7" s="1"/>
  <c r="AD86" i="7"/>
  <c r="AD48" i="7"/>
  <c r="AD105" i="7" s="1"/>
  <c r="AE85" i="7"/>
  <c r="AE47" i="7"/>
  <c r="AE104" i="7" s="1"/>
  <c r="AG83" i="7"/>
  <c r="AG45" i="7"/>
  <c r="AG102" i="7" s="1"/>
  <c r="AH82" i="7"/>
  <c r="AH44" i="7"/>
  <c r="AH101" i="7" s="1"/>
  <c r="AB32" i="7"/>
  <c r="AB70" i="7"/>
  <c r="AC31" i="7"/>
  <c r="AC69" i="7"/>
  <c r="AF28" i="7"/>
  <c r="AF66" i="7"/>
  <c r="AD30" i="7"/>
  <c r="AD68" i="7"/>
  <c r="AE29" i="7"/>
  <c r="AE67" i="7"/>
  <c r="AG27" i="7"/>
  <c r="AG65" i="7"/>
  <c r="AH26" i="7"/>
  <c r="AH64" i="7"/>
  <c r="AI25" i="7"/>
  <c r="AI63" i="7"/>
  <c r="P100" i="7"/>
  <c r="P62" i="7"/>
  <c r="P119" i="7" s="1"/>
  <c r="V94" i="7"/>
  <c r="V56" i="7"/>
  <c r="V113" i="7" s="1"/>
  <c r="Q99" i="7"/>
  <c r="Q61" i="7"/>
  <c r="Q118" i="7" s="1"/>
  <c r="R98" i="7"/>
  <c r="R60" i="7"/>
  <c r="R117" i="7" s="1"/>
  <c r="T96" i="7"/>
  <c r="T58" i="7"/>
  <c r="T115" i="7" s="1"/>
  <c r="U95" i="7"/>
  <c r="U57" i="7"/>
  <c r="U114" i="7" s="1"/>
  <c r="AA89" i="7"/>
  <c r="AA51" i="7"/>
  <c r="AA108" i="7" s="1"/>
  <c r="W93" i="7"/>
  <c r="W55" i="7"/>
  <c r="W112" i="7" s="1"/>
  <c r="X92" i="7"/>
  <c r="X54" i="7"/>
  <c r="X111" i="7" s="1"/>
  <c r="Y91" i="7"/>
  <c r="Y53" i="7"/>
  <c r="Y110" i="7" s="1"/>
  <c r="Z90" i="7"/>
  <c r="Z52" i="7"/>
  <c r="Z109" i="7" s="1"/>
  <c r="S59" i="7"/>
  <c r="S116" i="7" s="1"/>
  <c r="S97" i="7"/>
  <c r="V38" i="7"/>
  <c r="V76" i="7"/>
  <c r="Q43" i="7"/>
  <c r="Q81" i="7"/>
  <c r="AA33" i="7"/>
  <c r="AA71" i="7"/>
  <c r="W37" i="7"/>
  <c r="W75" i="7"/>
  <c r="X36" i="7"/>
  <c r="X74" i="7"/>
  <c r="Y35" i="7"/>
  <c r="Y73" i="7"/>
  <c r="Z34" i="7"/>
  <c r="Z72" i="7"/>
  <c r="S41" i="7"/>
  <c r="S23" i="7"/>
  <c r="S80" i="7" s="1"/>
  <c r="R42" i="7"/>
  <c r="R24" i="7"/>
  <c r="T40" i="7"/>
  <c r="T22" i="7"/>
  <c r="T79" i="7" s="1"/>
  <c r="U39" i="7"/>
  <c r="U21" i="7"/>
  <c r="U78" i="7" s="1"/>
  <c r="V20" i="7"/>
  <c r="AA15" i="7"/>
  <c r="AA72" i="7" s="1"/>
  <c r="AB14" i="7"/>
  <c r="AC13" i="7"/>
  <c r="AF10" i="7"/>
  <c r="W19" i="7"/>
  <c r="X18" i="7"/>
  <c r="Y17" i="7"/>
  <c r="Z16" i="7"/>
  <c r="AD12" i="7"/>
  <c r="AE11" i="7"/>
  <c r="AG9" i="7"/>
  <c r="AH8" i="7"/>
  <c r="AI7" i="7"/>
  <c r="AJ6" i="7"/>
  <c r="AB89" i="7" l="1"/>
  <c r="AB51" i="7"/>
  <c r="AB108" i="7" s="1"/>
  <c r="AC88" i="7"/>
  <c r="AC50" i="7"/>
  <c r="AC107" i="7" s="1"/>
  <c r="AF85" i="7"/>
  <c r="AF47" i="7"/>
  <c r="AF104" i="7" s="1"/>
  <c r="AD87" i="7"/>
  <c r="AD49" i="7"/>
  <c r="AD106" i="7" s="1"/>
  <c r="AE86" i="7"/>
  <c r="AE48" i="7"/>
  <c r="AE105" i="7" s="1"/>
  <c r="AG84" i="7"/>
  <c r="AG46" i="7"/>
  <c r="AG103" i="7" s="1"/>
  <c r="AH83" i="7"/>
  <c r="AH45" i="7"/>
  <c r="AH102" i="7" s="1"/>
  <c r="AI82" i="7"/>
  <c r="AI44" i="7"/>
  <c r="AI101" i="7" s="1"/>
  <c r="AB33" i="7"/>
  <c r="AB71" i="7"/>
  <c r="AC32" i="7"/>
  <c r="AC70" i="7"/>
  <c r="AF29" i="7"/>
  <c r="AF67" i="7"/>
  <c r="AD31" i="7"/>
  <c r="AD69" i="7"/>
  <c r="AE30" i="7"/>
  <c r="AE68" i="7"/>
  <c r="AG28" i="7"/>
  <c r="AG66" i="7"/>
  <c r="AH27" i="7"/>
  <c r="AH65" i="7"/>
  <c r="AI26" i="7"/>
  <c r="AI64" i="7"/>
  <c r="AJ25" i="7"/>
  <c r="AJ63" i="7"/>
  <c r="V95" i="7"/>
  <c r="V57" i="7"/>
  <c r="V114" i="7" s="1"/>
  <c r="Q100" i="7"/>
  <c r="Q62" i="7"/>
  <c r="Q119" i="7" s="1"/>
  <c r="AA90" i="7"/>
  <c r="AA52" i="7"/>
  <c r="AA109" i="7" s="1"/>
  <c r="W94" i="7"/>
  <c r="W56" i="7"/>
  <c r="W113" i="7" s="1"/>
  <c r="X93" i="7"/>
  <c r="X55" i="7"/>
  <c r="X112" i="7" s="1"/>
  <c r="Y92" i="7"/>
  <c r="Y54" i="7"/>
  <c r="Y111" i="7" s="1"/>
  <c r="Z91" i="7"/>
  <c r="Z53" i="7"/>
  <c r="Z110" i="7" s="1"/>
  <c r="S60" i="7"/>
  <c r="S117" i="7" s="1"/>
  <c r="S98" i="7"/>
  <c r="R61" i="7"/>
  <c r="R118" i="7" s="1"/>
  <c r="R99" i="7"/>
  <c r="R43" i="7"/>
  <c r="R81" i="7"/>
  <c r="T59" i="7"/>
  <c r="T116" i="7" s="1"/>
  <c r="T97" i="7"/>
  <c r="U58" i="7"/>
  <c r="U115" i="7" s="1"/>
  <c r="U96" i="7"/>
  <c r="V39" i="7"/>
  <c r="V77" i="7"/>
  <c r="W38" i="7"/>
  <c r="W76" i="7"/>
  <c r="X37" i="7"/>
  <c r="X75" i="7"/>
  <c r="Y36" i="7"/>
  <c r="Y74" i="7"/>
  <c r="Z35" i="7"/>
  <c r="Z73" i="7"/>
  <c r="S42" i="7"/>
  <c r="S24" i="7"/>
  <c r="T41" i="7"/>
  <c r="T23" i="7"/>
  <c r="T80" i="7" s="1"/>
  <c r="U40" i="7"/>
  <c r="U22" i="7"/>
  <c r="U79" i="7" s="1"/>
  <c r="AA34" i="7"/>
  <c r="AA16" i="7"/>
  <c r="AA73" i="7" s="1"/>
  <c r="V21" i="7"/>
  <c r="AC14" i="7"/>
  <c r="AB15" i="7"/>
  <c r="AF11" i="7"/>
  <c r="AI8" i="7"/>
  <c r="AD13" i="7"/>
  <c r="AG10" i="7"/>
  <c r="AH9" i="7"/>
  <c r="W20" i="7"/>
  <c r="X19" i="7"/>
  <c r="Y18" i="7"/>
  <c r="Z17" i="7"/>
  <c r="AE12" i="7"/>
  <c r="AJ7" i="7"/>
  <c r="AB90" i="7" l="1"/>
  <c r="AB52" i="7"/>
  <c r="AB109" i="7" s="1"/>
  <c r="AC89" i="7"/>
  <c r="AC51" i="7"/>
  <c r="AC108" i="7" s="1"/>
  <c r="AF86" i="7"/>
  <c r="AF48" i="7"/>
  <c r="AF105" i="7" s="1"/>
  <c r="AD88" i="7"/>
  <c r="AD50" i="7"/>
  <c r="AD107" i="7" s="1"/>
  <c r="AE87" i="7"/>
  <c r="AE49" i="7"/>
  <c r="AE106" i="7" s="1"/>
  <c r="AG85" i="7"/>
  <c r="AG47" i="7"/>
  <c r="AG104" i="7" s="1"/>
  <c r="AH84" i="7"/>
  <c r="AH46" i="7"/>
  <c r="AH103" i="7" s="1"/>
  <c r="AI83" i="7"/>
  <c r="AI45" i="7"/>
  <c r="AI102" i="7" s="1"/>
  <c r="AJ82" i="7"/>
  <c r="AJ44" i="7"/>
  <c r="AJ101" i="7" s="1"/>
  <c r="AC33" i="7"/>
  <c r="AC71" i="7"/>
  <c r="AB34" i="7"/>
  <c r="AB72" i="7"/>
  <c r="AF30" i="7"/>
  <c r="AF68" i="7"/>
  <c r="AI27" i="7"/>
  <c r="AI65" i="7"/>
  <c r="AD32" i="7"/>
  <c r="AD70" i="7"/>
  <c r="AG29" i="7"/>
  <c r="AG67" i="7"/>
  <c r="AH28" i="7"/>
  <c r="AH66" i="7"/>
  <c r="AE31" i="7"/>
  <c r="AE69" i="7"/>
  <c r="AJ26" i="7"/>
  <c r="AJ64" i="7"/>
  <c r="R100" i="7"/>
  <c r="R62" i="7"/>
  <c r="R119" i="7" s="1"/>
  <c r="V96" i="7"/>
  <c r="V58" i="7"/>
  <c r="V115" i="7" s="1"/>
  <c r="W95" i="7"/>
  <c r="W57" i="7"/>
  <c r="W114" i="7" s="1"/>
  <c r="X94" i="7"/>
  <c r="X56" i="7"/>
  <c r="X113" i="7" s="1"/>
  <c r="Y93" i="7"/>
  <c r="Y55" i="7"/>
  <c r="Y112" i="7" s="1"/>
  <c r="Z92" i="7"/>
  <c r="Z54" i="7"/>
  <c r="Z111" i="7" s="1"/>
  <c r="S61" i="7"/>
  <c r="S118" i="7" s="1"/>
  <c r="S99" i="7"/>
  <c r="S43" i="7"/>
  <c r="S81" i="7"/>
  <c r="T60" i="7"/>
  <c r="T117" i="7" s="1"/>
  <c r="T98" i="7"/>
  <c r="U59" i="7"/>
  <c r="U116" i="7" s="1"/>
  <c r="U97" i="7"/>
  <c r="AA53" i="7"/>
  <c r="AA110" i="7" s="1"/>
  <c r="AA91" i="7"/>
  <c r="V40" i="7"/>
  <c r="V78" i="7"/>
  <c r="W39" i="7"/>
  <c r="W77" i="7"/>
  <c r="X38" i="7"/>
  <c r="X76" i="7"/>
  <c r="Y37" i="7"/>
  <c r="Y75" i="7"/>
  <c r="Z36" i="7"/>
  <c r="Z74" i="7"/>
  <c r="T42" i="7"/>
  <c r="T24" i="7"/>
  <c r="U41" i="7"/>
  <c r="U23" i="7"/>
  <c r="U80" i="7" s="1"/>
  <c r="AA35" i="7"/>
  <c r="AA17" i="7"/>
  <c r="AA74" i="7" s="1"/>
  <c r="V22" i="7"/>
  <c r="V79" i="7" s="1"/>
  <c r="AC15" i="7"/>
  <c r="AC72" i="7" s="1"/>
  <c r="AB16" i="7"/>
  <c r="AD14" i="7"/>
  <c r="AF12" i="7"/>
  <c r="AH10" i="7"/>
  <c r="AE13" i="7"/>
  <c r="AI9" i="7"/>
  <c r="AG11" i="7"/>
  <c r="W21" i="7"/>
  <c r="X20" i="7"/>
  <c r="Y19" i="7"/>
  <c r="Z18" i="7"/>
  <c r="AJ8" i="7"/>
  <c r="AC90" i="7" l="1"/>
  <c r="AC52" i="7"/>
  <c r="AC109" i="7" s="1"/>
  <c r="AB91" i="7"/>
  <c r="AB53" i="7"/>
  <c r="AB110" i="7" s="1"/>
  <c r="AF87" i="7"/>
  <c r="AF49" i="7"/>
  <c r="AF106" i="7" s="1"/>
  <c r="AI84" i="7"/>
  <c r="AI46" i="7"/>
  <c r="AI103" i="7" s="1"/>
  <c r="AD89" i="7"/>
  <c r="AD51" i="7"/>
  <c r="AD108" i="7" s="1"/>
  <c r="AG86" i="7"/>
  <c r="AG48" i="7"/>
  <c r="AG105" i="7" s="1"/>
  <c r="AH85" i="7"/>
  <c r="AH47" i="7"/>
  <c r="AH104" i="7" s="1"/>
  <c r="AE88" i="7"/>
  <c r="AE50" i="7"/>
  <c r="AE107" i="7" s="1"/>
  <c r="AJ83" i="7"/>
  <c r="AJ45" i="7"/>
  <c r="AJ102" i="7" s="1"/>
  <c r="AB35" i="7"/>
  <c r="AB73" i="7"/>
  <c r="AD33" i="7"/>
  <c r="AD71" i="7"/>
  <c r="AF31" i="7"/>
  <c r="AF69" i="7"/>
  <c r="AH29" i="7"/>
  <c r="AH67" i="7"/>
  <c r="AE32" i="7"/>
  <c r="AE70" i="7"/>
  <c r="AI28" i="7"/>
  <c r="AI66" i="7"/>
  <c r="AG30" i="7"/>
  <c r="AG68" i="7"/>
  <c r="AJ27" i="7"/>
  <c r="AJ65" i="7"/>
  <c r="S100" i="7"/>
  <c r="S62" i="7"/>
  <c r="S119" i="7" s="1"/>
  <c r="V97" i="7"/>
  <c r="V59" i="7"/>
  <c r="V116" i="7" s="1"/>
  <c r="W96" i="7"/>
  <c r="W58" i="7"/>
  <c r="W115" i="7" s="1"/>
  <c r="X95" i="7"/>
  <c r="X57" i="7"/>
  <c r="X114" i="7" s="1"/>
  <c r="Y94" i="7"/>
  <c r="Y56" i="7"/>
  <c r="Y113" i="7" s="1"/>
  <c r="Z93" i="7"/>
  <c r="Z55" i="7"/>
  <c r="Z112" i="7" s="1"/>
  <c r="T61" i="7"/>
  <c r="T118" i="7" s="1"/>
  <c r="T99" i="7"/>
  <c r="T43" i="7"/>
  <c r="T81" i="7"/>
  <c r="U60" i="7"/>
  <c r="U117" i="7" s="1"/>
  <c r="U98" i="7"/>
  <c r="AA54" i="7"/>
  <c r="AA111" i="7" s="1"/>
  <c r="AA92" i="7"/>
  <c r="W40" i="7"/>
  <c r="W78" i="7"/>
  <c r="X39" i="7"/>
  <c r="X77" i="7"/>
  <c r="Y38" i="7"/>
  <c r="Y76" i="7"/>
  <c r="Z37" i="7"/>
  <c r="Z75" i="7"/>
  <c r="U42" i="7"/>
  <c r="U24" i="7"/>
  <c r="AA36" i="7"/>
  <c r="AA18" i="7"/>
  <c r="AA75" i="7" s="1"/>
  <c r="V23" i="7"/>
  <c r="V80" i="7" s="1"/>
  <c r="V41" i="7"/>
  <c r="AC16" i="7"/>
  <c r="AC73" i="7" s="1"/>
  <c r="AC34" i="7"/>
  <c r="AB17" i="7"/>
  <c r="AD15" i="7"/>
  <c r="AH11" i="7"/>
  <c r="AF13" i="7"/>
  <c r="AE14" i="7"/>
  <c r="AI10" i="7"/>
  <c r="AG12" i="7"/>
  <c r="W22" i="7"/>
  <c r="X21" i="7"/>
  <c r="Y20" i="7"/>
  <c r="Z19" i="7"/>
  <c r="AJ9" i="7"/>
  <c r="AB92" i="7" l="1"/>
  <c r="AB54" i="7"/>
  <c r="AB111" i="7" s="1"/>
  <c r="AD90" i="7"/>
  <c r="AD52" i="7"/>
  <c r="AD109" i="7" s="1"/>
  <c r="AF88" i="7"/>
  <c r="AF50" i="7"/>
  <c r="AF107" i="7" s="1"/>
  <c r="AH86" i="7"/>
  <c r="AH48" i="7"/>
  <c r="AH105" i="7" s="1"/>
  <c r="AE89" i="7"/>
  <c r="AE51" i="7"/>
  <c r="AE108" i="7" s="1"/>
  <c r="AI85" i="7"/>
  <c r="AI47" i="7"/>
  <c r="AI104" i="7" s="1"/>
  <c r="AG87" i="7"/>
  <c r="AG49" i="7"/>
  <c r="AG106" i="7" s="1"/>
  <c r="AJ84" i="7"/>
  <c r="AJ46" i="7"/>
  <c r="AJ103" i="7" s="1"/>
  <c r="AC53" i="7"/>
  <c r="AC110" i="7" s="1"/>
  <c r="AC91" i="7"/>
  <c r="AB36" i="7"/>
  <c r="AB74" i="7"/>
  <c r="AD34" i="7"/>
  <c r="AD72" i="7"/>
  <c r="AH30" i="7"/>
  <c r="AH68" i="7"/>
  <c r="AF32" i="7"/>
  <c r="AF70" i="7"/>
  <c r="AE33" i="7"/>
  <c r="AE71" i="7"/>
  <c r="AI29" i="7"/>
  <c r="AI67" i="7"/>
  <c r="AG31" i="7"/>
  <c r="AG69" i="7"/>
  <c r="AJ28" i="7"/>
  <c r="AJ66" i="7"/>
  <c r="T100" i="7"/>
  <c r="T62" i="7"/>
  <c r="T119" i="7" s="1"/>
  <c r="W97" i="7"/>
  <c r="W59" i="7"/>
  <c r="W116" i="7" s="1"/>
  <c r="X96" i="7"/>
  <c r="X58" i="7"/>
  <c r="X115" i="7" s="1"/>
  <c r="Y95" i="7"/>
  <c r="Y57" i="7"/>
  <c r="Y114" i="7" s="1"/>
  <c r="Z94" i="7"/>
  <c r="Z56" i="7"/>
  <c r="Z113" i="7" s="1"/>
  <c r="U61" i="7"/>
  <c r="U118" i="7" s="1"/>
  <c r="U99" i="7"/>
  <c r="U43" i="7"/>
  <c r="U81" i="7"/>
  <c r="AA55" i="7"/>
  <c r="AA112" i="7" s="1"/>
  <c r="AA93" i="7"/>
  <c r="V60" i="7"/>
  <c r="V117" i="7" s="1"/>
  <c r="V98" i="7"/>
  <c r="W41" i="7"/>
  <c r="W79" i="7"/>
  <c r="X40" i="7"/>
  <c r="X78" i="7"/>
  <c r="Y39" i="7"/>
  <c r="Y77" i="7"/>
  <c r="Z38" i="7"/>
  <c r="Z76" i="7"/>
  <c r="AA37" i="7"/>
  <c r="AA19" i="7"/>
  <c r="AA76" i="7" s="1"/>
  <c r="V42" i="7"/>
  <c r="V24" i="7"/>
  <c r="AC35" i="7"/>
  <c r="AC17" i="7"/>
  <c r="AC74" i="7" s="1"/>
  <c r="AB18" i="7"/>
  <c r="AE15" i="7"/>
  <c r="AD16" i="7"/>
  <c r="AH12" i="7"/>
  <c r="AF14" i="7"/>
  <c r="AI11" i="7"/>
  <c r="AG13" i="7"/>
  <c r="W23" i="7"/>
  <c r="X22" i="7"/>
  <c r="Y21" i="7"/>
  <c r="Z20" i="7"/>
  <c r="AJ10" i="7"/>
  <c r="AB93" i="7" l="1"/>
  <c r="AB55" i="7"/>
  <c r="AB112" i="7" s="1"/>
  <c r="AD91" i="7"/>
  <c r="AD53" i="7"/>
  <c r="AD110" i="7" s="1"/>
  <c r="AH87" i="7"/>
  <c r="AH49" i="7"/>
  <c r="AH106" i="7" s="1"/>
  <c r="AF89" i="7"/>
  <c r="AF51" i="7"/>
  <c r="AF108" i="7" s="1"/>
  <c r="AE90" i="7"/>
  <c r="AE52" i="7"/>
  <c r="AE109" i="7" s="1"/>
  <c r="AI86" i="7"/>
  <c r="AI48" i="7"/>
  <c r="AI105" i="7" s="1"/>
  <c r="AG88" i="7"/>
  <c r="AG50" i="7"/>
  <c r="AG107" i="7" s="1"/>
  <c r="AJ85" i="7"/>
  <c r="AJ47" i="7"/>
  <c r="AJ104" i="7" s="1"/>
  <c r="AC54" i="7"/>
  <c r="AC111" i="7" s="1"/>
  <c r="AC92" i="7"/>
  <c r="AB37" i="7"/>
  <c r="AB75" i="7"/>
  <c r="AE34" i="7"/>
  <c r="AE72" i="7"/>
  <c r="AD35" i="7"/>
  <c r="AD73" i="7"/>
  <c r="AH31" i="7"/>
  <c r="AH69" i="7"/>
  <c r="AF33" i="7"/>
  <c r="AF71" i="7"/>
  <c r="AI30" i="7"/>
  <c r="AI68" i="7"/>
  <c r="AG32" i="7"/>
  <c r="AG70" i="7"/>
  <c r="AJ29" i="7"/>
  <c r="AJ67" i="7"/>
  <c r="U100" i="7"/>
  <c r="U62" i="7"/>
  <c r="U119" i="7" s="1"/>
  <c r="W98" i="7"/>
  <c r="W60" i="7"/>
  <c r="W117" i="7" s="1"/>
  <c r="X97" i="7"/>
  <c r="X59" i="7"/>
  <c r="X116" i="7" s="1"/>
  <c r="Y96" i="7"/>
  <c r="Y58" i="7"/>
  <c r="Y115" i="7" s="1"/>
  <c r="Z95" i="7"/>
  <c r="Z57" i="7"/>
  <c r="Z114" i="7" s="1"/>
  <c r="AA56" i="7"/>
  <c r="AA113" i="7" s="1"/>
  <c r="AA94" i="7"/>
  <c r="V61" i="7"/>
  <c r="V118" i="7" s="1"/>
  <c r="V99" i="7"/>
  <c r="V43" i="7"/>
  <c r="V81" i="7"/>
  <c r="W42" i="7"/>
  <c r="W80" i="7"/>
  <c r="X41" i="7"/>
  <c r="X79" i="7"/>
  <c r="Y40" i="7"/>
  <c r="Y78" i="7"/>
  <c r="Z39" i="7"/>
  <c r="Z77" i="7"/>
  <c r="AA38" i="7"/>
  <c r="AA20" i="7"/>
  <c r="AA77" i="7" s="1"/>
  <c r="AC36" i="7"/>
  <c r="AC18" i="7"/>
  <c r="AC75" i="7" s="1"/>
  <c r="AB19" i="7"/>
  <c r="AE16" i="7"/>
  <c r="AD17" i="7"/>
  <c r="AH13" i="7"/>
  <c r="AF15" i="7"/>
  <c r="AI12" i="7"/>
  <c r="Y22" i="7"/>
  <c r="AG14" i="7"/>
  <c r="Z21" i="7"/>
  <c r="W24" i="7"/>
  <c r="X23" i="7"/>
  <c r="AJ11" i="7"/>
  <c r="AB94" i="7" l="1"/>
  <c r="AB56" i="7"/>
  <c r="AB113" i="7" s="1"/>
  <c r="AE91" i="7"/>
  <c r="AE53" i="7"/>
  <c r="AE110" i="7" s="1"/>
  <c r="AD92" i="7"/>
  <c r="AD54" i="7"/>
  <c r="AD111" i="7" s="1"/>
  <c r="AH88" i="7"/>
  <c r="AH50" i="7"/>
  <c r="AH107" i="7" s="1"/>
  <c r="AF90" i="7"/>
  <c r="AF52" i="7"/>
  <c r="AF109" i="7" s="1"/>
  <c r="AI87" i="7"/>
  <c r="AI49" i="7"/>
  <c r="AI106" i="7" s="1"/>
  <c r="AG89" i="7"/>
  <c r="AG51" i="7"/>
  <c r="AG108" i="7" s="1"/>
  <c r="AJ86" i="7"/>
  <c r="AJ48" i="7"/>
  <c r="AJ105" i="7" s="1"/>
  <c r="AC55" i="7"/>
  <c r="AC112" i="7" s="1"/>
  <c r="AC93" i="7"/>
  <c r="AB38" i="7"/>
  <c r="AB76" i="7"/>
  <c r="AE35" i="7"/>
  <c r="AE73" i="7"/>
  <c r="AD36" i="7"/>
  <c r="AD74" i="7"/>
  <c r="AH32" i="7"/>
  <c r="AH70" i="7"/>
  <c r="AF34" i="7"/>
  <c r="AF72" i="7"/>
  <c r="AI31" i="7"/>
  <c r="AI69" i="7"/>
  <c r="AG33" i="7"/>
  <c r="AG71" i="7"/>
  <c r="AJ30" i="7"/>
  <c r="AJ68" i="7"/>
  <c r="V100" i="7"/>
  <c r="V62" i="7"/>
  <c r="V119" i="7" s="1"/>
  <c r="W99" i="7"/>
  <c r="W61" i="7"/>
  <c r="W118" i="7" s="1"/>
  <c r="X98" i="7"/>
  <c r="X60" i="7"/>
  <c r="X117" i="7" s="1"/>
  <c r="Y97" i="7"/>
  <c r="Y59" i="7"/>
  <c r="Y116" i="7" s="1"/>
  <c r="Z96" i="7"/>
  <c r="Z58" i="7"/>
  <c r="Z115" i="7" s="1"/>
  <c r="AA57" i="7"/>
  <c r="AA114" i="7" s="1"/>
  <c r="AA95" i="7"/>
  <c r="Y41" i="7"/>
  <c r="Y79" i="7"/>
  <c r="Z40" i="7"/>
  <c r="Z78" i="7"/>
  <c r="W43" i="7"/>
  <c r="W81" i="7"/>
  <c r="X42" i="7"/>
  <c r="X80" i="7"/>
  <c r="AA39" i="7"/>
  <c r="AA21" i="7"/>
  <c r="AA78" i="7" s="1"/>
  <c r="AC37" i="7"/>
  <c r="AC19" i="7"/>
  <c r="AC76" i="7" s="1"/>
  <c r="AB20" i="7"/>
  <c r="AB77" i="7" s="1"/>
  <c r="AE17" i="7"/>
  <c r="AE74" i="7" s="1"/>
  <c r="AD18" i="7"/>
  <c r="AH14" i="7"/>
  <c r="AF16" i="7"/>
  <c r="AI13" i="7"/>
  <c r="Y23" i="7"/>
  <c r="Z22" i="7"/>
  <c r="AG15" i="7"/>
  <c r="X24" i="7"/>
  <c r="AJ12" i="7"/>
  <c r="AB95" i="7" l="1"/>
  <c r="AB57" i="7"/>
  <c r="AB114" i="7" s="1"/>
  <c r="AE92" i="7"/>
  <c r="AE54" i="7"/>
  <c r="AE111" i="7" s="1"/>
  <c r="AD93" i="7"/>
  <c r="AD55" i="7"/>
  <c r="AD112" i="7" s="1"/>
  <c r="AH89" i="7"/>
  <c r="AH51" i="7"/>
  <c r="AH108" i="7" s="1"/>
  <c r="AF91" i="7"/>
  <c r="AF53" i="7"/>
  <c r="AF110" i="7" s="1"/>
  <c r="AI88" i="7"/>
  <c r="AI50" i="7"/>
  <c r="AI107" i="7" s="1"/>
  <c r="AG90" i="7"/>
  <c r="AG52" i="7"/>
  <c r="AG109" i="7" s="1"/>
  <c r="AJ87" i="7"/>
  <c r="AJ49" i="7"/>
  <c r="AJ106" i="7" s="1"/>
  <c r="AC56" i="7"/>
  <c r="AC113" i="7" s="1"/>
  <c r="AC94" i="7"/>
  <c r="AD37" i="7"/>
  <c r="AD75" i="7"/>
  <c r="AH33" i="7"/>
  <c r="AH71" i="7"/>
  <c r="AF35" i="7"/>
  <c r="AF73" i="7"/>
  <c r="AI32" i="7"/>
  <c r="AI70" i="7"/>
  <c r="AG34" i="7"/>
  <c r="AG72" i="7"/>
  <c r="AJ31" i="7"/>
  <c r="AJ69" i="7"/>
  <c r="Y98" i="7"/>
  <c r="Y60" i="7"/>
  <c r="Y117" i="7" s="1"/>
  <c r="Z97" i="7"/>
  <c r="Z59" i="7"/>
  <c r="Z116" i="7" s="1"/>
  <c r="W100" i="7"/>
  <c r="W62" i="7"/>
  <c r="W119" i="7" s="1"/>
  <c r="X99" i="7"/>
  <c r="X61" i="7"/>
  <c r="X118" i="7" s="1"/>
  <c r="AA58" i="7"/>
  <c r="AA115" i="7" s="1"/>
  <c r="AA96" i="7"/>
  <c r="Y42" i="7"/>
  <c r="Y80" i="7"/>
  <c r="Z41" i="7"/>
  <c r="Z79" i="7"/>
  <c r="X43" i="7"/>
  <c r="X81" i="7"/>
  <c r="AA40" i="7"/>
  <c r="AA22" i="7"/>
  <c r="AA79" i="7" s="1"/>
  <c r="AC38" i="7"/>
  <c r="AC20" i="7"/>
  <c r="AC77" i="7" s="1"/>
  <c r="AB21" i="7"/>
  <c r="AB78" i="7" s="1"/>
  <c r="AB39" i="7"/>
  <c r="AE18" i="7"/>
  <c r="AE75" i="7" s="1"/>
  <c r="AE36" i="7"/>
  <c r="AD19" i="7"/>
  <c r="AF17" i="7"/>
  <c r="AI14" i="7"/>
  <c r="Y24" i="7"/>
  <c r="AH15" i="7"/>
  <c r="Z23" i="7"/>
  <c r="AG16" i="7"/>
  <c r="AJ13" i="7"/>
  <c r="AD94" i="7" l="1"/>
  <c r="AD56" i="7"/>
  <c r="AD113" i="7" s="1"/>
  <c r="AH90" i="7"/>
  <c r="AH52" i="7"/>
  <c r="AH109" i="7" s="1"/>
  <c r="AF92" i="7"/>
  <c r="AF54" i="7"/>
  <c r="AF111" i="7" s="1"/>
  <c r="AI89" i="7"/>
  <c r="AI51" i="7"/>
  <c r="AI108" i="7" s="1"/>
  <c r="AG91" i="7"/>
  <c r="AG53" i="7"/>
  <c r="AG110" i="7" s="1"/>
  <c r="AJ88" i="7"/>
  <c r="AJ50" i="7"/>
  <c r="AJ107" i="7" s="1"/>
  <c r="AC57" i="7"/>
  <c r="AC114" i="7" s="1"/>
  <c r="AC95" i="7"/>
  <c r="AB58" i="7"/>
  <c r="AB115" i="7" s="1"/>
  <c r="AB96" i="7"/>
  <c r="AE55" i="7"/>
  <c r="AE112" i="7" s="1"/>
  <c r="AE93" i="7"/>
  <c r="AD38" i="7"/>
  <c r="AD76" i="7"/>
  <c r="AF36" i="7"/>
  <c r="AF74" i="7"/>
  <c r="AI33" i="7"/>
  <c r="AI71" i="7"/>
  <c r="AH34" i="7"/>
  <c r="AH72" i="7"/>
  <c r="AG35" i="7"/>
  <c r="AG73" i="7"/>
  <c r="AJ32" i="7"/>
  <c r="AJ70" i="7"/>
  <c r="Y99" i="7"/>
  <c r="Y61" i="7"/>
  <c r="Y118" i="7" s="1"/>
  <c r="Z98" i="7"/>
  <c r="Z60" i="7"/>
  <c r="Z117" i="7" s="1"/>
  <c r="X100" i="7"/>
  <c r="X62" i="7"/>
  <c r="X119" i="7" s="1"/>
  <c r="AA59" i="7"/>
  <c r="AA116" i="7" s="1"/>
  <c r="AA97" i="7"/>
  <c r="Y43" i="7"/>
  <c r="Y81" i="7"/>
  <c r="Z42" i="7"/>
  <c r="Z80" i="7"/>
  <c r="AA41" i="7"/>
  <c r="AA23" i="7"/>
  <c r="AA80" i="7" s="1"/>
  <c r="AC39" i="7"/>
  <c r="AC21" i="7"/>
  <c r="AC78" i="7" s="1"/>
  <c r="AB40" i="7"/>
  <c r="AB22" i="7"/>
  <c r="AB79" i="7" s="1"/>
  <c r="AE37" i="7"/>
  <c r="AE19" i="7"/>
  <c r="AE76" i="7" s="1"/>
  <c r="AD20" i="7"/>
  <c r="AD77" i="7" s="1"/>
  <c r="AF18" i="7"/>
  <c r="AF75" i="7" s="1"/>
  <c r="AG17" i="7"/>
  <c r="AG74" i="7" s="1"/>
  <c r="AI15" i="7"/>
  <c r="AH16" i="7"/>
  <c r="Z24" i="7"/>
  <c r="AJ14" i="7"/>
  <c r="AD95" i="7" l="1"/>
  <c r="AD57" i="7"/>
  <c r="AD114" i="7" s="1"/>
  <c r="AF93" i="7"/>
  <c r="AF55" i="7"/>
  <c r="AF112" i="7" s="1"/>
  <c r="AI90" i="7"/>
  <c r="AI52" i="7"/>
  <c r="AI109" i="7" s="1"/>
  <c r="AH91" i="7"/>
  <c r="AH53" i="7"/>
  <c r="AH110" i="7" s="1"/>
  <c r="AG92" i="7"/>
  <c r="AG54" i="7"/>
  <c r="AG111" i="7" s="1"/>
  <c r="AJ89" i="7"/>
  <c r="AJ51" i="7"/>
  <c r="AJ108" i="7" s="1"/>
  <c r="AC58" i="7"/>
  <c r="AC115" i="7" s="1"/>
  <c r="AC96" i="7"/>
  <c r="AB59" i="7"/>
  <c r="AB116" i="7" s="1"/>
  <c r="AB97" i="7"/>
  <c r="AE56" i="7"/>
  <c r="AE113" i="7" s="1"/>
  <c r="AE94" i="7"/>
  <c r="AI34" i="7"/>
  <c r="AI72" i="7"/>
  <c r="AH35" i="7"/>
  <c r="AH73" i="7"/>
  <c r="AJ33" i="7"/>
  <c r="AJ71" i="7"/>
  <c r="Y100" i="7"/>
  <c r="Y62" i="7"/>
  <c r="Y119" i="7" s="1"/>
  <c r="Z99" i="7"/>
  <c r="Z61" i="7"/>
  <c r="Z118" i="7" s="1"/>
  <c r="AA60" i="7"/>
  <c r="AA117" i="7" s="1"/>
  <c r="AA98" i="7"/>
  <c r="Z43" i="7"/>
  <c r="Z81" i="7"/>
  <c r="AA42" i="7"/>
  <c r="AA24" i="7"/>
  <c r="AC40" i="7"/>
  <c r="AC22" i="7"/>
  <c r="AC79" i="7" s="1"/>
  <c r="AB41" i="7"/>
  <c r="AB23" i="7"/>
  <c r="AB80" i="7" s="1"/>
  <c r="AG36" i="7"/>
  <c r="AG18" i="7"/>
  <c r="AG75" i="7" s="1"/>
  <c r="AE38" i="7"/>
  <c r="AE20" i="7"/>
  <c r="AE77" i="7" s="1"/>
  <c r="AD21" i="7"/>
  <c r="AD78" i="7" s="1"/>
  <c r="AD39" i="7"/>
  <c r="AF19" i="7"/>
  <c r="AF76" i="7" s="1"/>
  <c r="AF37" i="7"/>
  <c r="AI16" i="7"/>
  <c r="AH17" i="7"/>
  <c r="AJ15" i="7"/>
  <c r="AI91" i="7" l="1"/>
  <c r="AI53" i="7"/>
  <c r="AI110" i="7" s="1"/>
  <c r="AH92" i="7"/>
  <c r="AH54" i="7"/>
  <c r="AH111" i="7" s="1"/>
  <c r="AJ90" i="7"/>
  <c r="AJ52" i="7"/>
  <c r="AJ109" i="7" s="1"/>
  <c r="AC59" i="7"/>
  <c r="AC116" i="7" s="1"/>
  <c r="AC97" i="7"/>
  <c r="AB60" i="7"/>
  <c r="AB117" i="7" s="1"/>
  <c r="AB98" i="7"/>
  <c r="AG55" i="7"/>
  <c r="AG112" i="7" s="1"/>
  <c r="AG93" i="7"/>
  <c r="AE57" i="7"/>
  <c r="AE114" i="7" s="1"/>
  <c r="AE95" i="7"/>
  <c r="AD58" i="7"/>
  <c r="AD115" i="7" s="1"/>
  <c r="AD96" i="7"/>
  <c r="AF56" i="7"/>
  <c r="AF113" i="7" s="1"/>
  <c r="AF94" i="7"/>
  <c r="AI35" i="7"/>
  <c r="AI73" i="7"/>
  <c r="AH36" i="7"/>
  <c r="AH74" i="7"/>
  <c r="AJ34" i="7"/>
  <c r="AJ72" i="7"/>
  <c r="Z100" i="7"/>
  <c r="Z62" i="7"/>
  <c r="Z119" i="7" s="1"/>
  <c r="AA61" i="7"/>
  <c r="AA118" i="7" s="1"/>
  <c r="AA99" i="7"/>
  <c r="AA43" i="7"/>
  <c r="AA81" i="7"/>
  <c r="AB42" i="7"/>
  <c r="AB24" i="7"/>
  <c r="AG37" i="7"/>
  <c r="AG19" i="7"/>
  <c r="AG76" i="7" s="1"/>
  <c r="AC41" i="7"/>
  <c r="AC23" i="7"/>
  <c r="AC80" i="7" s="1"/>
  <c r="AE39" i="7"/>
  <c r="AE21" i="7"/>
  <c r="AE78" i="7" s="1"/>
  <c r="AD40" i="7"/>
  <c r="AD22" i="7"/>
  <c r="AD79" i="7" s="1"/>
  <c r="AF38" i="7"/>
  <c r="AF20" i="7"/>
  <c r="AF77" i="7" s="1"/>
  <c r="AI17" i="7"/>
  <c r="AH18" i="7"/>
  <c r="AJ16" i="7"/>
  <c r="AI92" i="7" l="1"/>
  <c r="AI54" i="7"/>
  <c r="AI111" i="7" s="1"/>
  <c r="AH93" i="7"/>
  <c r="AH55" i="7"/>
  <c r="AH112" i="7" s="1"/>
  <c r="AJ91" i="7"/>
  <c r="AJ53" i="7"/>
  <c r="AJ110" i="7" s="1"/>
  <c r="AB61" i="7"/>
  <c r="AB118" i="7" s="1"/>
  <c r="AB99" i="7"/>
  <c r="AB43" i="7"/>
  <c r="AB81" i="7"/>
  <c r="AG56" i="7"/>
  <c r="AG113" i="7" s="1"/>
  <c r="AG94" i="7"/>
  <c r="AC60" i="7"/>
  <c r="AC117" i="7" s="1"/>
  <c r="AC98" i="7"/>
  <c r="AE58" i="7"/>
  <c r="AE115" i="7" s="1"/>
  <c r="AE96" i="7"/>
  <c r="AD59" i="7"/>
  <c r="AD116" i="7" s="1"/>
  <c r="AD97" i="7"/>
  <c r="AF57" i="7"/>
  <c r="AF114" i="7" s="1"/>
  <c r="AF95" i="7"/>
  <c r="AI36" i="7"/>
  <c r="AI74" i="7"/>
  <c r="AH37" i="7"/>
  <c r="AH75" i="7"/>
  <c r="AJ35" i="7"/>
  <c r="AJ73" i="7"/>
  <c r="AA100" i="7"/>
  <c r="AA62" i="7"/>
  <c r="AA119" i="7" s="1"/>
  <c r="AG38" i="7"/>
  <c r="AG20" i="7"/>
  <c r="AG77" i="7" s="1"/>
  <c r="AC42" i="7"/>
  <c r="AC24" i="7"/>
  <c r="AE40" i="7"/>
  <c r="AE22" i="7"/>
  <c r="AE79" i="7" s="1"/>
  <c r="AD41" i="7"/>
  <c r="AD23" i="7"/>
  <c r="AD80" i="7" s="1"/>
  <c r="AF39" i="7"/>
  <c r="AF21" i="7"/>
  <c r="AF78" i="7" s="1"/>
  <c r="AI18" i="7"/>
  <c r="AH19" i="7"/>
  <c r="AJ17" i="7"/>
  <c r="AB100" i="7" l="1"/>
  <c r="AB62" i="7"/>
  <c r="AB119" i="7" s="1"/>
  <c r="AI93" i="7"/>
  <c r="AI55" i="7"/>
  <c r="AI112" i="7" s="1"/>
  <c r="AH94" i="7"/>
  <c r="AH56" i="7"/>
  <c r="AH113" i="7" s="1"/>
  <c r="AJ92" i="7"/>
  <c r="AJ54" i="7"/>
  <c r="AJ111" i="7" s="1"/>
  <c r="AG57" i="7"/>
  <c r="AG114" i="7" s="1"/>
  <c r="AG95" i="7"/>
  <c r="AC61" i="7"/>
  <c r="AC118" i="7" s="1"/>
  <c r="AC99" i="7"/>
  <c r="AC43" i="7"/>
  <c r="AC81" i="7"/>
  <c r="AE59" i="7"/>
  <c r="AE116" i="7" s="1"/>
  <c r="AE97" i="7"/>
  <c r="AD60" i="7"/>
  <c r="AD117" i="7" s="1"/>
  <c r="AD98" i="7"/>
  <c r="AF58" i="7"/>
  <c r="AF115" i="7" s="1"/>
  <c r="AF96" i="7"/>
  <c r="AI37" i="7"/>
  <c r="AI75" i="7"/>
  <c r="AH38" i="7"/>
  <c r="AH76" i="7"/>
  <c r="AJ36" i="7"/>
  <c r="AJ74" i="7"/>
  <c r="AG39" i="7"/>
  <c r="AG21" i="7"/>
  <c r="AG78" i="7" s="1"/>
  <c r="AE41" i="7"/>
  <c r="AE23" i="7"/>
  <c r="AE80" i="7" s="1"/>
  <c r="AD42" i="7"/>
  <c r="AD24" i="7"/>
  <c r="AF40" i="7"/>
  <c r="AF22" i="7"/>
  <c r="AF79" i="7" s="1"/>
  <c r="AI19" i="7"/>
  <c r="AH20" i="7"/>
  <c r="AJ18" i="7"/>
  <c r="AC100" i="7" l="1"/>
  <c r="AC62" i="7"/>
  <c r="AC119" i="7" s="1"/>
  <c r="AI94" i="7"/>
  <c r="AI56" i="7"/>
  <c r="AI113" i="7" s="1"/>
  <c r="AH95" i="7"/>
  <c r="AH57" i="7"/>
  <c r="AH114" i="7" s="1"/>
  <c r="AJ93" i="7"/>
  <c r="AJ55" i="7"/>
  <c r="AJ112" i="7" s="1"/>
  <c r="AG58" i="7"/>
  <c r="AG115" i="7" s="1"/>
  <c r="AG96" i="7"/>
  <c r="AE60" i="7"/>
  <c r="AE117" i="7" s="1"/>
  <c r="AE98" i="7"/>
  <c r="AD61" i="7"/>
  <c r="AD118" i="7" s="1"/>
  <c r="AD99" i="7"/>
  <c r="AD43" i="7"/>
  <c r="AD81" i="7"/>
  <c r="AF59" i="7"/>
  <c r="AF116" i="7" s="1"/>
  <c r="AF97" i="7"/>
  <c r="AI38" i="7"/>
  <c r="AI76" i="7"/>
  <c r="AH39" i="7"/>
  <c r="AH77" i="7"/>
  <c r="AJ37" i="7"/>
  <c r="AJ75" i="7"/>
  <c r="AG40" i="7"/>
  <c r="AG22" i="7"/>
  <c r="AG79" i="7" s="1"/>
  <c r="AE42" i="7"/>
  <c r="AE24" i="7"/>
  <c r="AF41" i="7"/>
  <c r="AF23" i="7"/>
  <c r="AF80" i="7" s="1"/>
  <c r="AI20" i="7"/>
  <c r="AH21" i="7"/>
  <c r="AJ19" i="7"/>
  <c r="AD100" i="7" l="1"/>
  <c r="AD62" i="7"/>
  <c r="AD119" i="7" s="1"/>
  <c r="AI95" i="7"/>
  <c r="AI57" i="7"/>
  <c r="AI114" i="7" s="1"/>
  <c r="AH96" i="7"/>
  <c r="AH58" i="7"/>
  <c r="AH115" i="7" s="1"/>
  <c r="AJ94" i="7"/>
  <c r="AJ56" i="7"/>
  <c r="AJ113" i="7" s="1"/>
  <c r="AG59" i="7"/>
  <c r="AG116" i="7" s="1"/>
  <c r="AG97" i="7"/>
  <c r="AE61" i="7"/>
  <c r="AE118" i="7" s="1"/>
  <c r="AE99" i="7"/>
  <c r="AE43" i="7"/>
  <c r="AE81" i="7"/>
  <c r="AF60" i="7"/>
  <c r="AF117" i="7" s="1"/>
  <c r="AF98" i="7"/>
  <c r="AI39" i="7"/>
  <c r="AI77" i="7"/>
  <c r="AH40" i="7"/>
  <c r="AH78" i="7"/>
  <c r="AJ38" i="7"/>
  <c r="AJ76" i="7"/>
  <c r="AG41" i="7"/>
  <c r="AG23" i="7"/>
  <c r="AG80" i="7" s="1"/>
  <c r="AF42" i="7"/>
  <c r="AF24" i="7"/>
  <c r="AI21" i="7"/>
  <c r="AH22" i="7"/>
  <c r="AH79" i="7" s="1"/>
  <c r="AJ20" i="7"/>
  <c r="AE100" i="7" l="1"/>
  <c r="AE62" i="7"/>
  <c r="AE119" i="7" s="1"/>
  <c r="AI96" i="7"/>
  <c r="AI58" i="7"/>
  <c r="AI115" i="7" s="1"/>
  <c r="AH97" i="7"/>
  <c r="AH59" i="7"/>
  <c r="AH116" i="7" s="1"/>
  <c r="AJ95" i="7"/>
  <c r="AJ57" i="7"/>
  <c r="AJ114" i="7" s="1"/>
  <c r="AG60" i="7"/>
  <c r="AG117" i="7" s="1"/>
  <c r="AG98" i="7"/>
  <c r="AF61" i="7"/>
  <c r="AF118" i="7" s="1"/>
  <c r="AF99" i="7"/>
  <c r="AF43" i="7"/>
  <c r="AF81" i="7"/>
  <c r="AI40" i="7"/>
  <c r="AI78" i="7"/>
  <c r="AJ39" i="7"/>
  <c r="AJ77" i="7"/>
  <c r="AG42" i="7"/>
  <c r="AG24" i="7"/>
  <c r="AH23" i="7"/>
  <c r="AH80" i="7" s="1"/>
  <c r="AH41" i="7"/>
  <c r="AI22" i="7"/>
  <c r="AI79" i="7" s="1"/>
  <c r="AJ21" i="7"/>
  <c r="AF100" i="7" l="1"/>
  <c r="AF62" i="7"/>
  <c r="AF119" i="7" s="1"/>
  <c r="AI97" i="7"/>
  <c r="AI59" i="7"/>
  <c r="AI116" i="7" s="1"/>
  <c r="AJ96" i="7"/>
  <c r="AJ58" i="7"/>
  <c r="AJ115" i="7" s="1"/>
  <c r="AG61" i="7"/>
  <c r="AG118" i="7" s="1"/>
  <c r="AG99" i="7"/>
  <c r="AG43" i="7"/>
  <c r="AG81" i="7"/>
  <c r="AH60" i="7"/>
  <c r="AH117" i="7" s="1"/>
  <c r="AH98" i="7"/>
  <c r="AJ40" i="7"/>
  <c r="AJ78" i="7"/>
  <c r="AH42" i="7"/>
  <c r="AH24" i="7"/>
  <c r="AI23" i="7"/>
  <c r="AI80" i="7" s="1"/>
  <c r="AI41" i="7"/>
  <c r="AJ22" i="7"/>
  <c r="AG100" i="7" l="1"/>
  <c r="AG62" i="7"/>
  <c r="AG119" i="7" s="1"/>
  <c r="AJ97" i="7"/>
  <c r="AJ59" i="7"/>
  <c r="AJ116" i="7" s="1"/>
  <c r="AH61" i="7"/>
  <c r="AH118" i="7" s="1"/>
  <c r="AH99" i="7"/>
  <c r="AH43" i="7"/>
  <c r="AH81" i="7"/>
  <c r="AI60" i="7"/>
  <c r="AI117" i="7" s="1"/>
  <c r="AI98" i="7"/>
  <c r="AJ41" i="7"/>
  <c r="AJ79" i="7"/>
  <c r="AI42" i="7"/>
  <c r="AI24" i="7"/>
  <c r="AJ23" i="7"/>
  <c r="AH100" i="7" l="1"/>
  <c r="AH62" i="7"/>
  <c r="AH119" i="7" s="1"/>
  <c r="AJ98" i="7"/>
  <c r="AJ60" i="7"/>
  <c r="AJ117" i="7" s="1"/>
  <c r="AI61" i="7"/>
  <c r="AI118" i="7" s="1"/>
  <c r="AI99" i="7"/>
  <c r="AI43" i="7"/>
  <c r="AI81" i="7"/>
  <c r="AJ42" i="7"/>
  <c r="AJ80" i="7"/>
  <c r="AJ24" i="7"/>
  <c r="AI100" i="7" l="1"/>
  <c r="AI62" i="7"/>
  <c r="AI119" i="7" s="1"/>
  <c r="AJ99" i="7"/>
  <c r="AJ61" i="7"/>
  <c r="AJ118" i="7" s="1"/>
  <c r="AJ43" i="7"/>
  <c r="AJ81" i="7"/>
  <c r="AJ100" i="7" l="1"/>
  <c r="AJ62" i="7"/>
  <c r="AJ119" i="7" s="1"/>
</calcChain>
</file>

<file path=xl/sharedStrings.xml><?xml version="1.0" encoding="utf-8"?>
<sst xmlns="http://schemas.openxmlformats.org/spreadsheetml/2006/main" count="442" uniqueCount="91">
  <si>
    <t>Time step in months</t>
  </si>
  <si>
    <t>Time step</t>
  </si>
  <si>
    <t>Calculator Required Fields</t>
  </si>
  <si>
    <t>Simulation Basis Fields</t>
  </si>
  <si>
    <t>Obligor_RCT</t>
  </si>
  <si>
    <t>Rating_origination_obligor_FC</t>
  </si>
  <si>
    <t>Rating_origination_obligor_LC</t>
  </si>
  <si>
    <t>Rating_obligor_FC</t>
  </si>
  <si>
    <t>Rating_obligor_LC</t>
  </si>
  <si>
    <t>Calculation_Rating</t>
  </si>
  <si>
    <t>Contract_id</t>
  </si>
  <si>
    <t>Operation_id</t>
  </si>
  <si>
    <t>Tranch_bearer_RCT</t>
  </si>
  <si>
    <t>Tranche_type</t>
  </si>
  <si>
    <t>IFRS9_Stage</t>
  </si>
  <si>
    <t>Origin_bucket</t>
  </si>
  <si>
    <t>Exposure_start_date</t>
  </si>
  <si>
    <t>Exposure_end_date</t>
  </si>
  <si>
    <t>Contractual_client_rate</t>
  </si>
  <si>
    <t>IFRS9_PD_Model_Before_CRM</t>
  </si>
  <si>
    <t>IFRS9_PD_Model_After_CRM</t>
  </si>
  <si>
    <t>IFRS9_LGD_Model_Before_CRM</t>
  </si>
  <si>
    <t>IFRS9_LGD_Model_After_CRM</t>
  </si>
  <si>
    <t>Amortization_type</t>
  </si>
  <si>
    <t>Provisioning_basis</t>
  </si>
  <si>
    <t>Accounting_type</t>
  </si>
  <si>
    <t>As_of_date</t>
  </si>
  <si>
    <t>Inital_currency</t>
  </si>
  <si>
    <t>Product_code</t>
  </si>
  <si>
    <t>CCF</t>
  </si>
  <si>
    <t>Format</t>
  </si>
  <si>
    <t>Meaning</t>
  </si>
  <si>
    <t>IFRS9_Bucket</t>
  </si>
  <si>
    <t>IFRS9_Bucket_Reason</t>
  </si>
  <si>
    <t>SEGMENT</t>
  </si>
  <si>
    <t>SCENARIO</t>
  </si>
  <si>
    <t>RATING</t>
  </si>
  <si>
    <t>TIME_STEP_1</t>
  </si>
  <si>
    <t>TIME_STEP_2</t>
  </si>
  <si>
    <t>TIME_STEP_3</t>
  </si>
  <si>
    <t>TIME_STEP_4</t>
  </si>
  <si>
    <t>TIME_STEP_5</t>
  </si>
  <si>
    <t>TIME_STEP_6</t>
  </si>
  <si>
    <t>TIME_STEP_7</t>
  </si>
  <si>
    <t>TIME_STEP_8</t>
  </si>
  <si>
    <t>TIME_STEP_9</t>
  </si>
  <si>
    <t>TIME_STEP_10</t>
  </si>
  <si>
    <t>TIME_STEP_11</t>
  </si>
  <si>
    <t>TIME_STEP_12</t>
  </si>
  <si>
    <t>TIME_STEP_13</t>
  </si>
  <si>
    <t>TIME_STEP_14</t>
  </si>
  <si>
    <t>TIME_STEP_15</t>
  </si>
  <si>
    <t>TIME_STEP_16</t>
  </si>
  <si>
    <t>TIME_STEP_17</t>
  </si>
  <si>
    <t>TIME_STEP_18</t>
  </si>
  <si>
    <t>TIME_STEP_19</t>
  </si>
  <si>
    <t>TIME_STEP_20</t>
  </si>
  <si>
    <t>TIME_STEP_21</t>
  </si>
  <si>
    <t>TIME_STEP_22</t>
  </si>
  <si>
    <t>TIME_STEP_23</t>
  </si>
  <si>
    <t>TIME_STEP_24</t>
  </si>
  <si>
    <t>TIME_STEP_25</t>
  </si>
  <si>
    <t>TIME_STEP_26</t>
  </si>
  <si>
    <t>TIME_STEP_27</t>
  </si>
  <si>
    <t>TIME_STEP_28</t>
  </si>
  <si>
    <t>TIME_STEP_29</t>
  </si>
  <si>
    <t>TIME_STEP_30</t>
  </si>
  <si>
    <t>TIME_STEP_31</t>
  </si>
  <si>
    <t>TIME_STEP_32</t>
  </si>
  <si>
    <t>TIME_STEP_33</t>
  </si>
  <si>
    <t>CENTRAL</t>
  </si>
  <si>
    <t>STRESS</t>
  </si>
  <si>
    <t>A3B</t>
  </si>
  <si>
    <t>2+</t>
  </si>
  <si>
    <t>2-</t>
  </si>
  <si>
    <t>3+</t>
  </si>
  <si>
    <t>3-</t>
  </si>
  <si>
    <t>4+</t>
  </si>
  <si>
    <t>4-</t>
  </si>
  <si>
    <t>5+</t>
  </si>
  <si>
    <t>5-</t>
  </si>
  <si>
    <t>6+</t>
  </si>
  <si>
    <t>6-</t>
  </si>
  <si>
    <t>7+</t>
  </si>
  <si>
    <t>7-</t>
  </si>
  <si>
    <t>OPTIMISTE</t>
  </si>
  <si>
    <t>A4B</t>
  </si>
  <si>
    <t>IFRS9_MODEL_CODE</t>
  </si>
  <si>
    <t>LGD_RATE_WITHOUT_TIME</t>
  </si>
  <si>
    <t>MA9</t>
  </si>
  <si>
    <t>QA0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</si>
</sst>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Font="1" applyAlignment="1">
      <alignment wrapText="1"/>
    </xf>
    <xf numFmtId="0" fontId="2" fillId="0" borderId="0" xfId="0" applyFont="1"/>
    <xf numFmtId="166" fontId="0" fillId="0" borderId="0" xfId="0" applyNumberFormat="1"/>
    <xf numFmtId="0" fontId="0" fillId="0" borderId="0" xfId="0" applyAlignment="1">
      <alignment horizontal="center"/>
    </xf>
    <xf numFmtId="9" fontId="0" fillId="0" borderId="0" xfId="0" applyNumberFormat="1"/>
    <xf numFmtId="9" fontId="0" fillId="0" borderId="0" xfId="1" applyFont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B49E1-0FC5-41C0-B397-C40A773797BF}">
  <dimension ref="A1:D27"/>
  <sheetViews>
    <sheetView topLeftCell="A2" workbookViewId="0">
      <selection activeCell="F15" sqref="F15"/>
    </sheetView>
  </sheetViews>
  <sheetFormatPr baseColWidth="10" defaultRowHeight="14.5" x14ac:dyDescent="0.35"/>
  <cols>
    <col min="1" max="2" width="26.36328125" bestFit="1" customWidth="1"/>
  </cols>
  <sheetData>
    <row r="1" spans="1:4" x14ac:dyDescent="0.35">
      <c r="A1" s="2" t="s">
        <v>2</v>
      </c>
      <c r="B1" s="2" t="s">
        <v>3</v>
      </c>
      <c r="C1" s="2" t="s">
        <v>30</v>
      </c>
      <c r="D1" s="2" t="s">
        <v>31</v>
      </c>
    </row>
    <row r="2" spans="1:4" x14ac:dyDescent="0.35">
      <c r="A2" s="1" t="s">
        <v>4</v>
      </c>
      <c r="B2" t="s">
        <v>4</v>
      </c>
    </row>
    <row r="3" spans="1:4" x14ac:dyDescent="0.35">
      <c r="A3" s="1" t="s">
        <v>5</v>
      </c>
      <c r="B3" s="1" t="s">
        <v>5</v>
      </c>
    </row>
    <row r="4" spans="1:4" x14ac:dyDescent="0.35">
      <c r="A4" s="1" t="s">
        <v>6</v>
      </c>
      <c r="B4" s="1" t="s">
        <v>6</v>
      </c>
    </row>
    <row r="5" spans="1:4" x14ac:dyDescent="0.35">
      <c r="A5" s="1" t="s">
        <v>7</v>
      </c>
      <c r="B5" s="1" t="s">
        <v>7</v>
      </c>
    </row>
    <row r="6" spans="1:4" x14ac:dyDescent="0.35">
      <c r="A6" s="1" t="s">
        <v>8</v>
      </c>
      <c r="B6" s="1" t="s">
        <v>8</v>
      </c>
    </row>
    <row r="7" spans="1:4" x14ac:dyDescent="0.35">
      <c r="A7" s="1" t="s">
        <v>9</v>
      </c>
      <c r="B7" s="1" t="s">
        <v>9</v>
      </c>
    </row>
    <row r="8" spans="1:4" x14ac:dyDescent="0.35">
      <c r="A8" s="1" t="s">
        <v>10</v>
      </c>
      <c r="B8" s="1" t="s">
        <v>10</v>
      </c>
    </row>
    <row r="9" spans="1:4" x14ac:dyDescent="0.35">
      <c r="A9" s="1" t="s">
        <v>11</v>
      </c>
      <c r="B9" s="1" t="s">
        <v>11</v>
      </c>
    </row>
    <row r="10" spans="1:4" x14ac:dyDescent="0.35">
      <c r="A10" s="1" t="s">
        <v>12</v>
      </c>
      <c r="B10" s="1" t="s">
        <v>12</v>
      </c>
    </row>
    <row r="11" spans="1:4" x14ac:dyDescent="0.35">
      <c r="A11" s="1" t="s">
        <v>13</v>
      </c>
      <c r="B11" s="1" t="s">
        <v>13</v>
      </c>
    </row>
    <row r="12" spans="1:4" x14ac:dyDescent="0.35">
      <c r="A12" s="1" t="s">
        <v>32</v>
      </c>
      <c r="B12" s="1" t="s">
        <v>14</v>
      </c>
    </row>
    <row r="13" spans="1:4" x14ac:dyDescent="0.35">
      <c r="A13" s="1" t="s">
        <v>33</v>
      </c>
      <c r="B13" s="1" t="s">
        <v>15</v>
      </c>
    </row>
    <row r="14" spans="1:4" x14ac:dyDescent="0.35">
      <c r="A14" s="1" t="s">
        <v>16</v>
      </c>
      <c r="B14" s="1" t="s">
        <v>16</v>
      </c>
    </row>
    <row r="15" spans="1:4" x14ac:dyDescent="0.35">
      <c r="A15" s="1" t="s">
        <v>17</v>
      </c>
      <c r="B15" s="1" t="s">
        <v>17</v>
      </c>
    </row>
    <row r="16" spans="1:4" x14ac:dyDescent="0.35">
      <c r="A16" s="1" t="s">
        <v>18</v>
      </c>
      <c r="B16" s="1" t="s">
        <v>18</v>
      </c>
    </row>
    <row r="17" spans="1:2" x14ac:dyDescent="0.35">
      <c r="A17" s="1" t="s">
        <v>19</v>
      </c>
      <c r="B17" s="1" t="s">
        <v>19</v>
      </c>
    </row>
    <row r="18" spans="1:2" x14ac:dyDescent="0.35">
      <c r="A18" s="1" t="s">
        <v>20</v>
      </c>
      <c r="B18" s="1" t="s">
        <v>20</v>
      </c>
    </row>
    <row r="19" spans="1:2" x14ac:dyDescent="0.35">
      <c r="A19" s="1" t="s">
        <v>21</v>
      </c>
      <c r="B19" s="1" t="s">
        <v>21</v>
      </c>
    </row>
    <row r="20" spans="1:2" x14ac:dyDescent="0.35">
      <c r="A20" s="1" t="s">
        <v>22</v>
      </c>
      <c r="B20" s="1" t="s">
        <v>22</v>
      </c>
    </row>
    <row r="21" spans="1:2" x14ac:dyDescent="0.35">
      <c r="A21" s="1" t="s">
        <v>23</v>
      </c>
      <c r="B21" s="1" t="s">
        <v>23</v>
      </c>
    </row>
    <row r="22" spans="1:2" x14ac:dyDescent="0.35">
      <c r="A22" s="1" t="s">
        <v>24</v>
      </c>
      <c r="B22" s="1" t="s">
        <v>24</v>
      </c>
    </row>
    <row r="23" spans="1:2" x14ac:dyDescent="0.35">
      <c r="A23" s="1" t="s">
        <v>25</v>
      </c>
      <c r="B23" s="1" t="s">
        <v>25</v>
      </c>
    </row>
    <row r="24" spans="1:2" x14ac:dyDescent="0.35">
      <c r="A24" s="1" t="s">
        <v>26</v>
      </c>
      <c r="B24" s="1" t="s">
        <v>26</v>
      </c>
    </row>
    <row r="25" spans="1:2" x14ac:dyDescent="0.35">
      <c r="A25" s="1" t="s">
        <v>27</v>
      </c>
      <c r="B25" s="1" t="s">
        <v>27</v>
      </c>
    </row>
    <row r="26" spans="1:2" x14ac:dyDescent="0.35">
      <c r="A26" s="1" t="s">
        <v>28</v>
      </c>
      <c r="B26" s="1" t="s">
        <v>28</v>
      </c>
    </row>
    <row r="27" spans="1:2" x14ac:dyDescent="0.35">
      <c r="A27" s="1" t="s">
        <v>29</v>
      </c>
      <c r="B27" s="1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25E5D-1297-4E68-85CF-67EEE28A6AE9}">
  <dimension ref="A1:B34"/>
  <sheetViews>
    <sheetView workbookViewId="0">
      <selection activeCell="D14" sqref="D14"/>
    </sheetView>
  </sheetViews>
  <sheetFormatPr baseColWidth="10" defaultRowHeight="14.5" x14ac:dyDescent="0.35"/>
  <cols>
    <col min="2" max="2" width="17" bestFit="1" customWidth="1"/>
  </cols>
  <sheetData>
    <row r="1" spans="1:2" x14ac:dyDescent="0.35">
      <c r="A1" t="s">
        <v>1</v>
      </c>
      <c r="B1" t="s">
        <v>0</v>
      </c>
    </row>
    <row r="2" spans="1:2" x14ac:dyDescent="0.35">
      <c r="A2">
        <v>1</v>
      </c>
      <c r="B2">
        <v>3</v>
      </c>
    </row>
    <row r="3" spans="1:2" x14ac:dyDescent="0.35">
      <c r="A3">
        <v>2</v>
      </c>
      <c r="B3">
        <v>6</v>
      </c>
    </row>
    <row r="4" spans="1:2" x14ac:dyDescent="0.35">
      <c r="A4">
        <v>3</v>
      </c>
      <c r="B4">
        <v>9</v>
      </c>
    </row>
    <row r="5" spans="1:2" x14ac:dyDescent="0.35">
      <c r="A5">
        <v>4</v>
      </c>
      <c r="B5">
        <v>12</v>
      </c>
    </row>
    <row r="6" spans="1:2" x14ac:dyDescent="0.35">
      <c r="A6">
        <v>5</v>
      </c>
      <c r="B6">
        <v>15</v>
      </c>
    </row>
    <row r="7" spans="1:2" x14ac:dyDescent="0.35">
      <c r="A7">
        <v>6</v>
      </c>
      <c r="B7">
        <v>18</v>
      </c>
    </row>
    <row r="8" spans="1:2" x14ac:dyDescent="0.35">
      <c r="A8">
        <v>7</v>
      </c>
      <c r="B8">
        <v>21</v>
      </c>
    </row>
    <row r="9" spans="1:2" x14ac:dyDescent="0.35">
      <c r="A9">
        <v>8</v>
      </c>
      <c r="B9">
        <v>24</v>
      </c>
    </row>
    <row r="10" spans="1:2" x14ac:dyDescent="0.35">
      <c r="A10">
        <v>9</v>
      </c>
      <c r="B10">
        <v>27</v>
      </c>
    </row>
    <row r="11" spans="1:2" x14ac:dyDescent="0.35">
      <c r="A11">
        <v>10</v>
      </c>
      <c r="B11">
        <v>30</v>
      </c>
    </row>
    <row r="12" spans="1:2" x14ac:dyDescent="0.35">
      <c r="A12">
        <v>11</v>
      </c>
      <c r="B12">
        <v>33</v>
      </c>
    </row>
    <row r="13" spans="1:2" x14ac:dyDescent="0.35">
      <c r="A13">
        <v>12</v>
      </c>
      <c r="B13">
        <v>36</v>
      </c>
    </row>
    <row r="14" spans="1:2" x14ac:dyDescent="0.35">
      <c r="A14">
        <v>13</v>
      </c>
      <c r="B14">
        <v>39</v>
      </c>
    </row>
    <row r="15" spans="1:2" x14ac:dyDescent="0.35">
      <c r="A15">
        <v>14</v>
      </c>
      <c r="B15">
        <v>42</v>
      </c>
    </row>
    <row r="16" spans="1:2" x14ac:dyDescent="0.35">
      <c r="A16">
        <v>15</v>
      </c>
      <c r="B16">
        <v>45</v>
      </c>
    </row>
    <row r="17" spans="1:2" x14ac:dyDescent="0.35">
      <c r="A17">
        <v>16</v>
      </c>
      <c r="B17">
        <v>48</v>
      </c>
    </row>
    <row r="18" spans="1:2" x14ac:dyDescent="0.35">
      <c r="A18">
        <v>17</v>
      </c>
      <c r="B18">
        <v>51</v>
      </c>
    </row>
    <row r="19" spans="1:2" x14ac:dyDescent="0.35">
      <c r="A19">
        <v>18</v>
      </c>
      <c r="B19">
        <v>54</v>
      </c>
    </row>
    <row r="20" spans="1:2" x14ac:dyDescent="0.35">
      <c r="A20">
        <v>19</v>
      </c>
      <c r="B20">
        <v>57</v>
      </c>
    </row>
    <row r="21" spans="1:2" x14ac:dyDescent="0.35">
      <c r="A21">
        <v>20</v>
      </c>
      <c r="B21">
        <v>60</v>
      </c>
    </row>
    <row r="22" spans="1:2" x14ac:dyDescent="0.35">
      <c r="A22">
        <v>21</v>
      </c>
      <c r="B22">
        <v>72</v>
      </c>
    </row>
    <row r="23" spans="1:2" x14ac:dyDescent="0.35">
      <c r="A23">
        <v>22</v>
      </c>
      <c r="B23">
        <v>84</v>
      </c>
    </row>
    <row r="24" spans="1:2" x14ac:dyDescent="0.35">
      <c r="A24">
        <v>23</v>
      </c>
      <c r="B24">
        <v>96</v>
      </c>
    </row>
    <row r="25" spans="1:2" x14ac:dyDescent="0.35">
      <c r="A25">
        <v>24</v>
      </c>
      <c r="B25">
        <v>108</v>
      </c>
    </row>
    <row r="26" spans="1:2" x14ac:dyDescent="0.35">
      <c r="A26">
        <v>25</v>
      </c>
      <c r="B26">
        <v>120</v>
      </c>
    </row>
    <row r="27" spans="1:2" x14ac:dyDescent="0.35">
      <c r="A27">
        <v>26</v>
      </c>
      <c r="B27">
        <v>132</v>
      </c>
    </row>
    <row r="28" spans="1:2" x14ac:dyDescent="0.35">
      <c r="A28">
        <v>27</v>
      </c>
      <c r="B28">
        <v>144</v>
      </c>
    </row>
    <row r="29" spans="1:2" x14ac:dyDescent="0.35">
      <c r="A29">
        <v>28</v>
      </c>
      <c r="B29">
        <v>156</v>
      </c>
    </row>
    <row r="30" spans="1:2" x14ac:dyDescent="0.35">
      <c r="A30">
        <v>29</v>
      </c>
      <c r="B30">
        <v>168</v>
      </c>
    </row>
    <row r="31" spans="1:2" x14ac:dyDescent="0.35">
      <c r="A31">
        <v>30</v>
      </c>
      <c r="B31">
        <v>180</v>
      </c>
    </row>
    <row r="32" spans="1:2" x14ac:dyDescent="0.35">
      <c r="A32">
        <v>31</v>
      </c>
      <c r="B32">
        <v>240</v>
      </c>
    </row>
    <row r="33" spans="1:2" x14ac:dyDescent="0.35">
      <c r="A33">
        <v>32</v>
      </c>
      <c r="B33">
        <v>300</v>
      </c>
    </row>
    <row r="34" spans="1:2" x14ac:dyDescent="0.35">
      <c r="A34">
        <v>33</v>
      </c>
      <c r="B34">
        <v>360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B9B9B-0962-4DD2-BFB0-C7E90BB49F89}"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BF258-023F-432F-92B8-CB6B5D2308B2}"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0DBC-61FD-4AC7-A877-EF2456F30552}">
  <dimension ref="A1"/>
  <sheetViews>
    <sheetView topLeftCell="AC1" workbookViewId="0"/>
  </sheetViews>
  <sheetFormatPr baseColWidth="10"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21D9E-1E04-4A7A-96C3-2CCFB875498C}">
  <dimension ref="A1"/>
  <sheetViews>
    <sheetView workbookViewId="0">
      <selection activeCell="I15" sqref="I15"/>
    </sheetView>
  </sheetViews>
  <sheetFormatPr baseColWidth="10"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2B52A-E92F-4863-88CA-A857170A8CE2}">
  <dimension ref="A3:AJ119"/>
  <sheetViews>
    <sheetView topLeftCell="A22" zoomScale="70" zoomScaleNormal="70" workbookViewId="0">
      <selection activeCell="N64" sqref="N64"/>
    </sheetView>
  </sheetViews>
  <sheetFormatPr baseColWidth="10" defaultRowHeight="14.5" x14ac:dyDescent="0.35"/>
  <cols>
    <col min="35" max="36" width="12.26953125" bestFit="1" customWidth="1"/>
  </cols>
  <sheetData>
    <row r="3" spans="1:36" x14ac:dyDescent="0.35">
      <c r="C3">
        <v>8.9999999999999998E-4</v>
      </c>
      <c r="D3">
        <v>1E-3</v>
      </c>
      <c r="E3">
        <v>3.0000000000000001E-3</v>
      </c>
      <c r="F3">
        <v>5.0000000000000001E-3</v>
      </c>
      <c r="G3">
        <v>7.0000000000000001E-3</v>
      </c>
      <c r="H3">
        <v>8.9999999999999993E-3</v>
      </c>
      <c r="I3">
        <v>1.0999999999999999E-2</v>
      </c>
      <c r="J3">
        <v>1.2999999999999999E-2</v>
      </c>
      <c r="K3">
        <v>1.4999999999999999E-2</v>
      </c>
      <c r="L3">
        <v>1.7000000000000001E-2</v>
      </c>
      <c r="M3">
        <v>1.9E-2</v>
      </c>
      <c r="N3">
        <v>2.1000000000000001E-2</v>
      </c>
      <c r="O3">
        <v>2.3E-2</v>
      </c>
      <c r="P3">
        <v>2.5000000000000001E-2</v>
      </c>
      <c r="Q3">
        <v>2.7E-2</v>
      </c>
      <c r="R3">
        <v>2.9000000000000001E-2</v>
      </c>
      <c r="S3">
        <v>3.1E-2</v>
      </c>
      <c r="T3">
        <v>3.3000000000000002E-2</v>
      </c>
      <c r="U3">
        <v>3.5000000000000003E-2</v>
      </c>
      <c r="V3">
        <v>3.6999999999999998E-2</v>
      </c>
      <c r="W3">
        <v>3.9E-2</v>
      </c>
      <c r="X3">
        <f>$W$3-$S$3+$W$3</f>
        <v>4.7E-2</v>
      </c>
      <c r="Y3">
        <f t="shared" ref="Y3:AG3" si="0">$W$3-$S$3+X3</f>
        <v>5.5E-2</v>
      </c>
      <c r="Z3">
        <f t="shared" si="0"/>
        <v>6.3E-2</v>
      </c>
      <c r="AA3">
        <f t="shared" si="0"/>
        <v>7.1000000000000008E-2</v>
      </c>
      <c r="AB3">
        <f t="shared" si="0"/>
        <v>7.9000000000000015E-2</v>
      </c>
      <c r="AC3">
        <f t="shared" si="0"/>
        <v>8.7000000000000022E-2</v>
      </c>
      <c r="AD3">
        <f t="shared" si="0"/>
        <v>9.5000000000000029E-2</v>
      </c>
      <c r="AE3">
        <f t="shared" si="0"/>
        <v>0.10300000000000004</v>
      </c>
      <c r="AF3">
        <f t="shared" si="0"/>
        <v>0.11100000000000004</v>
      </c>
      <c r="AG3">
        <f t="shared" si="0"/>
        <v>0.11900000000000005</v>
      </c>
      <c r="AH3">
        <f>AG3+($AG$3-$AB$3)</f>
        <v>0.15900000000000009</v>
      </c>
      <c r="AI3">
        <f t="shared" ref="AI3:AJ3" si="1">AH3+($AG$3-$AB$3)</f>
        <v>0.19900000000000012</v>
      </c>
      <c r="AJ3">
        <f t="shared" si="1"/>
        <v>0.23900000000000016</v>
      </c>
    </row>
    <row r="4" spans="1:36" x14ac:dyDescent="0.35">
      <c r="D4">
        <v>3</v>
      </c>
      <c r="E4">
        <v>6</v>
      </c>
      <c r="F4">
        <v>9</v>
      </c>
      <c r="G4">
        <v>12</v>
      </c>
      <c r="H4">
        <v>15</v>
      </c>
      <c r="I4">
        <v>18</v>
      </c>
      <c r="J4">
        <v>21</v>
      </c>
      <c r="K4">
        <v>24</v>
      </c>
      <c r="L4">
        <v>27</v>
      </c>
      <c r="M4">
        <v>30</v>
      </c>
      <c r="N4">
        <v>33</v>
      </c>
      <c r="O4">
        <v>36</v>
      </c>
      <c r="P4">
        <v>39</v>
      </c>
      <c r="Q4">
        <v>42</v>
      </c>
      <c r="R4">
        <v>45</v>
      </c>
      <c r="S4">
        <v>48</v>
      </c>
      <c r="T4">
        <v>51</v>
      </c>
      <c r="U4">
        <v>54</v>
      </c>
      <c r="V4">
        <v>57</v>
      </c>
      <c r="W4">
        <v>60</v>
      </c>
      <c r="X4">
        <v>72</v>
      </c>
      <c r="Y4">
        <v>84</v>
      </c>
      <c r="Z4">
        <v>96</v>
      </c>
      <c r="AA4">
        <v>108</v>
      </c>
      <c r="AB4">
        <v>120</v>
      </c>
      <c r="AC4">
        <v>132</v>
      </c>
      <c r="AD4">
        <v>144</v>
      </c>
      <c r="AE4">
        <v>156</v>
      </c>
      <c r="AF4">
        <v>168</v>
      </c>
      <c r="AG4">
        <v>180</v>
      </c>
      <c r="AH4">
        <v>240</v>
      </c>
      <c r="AI4">
        <v>300</v>
      </c>
      <c r="AJ4">
        <v>360</v>
      </c>
    </row>
    <row r="5" spans="1:36" x14ac:dyDescent="0.35">
      <c r="A5" t="s">
        <v>34</v>
      </c>
      <c r="B5" t="s">
        <v>35</v>
      </c>
      <c r="C5" t="s">
        <v>36</v>
      </c>
      <c r="D5" t="s">
        <v>37</v>
      </c>
      <c r="E5" t="s">
        <v>38</v>
      </c>
      <c r="F5" t="s">
        <v>39</v>
      </c>
      <c r="G5" t="s">
        <v>40</v>
      </c>
      <c r="H5" t="s">
        <v>41</v>
      </c>
      <c r="I5" t="s">
        <v>42</v>
      </c>
      <c r="J5" t="s">
        <v>43</v>
      </c>
      <c r="K5" t="s">
        <v>44</v>
      </c>
      <c r="L5" t="s">
        <v>45</v>
      </c>
      <c r="M5" t="s">
        <v>46</v>
      </c>
      <c r="N5" t="s">
        <v>47</v>
      </c>
      <c r="O5" t="s">
        <v>48</v>
      </c>
      <c r="P5" t="s">
        <v>49</v>
      </c>
      <c r="Q5" t="s">
        <v>50</v>
      </c>
      <c r="R5" t="s">
        <v>51</v>
      </c>
      <c r="S5" t="s">
        <v>52</v>
      </c>
      <c r="T5" t="s">
        <v>53</v>
      </c>
      <c r="U5" t="s">
        <v>54</v>
      </c>
      <c r="V5" t="s">
        <v>55</v>
      </c>
      <c r="W5" t="s">
        <v>56</v>
      </c>
      <c r="X5" t="s">
        <v>57</v>
      </c>
      <c r="Y5" t="s">
        <v>58</v>
      </c>
      <c r="Z5" t="s">
        <v>59</v>
      </c>
      <c r="AA5" t="s">
        <v>60</v>
      </c>
      <c r="AB5" t="s">
        <v>61</v>
      </c>
      <c r="AC5" t="s">
        <v>62</v>
      </c>
      <c r="AD5" t="s">
        <v>63</v>
      </c>
      <c r="AE5" t="s">
        <v>64</v>
      </c>
      <c r="AF5" t="s">
        <v>65</v>
      </c>
      <c r="AG5" t="s">
        <v>66</v>
      </c>
      <c r="AH5" t="s">
        <v>67</v>
      </c>
      <c r="AI5" t="s">
        <v>68</v>
      </c>
      <c r="AJ5" t="s">
        <v>69</v>
      </c>
    </row>
    <row r="6" spans="1:36" x14ac:dyDescent="0.35">
      <c r="A6" t="s">
        <v>72</v>
      </c>
      <c r="B6" t="s">
        <v>85</v>
      </c>
      <c r="C6" s="4">
        <v>1</v>
      </c>
      <c r="D6" s="3">
        <f ca="1">RAND()*(D$3-C$3)+C$3</f>
        <v>9.4891555658082574E-4</v>
      </c>
      <c r="E6" s="3">
        <f ca="1">RAND()*(E$3-D$3)+D$3-D6</f>
        <v>1.4914207186641942E-3</v>
      </c>
      <c r="F6" s="3">
        <f t="shared" ref="F6:AJ6" ca="1" si="2">RAND()*(F$3-E$3)+E$3-E6</f>
        <v>1.8286364663755085E-3</v>
      </c>
      <c r="G6" s="3">
        <f t="shared" ca="1" si="2"/>
        <v>4.4161832111370564E-3</v>
      </c>
      <c r="H6" s="3">
        <f t="shared" ca="1" si="2"/>
        <v>4.0050241415017594E-3</v>
      </c>
      <c r="I6" s="3">
        <f t="shared" ca="1" si="2"/>
        <v>5.1010244293844247E-3</v>
      </c>
      <c r="J6" s="3">
        <f t="shared" ca="1" si="2"/>
        <v>6.8163148089471267E-3</v>
      </c>
      <c r="K6" s="3">
        <f t="shared" ca="1" si="2"/>
        <v>7.2149945846778987E-3</v>
      </c>
      <c r="L6" s="3">
        <f t="shared" ca="1" si="2"/>
        <v>7.8220227601358584E-3</v>
      </c>
      <c r="M6" s="3">
        <f t="shared" ca="1" si="2"/>
        <v>1.0907570382466165E-2</v>
      </c>
      <c r="N6" s="3">
        <f t="shared" ca="1" si="2"/>
        <v>9.2511180074183151E-3</v>
      </c>
      <c r="O6" s="3">
        <f t="shared" ca="1" si="2"/>
        <v>1.3209652031731595E-2</v>
      </c>
      <c r="P6" s="3">
        <f t="shared" ca="1" si="2"/>
        <v>1.0555720538694611E-2</v>
      </c>
      <c r="Q6" s="3">
        <f t="shared" ca="1" si="2"/>
        <v>1.6274408014531925E-2</v>
      </c>
      <c r="R6" s="3">
        <f t="shared" ca="1" si="2"/>
        <v>1.227805626955188E-2</v>
      </c>
      <c r="S6" s="3">
        <f t="shared" ca="1" si="2"/>
        <v>1.7319199292237724E-2</v>
      </c>
      <c r="T6" s="3">
        <f t="shared" ca="1" si="2"/>
        <v>1.5320357003587973E-2</v>
      </c>
      <c r="U6" s="3">
        <f t="shared" ca="1" si="2"/>
        <v>1.9050714254284406E-2</v>
      </c>
      <c r="V6" s="3">
        <f t="shared" ca="1" si="2"/>
        <v>1.6685101092689735E-2</v>
      </c>
      <c r="W6" s="3">
        <f t="shared" ca="1" si="2"/>
        <v>2.1909280107846641E-2</v>
      </c>
      <c r="X6" s="3">
        <f t="shared" ca="1" si="2"/>
        <v>1.7360103972379411E-2</v>
      </c>
      <c r="Y6" s="3">
        <f t="shared" ca="1" si="2"/>
        <v>3.5049654115689874E-2</v>
      </c>
      <c r="Z6" s="3">
        <f t="shared" ca="1" si="2"/>
        <v>2.6263312099614876E-2</v>
      </c>
      <c r="AA6" s="3">
        <f t="shared" ca="1" si="2"/>
        <v>3.6895172202255473E-2</v>
      </c>
      <c r="AB6" s="3">
        <f t="shared" ca="1" si="2"/>
        <v>4.2036696389291549E-2</v>
      </c>
      <c r="AC6" s="3">
        <f t="shared" ca="1" si="2"/>
        <v>4.100531370771577E-2</v>
      </c>
      <c r="AD6" s="3">
        <f t="shared" ca="1" si="2"/>
        <v>5.2784244355589642E-2</v>
      </c>
      <c r="AE6" s="3">
        <f t="shared" ca="1" si="2"/>
        <v>4.2381758517328179E-2</v>
      </c>
      <c r="AF6" s="3">
        <f t="shared" ca="1" si="2"/>
        <v>6.7107199728716344E-2</v>
      </c>
      <c r="AG6" s="3">
        <f t="shared" ca="1" si="2"/>
        <v>4.9165330697988466E-2</v>
      </c>
      <c r="AH6" s="3">
        <f t="shared" ca="1" si="2"/>
        <v>8.8465033549349273E-2</v>
      </c>
      <c r="AI6" s="3">
        <f t="shared" ca="1" si="2"/>
        <v>7.887410798111176E-2</v>
      </c>
      <c r="AJ6" s="3">
        <f t="shared" ca="1" si="2"/>
        <v>0.12333653162521983</v>
      </c>
    </row>
    <row r="7" spans="1:36" x14ac:dyDescent="0.35">
      <c r="A7" t="s">
        <v>72</v>
      </c>
      <c r="B7" t="s">
        <v>85</v>
      </c>
      <c r="C7" s="4" t="s">
        <v>73</v>
      </c>
      <c r="D7" s="3">
        <f ca="1">D6+RAND()*($D$3-$C$3)+$C$3</f>
        <v>1.9265610527891943E-3</v>
      </c>
      <c r="E7" s="3">
        <f t="shared" ref="E7:AJ14" ca="1" si="3">E6+RAND()*($D$3-$C$3)+$C$3</f>
        <v>2.4482312128100928E-3</v>
      </c>
      <c r="F7" s="3">
        <f t="shared" ca="1" si="3"/>
        <v>2.7649575103077112E-3</v>
      </c>
      <c r="G7" s="3">
        <f t="shared" ca="1" si="3"/>
        <v>5.3226926016803674E-3</v>
      </c>
      <c r="H7" s="3">
        <f t="shared" ca="1" si="3"/>
        <v>4.9880205810149784E-3</v>
      </c>
      <c r="I7" s="3">
        <f t="shared" ca="1" si="3"/>
        <v>6.0693780639511632E-3</v>
      </c>
      <c r="J7" s="3">
        <f t="shared" ca="1" si="3"/>
        <v>7.7931157142798798E-3</v>
      </c>
      <c r="K7" s="3">
        <f t="shared" ca="1" si="3"/>
        <v>8.1897743491197439E-3</v>
      </c>
      <c r="L7" s="3">
        <f t="shared" ca="1" si="3"/>
        <v>8.7409986416310936E-3</v>
      </c>
      <c r="M7" s="3">
        <f t="shared" ca="1" si="3"/>
        <v>1.1875218593734551E-2</v>
      </c>
      <c r="N7" s="3">
        <f t="shared" ca="1" si="3"/>
        <v>1.0191787313370055E-2</v>
      </c>
      <c r="O7" s="3">
        <f t="shared" ca="1" si="3"/>
        <v>1.4111750155094874E-2</v>
      </c>
      <c r="P7" s="3">
        <f t="shared" ca="1" si="3"/>
        <v>1.1530831549218619E-2</v>
      </c>
      <c r="Q7" s="3">
        <f t="shared" ca="1" si="3"/>
        <v>1.7229543020589679E-2</v>
      </c>
      <c r="R7" s="3">
        <f t="shared" ca="1" si="3"/>
        <v>1.3270533130590633E-2</v>
      </c>
      <c r="S7" s="3">
        <f t="shared" ca="1" si="3"/>
        <v>1.8295220226228037E-2</v>
      </c>
      <c r="T7" s="3">
        <f t="shared" ca="1" si="3"/>
        <v>1.6220438034372859E-2</v>
      </c>
      <c r="U7" s="3">
        <f t="shared" ca="1" si="3"/>
        <v>1.9986514159243674E-2</v>
      </c>
      <c r="V7" s="3">
        <f t="shared" ca="1" si="3"/>
        <v>1.7619064739089065E-2</v>
      </c>
      <c r="W7" s="3">
        <f t="shared" ca="1" si="3"/>
        <v>2.2825500223234752E-2</v>
      </c>
      <c r="X7" s="3">
        <f t="shared" ca="1" si="3"/>
        <v>1.833445049553202E-2</v>
      </c>
      <c r="Y7" s="3">
        <f t="shared" ca="1" si="3"/>
        <v>3.6001448457920485E-2</v>
      </c>
      <c r="Z7" s="3">
        <f t="shared" ca="1" si="3"/>
        <v>2.7164199185525938E-2</v>
      </c>
      <c r="AA7" s="3">
        <f t="shared" ca="1" si="3"/>
        <v>3.7849487744943164E-2</v>
      </c>
      <c r="AB7" s="3">
        <f t="shared" ca="1" si="3"/>
        <v>4.2962058348978052E-2</v>
      </c>
      <c r="AC7" s="3">
        <f t="shared" ca="1" si="3"/>
        <v>4.1984195355870939E-2</v>
      </c>
      <c r="AD7" s="3">
        <f t="shared" ca="1" si="3"/>
        <v>5.3726163407026718E-2</v>
      </c>
      <c r="AE7" s="3">
        <f t="shared" ca="1" si="3"/>
        <v>4.3336346951160315E-2</v>
      </c>
      <c r="AF7" s="3">
        <f t="shared" ca="1" si="3"/>
        <v>6.8105964875773625E-2</v>
      </c>
      <c r="AG7" s="3">
        <f t="shared" ca="1" si="3"/>
        <v>5.0132993889453872E-2</v>
      </c>
      <c r="AH7" s="3">
        <f t="shared" ca="1" si="3"/>
        <v>8.9390759799874944E-2</v>
      </c>
      <c r="AI7" s="3">
        <f t="shared" ca="1" si="3"/>
        <v>7.9802264956999228E-2</v>
      </c>
      <c r="AJ7" s="3">
        <f t="shared" ca="1" si="3"/>
        <v>0.12427164443119317</v>
      </c>
    </row>
    <row r="8" spans="1:36" x14ac:dyDescent="0.35">
      <c r="A8" t="s">
        <v>72</v>
      </c>
      <c r="B8" t="s">
        <v>85</v>
      </c>
      <c r="C8" s="4">
        <v>2</v>
      </c>
      <c r="D8" s="3">
        <f t="shared" ref="D8:D24" ca="1" si="4">D7+RAND()*($D$3-$C$3)+$C$3</f>
        <v>2.915555131409159E-3</v>
      </c>
      <c r="E8" s="3">
        <f t="shared" ca="1" si="3"/>
        <v>3.3619070305204038E-3</v>
      </c>
      <c r="F8" s="3">
        <f t="shared" ca="1" si="3"/>
        <v>3.7112479684363363E-3</v>
      </c>
      <c r="G8" s="3">
        <f t="shared" ca="1" si="3"/>
        <v>6.2721313324808218E-3</v>
      </c>
      <c r="H8" s="3">
        <f t="shared" ca="1" si="3"/>
        <v>5.9495999104175606E-3</v>
      </c>
      <c r="I8" s="3">
        <f t="shared" ca="1" si="3"/>
        <v>6.9840395969106633E-3</v>
      </c>
      <c r="J8" s="3">
        <f t="shared" ca="1" si="3"/>
        <v>8.7361900251230716E-3</v>
      </c>
      <c r="K8" s="3">
        <f t="shared" ca="1" si="3"/>
        <v>9.1645802425598388E-3</v>
      </c>
      <c r="L8" s="3">
        <f t="shared" ca="1" si="3"/>
        <v>9.7166289377963212E-3</v>
      </c>
      <c r="M8" s="3">
        <f t="shared" ca="1" si="3"/>
        <v>1.2790871662646884E-2</v>
      </c>
      <c r="N8" s="3">
        <f t="shared" ca="1" si="3"/>
        <v>1.1160299362651732E-2</v>
      </c>
      <c r="O8" s="3">
        <f t="shared" ca="1" si="3"/>
        <v>1.5078729794210313E-2</v>
      </c>
      <c r="P8" s="3">
        <f t="shared" ca="1" si="3"/>
        <v>1.246516878649552E-2</v>
      </c>
      <c r="Q8" s="3">
        <f t="shared" ca="1" si="3"/>
        <v>1.8197746753663188E-2</v>
      </c>
      <c r="R8" s="3">
        <f t="shared" ca="1" si="3"/>
        <v>1.422347106064085E-2</v>
      </c>
      <c r="S8" s="3">
        <f t="shared" ca="1" si="3"/>
        <v>1.9290807760214333E-2</v>
      </c>
      <c r="T8" s="3">
        <f t="shared" ca="1" si="3"/>
        <v>1.7141829837937404E-2</v>
      </c>
      <c r="U8" s="3">
        <f t="shared" ca="1" si="3"/>
        <v>2.0897869179906367E-2</v>
      </c>
      <c r="V8" s="3">
        <f t="shared" ca="1" si="3"/>
        <v>1.8535389428510022E-2</v>
      </c>
      <c r="W8" s="3">
        <f t="shared" ca="1" si="3"/>
        <v>2.3782090388894329E-2</v>
      </c>
      <c r="X8" s="3">
        <f t="shared" ca="1" si="3"/>
        <v>1.9299327429793577E-2</v>
      </c>
      <c r="Y8" s="3">
        <f t="shared" ca="1" si="3"/>
        <v>3.6919152225019174E-2</v>
      </c>
      <c r="Z8" s="3">
        <f t="shared" ca="1" si="3"/>
        <v>2.8109094697391153E-2</v>
      </c>
      <c r="AA8" s="3">
        <f t="shared" ca="1" si="3"/>
        <v>3.8777468044106291E-2</v>
      </c>
      <c r="AB8" s="3">
        <f t="shared" ca="1" si="3"/>
        <v>4.3941221833536021E-2</v>
      </c>
      <c r="AC8" s="3">
        <f t="shared" ca="1" si="3"/>
        <v>4.293210005067688E-2</v>
      </c>
      <c r="AD8" s="3">
        <f t="shared" ca="1" si="3"/>
        <v>5.4678896872499182E-2</v>
      </c>
      <c r="AE8" s="3">
        <f t="shared" ca="1" si="3"/>
        <v>4.4292526408805863E-2</v>
      </c>
      <c r="AF8" s="3">
        <f t="shared" ca="1" si="3"/>
        <v>6.9041601340319891E-2</v>
      </c>
      <c r="AG8" s="3">
        <f t="shared" ca="1" si="3"/>
        <v>5.1093354852914767E-2</v>
      </c>
      <c r="AH8" s="3">
        <f t="shared" ca="1" si="3"/>
        <v>9.0337711995689796E-2</v>
      </c>
      <c r="AI8" s="3">
        <f t="shared" ca="1" si="3"/>
        <v>8.0727821817211984E-2</v>
      </c>
      <c r="AJ8" s="3">
        <f t="shared" ca="1" si="3"/>
        <v>0.12522568101836737</v>
      </c>
    </row>
    <row r="9" spans="1:36" x14ac:dyDescent="0.35">
      <c r="A9" t="s">
        <v>72</v>
      </c>
      <c r="B9" t="s">
        <v>85</v>
      </c>
      <c r="C9" s="4" t="s">
        <v>74</v>
      </c>
      <c r="D9" s="3">
        <f t="shared" ca="1" si="4"/>
        <v>3.8530727358845347E-3</v>
      </c>
      <c r="E9" s="3">
        <f t="shared" ca="1" si="3"/>
        <v>4.2639740471702645E-3</v>
      </c>
      <c r="F9" s="3">
        <f t="shared" ca="1" si="3"/>
        <v>4.7079451674980084E-3</v>
      </c>
      <c r="G9" s="3">
        <f t="shared" ca="1" si="3"/>
        <v>7.185844167923461E-3</v>
      </c>
      <c r="H9" s="3">
        <f t="shared" ca="1" si="3"/>
        <v>6.941932531472972E-3</v>
      </c>
      <c r="I9" s="3">
        <f t="shared" ca="1" si="3"/>
        <v>7.975020089305767E-3</v>
      </c>
      <c r="J9" s="3">
        <f t="shared" ca="1" si="3"/>
        <v>9.6557556504584443E-3</v>
      </c>
      <c r="K9" s="3">
        <f t="shared" ca="1" si="3"/>
        <v>1.0090890925793256E-2</v>
      </c>
      <c r="L9" s="3">
        <f t="shared" ca="1" si="3"/>
        <v>1.0617536264291023E-2</v>
      </c>
      <c r="M9" s="3">
        <f t="shared" ca="1" si="3"/>
        <v>1.3744769200465313E-2</v>
      </c>
      <c r="N9" s="3">
        <f t="shared" ca="1" si="3"/>
        <v>1.212127832417271E-2</v>
      </c>
      <c r="O9" s="3">
        <f t="shared" ca="1" si="3"/>
        <v>1.6017396269211899E-2</v>
      </c>
      <c r="P9" s="3">
        <f t="shared" ca="1" si="3"/>
        <v>1.3432569556060333E-2</v>
      </c>
      <c r="Q9" s="3">
        <f t="shared" ca="1" si="3"/>
        <v>1.91635980482542E-2</v>
      </c>
      <c r="R9" s="3">
        <f t="shared" ca="1" si="3"/>
        <v>1.5142868322664711E-2</v>
      </c>
      <c r="S9" s="3">
        <f t="shared" ca="1" si="3"/>
        <v>2.0204488812754797E-2</v>
      </c>
      <c r="T9" s="3">
        <f t="shared" ca="1" si="3"/>
        <v>1.8095527025254094E-2</v>
      </c>
      <c r="U9" s="3">
        <f t="shared" ca="1" si="3"/>
        <v>2.1819526327158126E-2</v>
      </c>
      <c r="V9" s="3">
        <f t="shared" ca="1" si="3"/>
        <v>1.9507113025819759E-2</v>
      </c>
      <c r="W9" s="3">
        <f t="shared" ca="1" si="3"/>
        <v>2.4745684783351995E-2</v>
      </c>
      <c r="X9" s="3">
        <f t="shared" ca="1" si="3"/>
        <v>2.0297575803327528E-2</v>
      </c>
      <c r="Y9" s="3">
        <f t="shared" ca="1" si="3"/>
        <v>3.7879117449648149E-2</v>
      </c>
      <c r="Z9" s="3">
        <f t="shared" ca="1" si="3"/>
        <v>2.903017953153041E-2</v>
      </c>
      <c r="AA9" s="3">
        <f t="shared" ca="1" si="3"/>
        <v>3.9771216731477557E-2</v>
      </c>
      <c r="AB9" s="3">
        <f t="shared" ca="1" si="3"/>
        <v>4.4857843771874822E-2</v>
      </c>
      <c r="AC9" s="3">
        <f t="shared" ca="1" si="3"/>
        <v>4.3855260449475332E-2</v>
      </c>
      <c r="AD9" s="3">
        <f t="shared" ca="1" si="3"/>
        <v>5.5619261401731582E-2</v>
      </c>
      <c r="AE9" s="3">
        <f t="shared" ca="1" si="3"/>
        <v>4.522740563541023E-2</v>
      </c>
      <c r="AF9" s="3">
        <f t="shared" ca="1" si="3"/>
        <v>6.9993348440701292E-2</v>
      </c>
      <c r="AG9" s="3">
        <f t="shared" ca="1" si="3"/>
        <v>5.2072295316915526E-2</v>
      </c>
      <c r="AH9" s="3">
        <f t="shared" ca="1" si="3"/>
        <v>9.1261142517535976E-2</v>
      </c>
      <c r="AI9" s="3">
        <f t="shared" ca="1" si="3"/>
        <v>8.1713427670600219E-2</v>
      </c>
      <c r="AJ9" s="3">
        <f t="shared" ca="1" si="3"/>
        <v>0.12621058482442285</v>
      </c>
    </row>
    <row r="10" spans="1:36" x14ac:dyDescent="0.35">
      <c r="A10" t="s">
        <v>72</v>
      </c>
      <c r="B10" t="s">
        <v>85</v>
      </c>
      <c r="C10" s="4" t="s">
        <v>75</v>
      </c>
      <c r="D10" s="3">
        <f t="shared" ca="1" si="4"/>
        <v>4.8118813673129843E-3</v>
      </c>
      <c r="E10" s="3">
        <f t="shared" ca="1" si="3"/>
        <v>5.173218425938258E-3</v>
      </c>
      <c r="F10" s="3">
        <f t="shared" ca="1" si="3"/>
        <v>5.6329142820162274E-3</v>
      </c>
      <c r="G10" s="3">
        <f t="shared" ca="1" si="3"/>
        <v>8.1102174120483376E-3</v>
      </c>
      <c r="H10" s="3">
        <f t="shared" ca="1" si="3"/>
        <v>7.914296218866794E-3</v>
      </c>
      <c r="I10" s="3">
        <f t="shared" ca="1" si="3"/>
        <v>8.8817911638500655E-3</v>
      </c>
      <c r="J10" s="3">
        <f t="shared" ca="1" si="3"/>
        <v>1.0577984132529134E-2</v>
      </c>
      <c r="K10" s="3">
        <f t="shared" ca="1" si="3"/>
        <v>1.1023667006421002E-2</v>
      </c>
      <c r="L10" s="3">
        <f t="shared" ca="1" si="3"/>
        <v>1.1579880885111629E-2</v>
      </c>
      <c r="M10" s="3">
        <f t="shared" ca="1" si="3"/>
        <v>1.4714711525408269E-2</v>
      </c>
      <c r="N10" s="3">
        <f t="shared" ca="1" si="3"/>
        <v>1.3116144264971961E-2</v>
      </c>
      <c r="O10" s="3">
        <f t="shared" ca="1" si="3"/>
        <v>1.6925346902876445E-2</v>
      </c>
      <c r="P10" s="3">
        <f t="shared" ca="1" si="3"/>
        <v>1.442158350571328E-2</v>
      </c>
      <c r="Q10" s="3">
        <f t="shared" ca="1" si="3"/>
        <v>2.0152830615865692E-2</v>
      </c>
      <c r="R10" s="3">
        <f t="shared" ca="1" si="3"/>
        <v>1.6075514123889138E-2</v>
      </c>
      <c r="S10" s="3">
        <f t="shared" ca="1" si="3"/>
        <v>2.1151489823565989E-2</v>
      </c>
      <c r="T10" s="3">
        <f t="shared" ca="1" si="3"/>
        <v>1.9055844913414992E-2</v>
      </c>
      <c r="U10" s="3">
        <f t="shared" ca="1" si="3"/>
        <v>2.2727330648661326E-2</v>
      </c>
      <c r="V10" s="3">
        <f t="shared" ca="1" si="3"/>
        <v>2.0463783568424161E-2</v>
      </c>
      <c r="W10" s="3">
        <f t="shared" ca="1" si="3"/>
        <v>2.573068517303553E-2</v>
      </c>
      <c r="X10" s="3">
        <f t="shared" ca="1" si="3"/>
        <v>2.1214718075766876E-2</v>
      </c>
      <c r="Y10" s="3">
        <f t="shared" ca="1" si="3"/>
        <v>3.8870561164550871E-2</v>
      </c>
      <c r="Z10" s="3">
        <f t="shared" ca="1" si="3"/>
        <v>3.0029153658424013E-2</v>
      </c>
      <c r="AA10" s="3">
        <f t="shared" ca="1" si="3"/>
        <v>4.0767930196132007E-2</v>
      </c>
      <c r="AB10" s="3">
        <f t="shared" ca="1" si="3"/>
        <v>4.5833785089747489E-2</v>
      </c>
      <c r="AC10" s="3">
        <f t="shared" ca="1" si="3"/>
        <v>4.4766750262098309E-2</v>
      </c>
      <c r="AD10" s="3">
        <f t="shared" ca="1" si="3"/>
        <v>5.6578466135489412E-2</v>
      </c>
      <c r="AE10" s="3">
        <f t="shared" ca="1" si="3"/>
        <v>4.6143394366889336E-2</v>
      </c>
      <c r="AF10" s="3">
        <f t="shared" ca="1" si="3"/>
        <v>7.0935708701547681E-2</v>
      </c>
      <c r="AG10" s="3">
        <f t="shared" ca="1" si="3"/>
        <v>5.3068294168998331E-2</v>
      </c>
      <c r="AH10" s="3">
        <f t="shared" ca="1" si="3"/>
        <v>9.2244877643830686E-2</v>
      </c>
      <c r="AI10" s="3">
        <f t="shared" ca="1" si="3"/>
        <v>8.2699544742106751E-2</v>
      </c>
      <c r="AJ10" s="3">
        <f t="shared" ca="1" si="3"/>
        <v>0.12713056681972146</v>
      </c>
    </row>
    <row r="11" spans="1:36" x14ac:dyDescent="0.35">
      <c r="A11" t="s">
        <v>72</v>
      </c>
      <c r="B11" t="s">
        <v>85</v>
      </c>
      <c r="C11" s="4">
        <v>3</v>
      </c>
      <c r="D11" s="3">
        <f t="shared" ca="1" si="4"/>
        <v>5.7886523463967993E-3</v>
      </c>
      <c r="E11" s="3">
        <f t="shared" ca="1" si="3"/>
        <v>6.1555136672971564E-3</v>
      </c>
      <c r="F11" s="3">
        <f t="shared" ca="1" si="3"/>
        <v>6.6204052181154521E-3</v>
      </c>
      <c r="G11" s="3">
        <f t="shared" ca="1" si="3"/>
        <v>9.0922623658207906E-3</v>
      </c>
      <c r="H11" s="3">
        <f t="shared" ca="1" si="3"/>
        <v>8.9029763801916281E-3</v>
      </c>
      <c r="I11" s="3">
        <f t="shared" ca="1" si="3"/>
        <v>9.8364885309441107E-3</v>
      </c>
      <c r="J11" s="3">
        <f t="shared" ca="1" si="3"/>
        <v>1.1522859396776984E-2</v>
      </c>
      <c r="K11" s="3">
        <f t="shared" ca="1" si="3"/>
        <v>1.1930670703096181E-2</v>
      </c>
      <c r="L11" s="3">
        <f t="shared" ca="1" si="3"/>
        <v>1.2488636661348581E-2</v>
      </c>
      <c r="M11" s="3">
        <f t="shared" ca="1" si="3"/>
        <v>1.5640169781659521E-2</v>
      </c>
      <c r="N11" s="3">
        <f t="shared" ca="1" si="3"/>
        <v>1.4107000459238005E-2</v>
      </c>
      <c r="O11" s="3">
        <f t="shared" ca="1" si="3"/>
        <v>1.7858763972480901E-2</v>
      </c>
      <c r="P11" s="3">
        <f t="shared" ca="1" si="3"/>
        <v>1.5376584897729181E-2</v>
      </c>
      <c r="Q11" s="3">
        <f t="shared" ca="1" si="3"/>
        <v>2.1144170504824915E-2</v>
      </c>
      <c r="R11" s="3">
        <f t="shared" ca="1" si="3"/>
        <v>1.705858603511792E-2</v>
      </c>
      <c r="S11" s="3">
        <f t="shared" ca="1" si="3"/>
        <v>2.2062094629530536E-2</v>
      </c>
      <c r="T11" s="3">
        <f t="shared" ca="1" si="3"/>
        <v>2.0053117025208643E-2</v>
      </c>
      <c r="U11" s="3">
        <f t="shared" ca="1" si="3"/>
        <v>2.363962301097754E-2</v>
      </c>
      <c r="V11" s="3">
        <f t="shared" ca="1" si="3"/>
        <v>2.1443995582985535E-2</v>
      </c>
      <c r="W11" s="3">
        <f t="shared" ca="1" si="3"/>
        <v>2.6644664107261941E-2</v>
      </c>
      <c r="X11" s="3">
        <f t="shared" ca="1" si="3"/>
        <v>2.21405683885075E-2</v>
      </c>
      <c r="Y11" s="3">
        <f t="shared" ca="1" si="3"/>
        <v>3.9818063795888224E-2</v>
      </c>
      <c r="Z11" s="3">
        <f t="shared" ca="1" si="3"/>
        <v>3.093345673132078E-2</v>
      </c>
      <c r="AA11" s="3">
        <f t="shared" ca="1" si="3"/>
        <v>4.172660733424078E-2</v>
      </c>
      <c r="AB11" s="3">
        <f t="shared" ca="1" si="3"/>
        <v>4.6742303324936292E-2</v>
      </c>
      <c r="AC11" s="3">
        <f t="shared" ca="1" si="3"/>
        <v>4.5758227003092053E-2</v>
      </c>
      <c r="AD11" s="3">
        <f t="shared" ca="1" si="3"/>
        <v>5.75170153501319E-2</v>
      </c>
      <c r="AE11" s="3">
        <f t="shared" ca="1" si="3"/>
        <v>4.7123515461376789E-2</v>
      </c>
      <c r="AF11" s="3">
        <f t="shared" ca="1" si="3"/>
        <v>7.1852491790268522E-2</v>
      </c>
      <c r="AG11" s="3">
        <f t="shared" ca="1" si="3"/>
        <v>5.4037766219236658E-2</v>
      </c>
      <c r="AH11" s="3">
        <f t="shared" ca="1" si="3"/>
        <v>9.3156556945996463E-2</v>
      </c>
      <c r="AI11" s="3">
        <f t="shared" ca="1" si="3"/>
        <v>8.3688116151342154E-2</v>
      </c>
      <c r="AJ11" s="3">
        <f t="shared" ca="1" si="3"/>
        <v>0.12807232933755211</v>
      </c>
    </row>
    <row r="12" spans="1:36" x14ac:dyDescent="0.35">
      <c r="A12" t="s">
        <v>72</v>
      </c>
      <c r="B12" t="s">
        <v>85</v>
      </c>
      <c r="C12" s="4" t="s">
        <v>76</v>
      </c>
      <c r="D12" s="3">
        <f t="shared" ca="1" si="4"/>
        <v>6.7762511096716013E-3</v>
      </c>
      <c r="E12" s="3">
        <f t="shared" ca="1" si="3"/>
        <v>7.1510773816507722E-3</v>
      </c>
      <c r="F12" s="3">
        <f t="shared" ca="1" si="3"/>
        <v>7.5958091714497487E-3</v>
      </c>
      <c r="G12" s="3">
        <f t="shared" ca="1" si="3"/>
        <v>1.0074261518537691E-2</v>
      </c>
      <c r="H12" s="3">
        <f t="shared" ca="1" si="3"/>
        <v>9.8215122269794241E-3</v>
      </c>
      <c r="I12" s="3">
        <f t="shared" ca="1" si="3"/>
        <v>1.0804170372596145E-2</v>
      </c>
      <c r="J12" s="3">
        <f t="shared" ca="1" si="3"/>
        <v>1.2488212138089261E-2</v>
      </c>
      <c r="K12" s="3">
        <f t="shared" ca="1" si="3"/>
        <v>1.2881568179392009E-2</v>
      </c>
      <c r="L12" s="3">
        <f t="shared" ca="1" si="3"/>
        <v>1.339738124548061E-2</v>
      </c>
      <c r="M12" s="3">
        <f t="shared" ca="1" si="3"/>
        <v>1.6610779202201099E-2</v>
      </c>
      <c r="N12" s="3">
        <f t="shared" ca="1" si="3"/>
        <v>1.504724455935642E-2</v>
      </c>
      <c r="O12" s="3">
        <f t="shared" ca="1" si="3"/>
        <v>1.8814762628783212E-2</v>
      </c>
      <c r="P12" s="3">
        <f t="shared" ca="1" si="3"/>
        <v>1.6287973270612648E-2</v>
      </c>
      <c r="Q12" s="3">
        <f t="shared" ca="1" si="3"/>
        <v>2.2046520596414279E-2</v>
      </c>
      <c r="R12" s="3">
        <f t="shared" ca="1" si="3"/>
        <v>1.8004617208249949E-2</v>
      </c>
      <c r="S12" s="3">
        <f t="shared" ca="1" si="3"/>
        <v>2.2967238380345745E-2</v>
      </c>
      <c r="T12" s="3">
        <f t="shared" ca="1" si="3"/>
        <v>2.1015452894143378E-2</v>
      </c>
      <c r="U12" s="3">
        <f t="shared" ca="1" si="3"/>
        <v>2.4602581040958128E-2</v>
      </c>
      <c r="V12" s="3">
        <f t="shared" ca="1" si="3"/>
        <v>2.2416736332290708E-2</v>
      </c>
      <c r="W12" s="3">
        <f t="shared" ca="1" si="3"/>
        <v>2.7546156592723834E-2</v>
      </c>
      <c r="X12" s="3">
        <f t="shared" ca="1" si="3"/>
        <v>2.3100385140473464E-2</v>
      </c>
      <c r="Y12" s="3">
        <f t="shared" ca="1" si="3"/>
        <v>4.0789588549811066E-2</v>
      </c>
      <c r="Z12" s="3">
        <f t="shared" ca="1" si="3"/>
        <v>3.1915513920353612E-2</v>
      </c>
      <c r="AA12" s="3">
        <f t="shared" ca="1" si="3"/>
        <v>4.2723765279509232E-2</v>
      </c>
      <c r="AB12" s="3">
        <f t="shared" ca="1" si="3"/>
        <v>4.765175549688646E-2</v>
      </c>
      <c r="AC12" s="3">
        <f t="shared" ca="1" si="3"/>
        <v>4.6745931381610151E-2</v>
      </c>
      <c r="AD12" s="3">
        <f t="shared" ca="1" si="3"/>
        <v>5.8511094075146979E-2</v>
      </c>
      <c r="AE12" s="3">
        <f t="shared" ca="1" si="3"/>
        <v>4.8061115154313508E-2</v>
      </c>
      <c r="AF12" s="3">
        <f t="shared" ca="1" si="3"/>
        <v>7.2852225922846334E-2</v>
      </c>
      <c r="AG12" s="3">
        <f t="shared" ca="1" si="3"/>
        <v>5.5037425795230438E-2</v>
      </c>
      <c r="AH12" s="3">
        <f t="shared" ca="1" si="3"/>
        <v>9.4085565639202298E-2</v>
      </c>
      <c r="AI12" s="3">
        <f t="shared" ca="1" si="3"/>
        <v>8.4662805462108789E-2</v>
      </c>
      <c r="AJ12" s="3">
        <f t="shared" ca="1" si="3"/>
        <v>0.12901021655933628</v>
      </c>
    </row>
    <row r="13" spans="1:36" x14ac:dyDescent="0.35">
      <c r="A13" t="s">
        <v>72</v>
      </c>
      <c r="B13" t="s">
        <v>85</v>
      </c>
      <c r="C13" s="4" t="s">
        <v>77</v>
      </c>
      <c r="D13" s="3">
        <f t="shared" ca="1" si="4"/>
        <v>7.6885689432663216E-3</v>
      </c>
      <c r="E13" s="3">
        <f t="shared" ca="1" si="3"/>
        <v>8.1224303436785595E-3</v>
      </c>
      <c r="F13" s="3">
        <f t="shared" ca="1" si="3"/>
        <v>8.5110137183009079E-3</v>
      </c>
      <c r="G13" s="3">
        <f t="shared" ca="1" si="3"/>
        <v>1.1065350807683661E-2</v>
      </c>
      <c r="H13" s="3">
        <f t="shared" ca="1" si="3"/>
        <v>1.0724371076488132E-2</v>
      </c>
      <c r="I13" s="3">
        <f t="shared" ca="1" si="3"/>
        <v>1.1776308500671283E-2</v>
      </c>
      <c r="J13" s="3">
        <f t="shared" ca="1" si="3"/>
        <v>1.3393631963013105E-2</v>
      </c>
      <c r="K13" s="3">
        <f t="shared" ca="1" si="3"/>
        <v>1.3796517227292464E-2</v>
      </c>
      <c r="L13" s="3">
        <f t="shared" ca="1" si="3"/>
        <v>1.4302665447680819E-2</v>
      </c>
      <c r="M13" s="3">
        <f t="shared" ca="1" si="3"/>
        <v>1.7562022653458291E-2</v>
      </c>
      <c r="N13" s="3">
        <f t="shared" ca="1" si="3"/>
        <v>1.5957362730000656E-2</v>
      </c>
      <c r="O13" s="3">
        <f t="shared" ca="1" si="3"/>
        <v>1.9795664983059662E-2</v>
      </c>
      <c r="P13" s="3">
        <f t="shared" ca="1" si="3"/>
        <v>1.7241144831225918E-2</v>
      </c>
      <c r="Q13" s="3">
        <f t="shared" ca="1" si="3"/>
        <v>2.3024294956264818E-2</v>
      </c>
      <c r="R13" s="3">
        <f t="shared" ca="1" si="3"/>
        <v>1.8911668287642271E-2</v>
      </c>
      <c r="S13" s="3">
        <f t="shared" ca="1" si="3"/>
        <v>2.3873847772028924E-2</v>
      </c>
      <c r="T13" s="3">
        <f t="shared" ca="1" si="3"/>
        <v>2.1959304674914533E-2</v>
      </c>
      <c r="U13" s="3">
        <f t="shared" ca="1" si="3"/>
        <v>2.555990929066361E-2</v>
      </c>
      <c r="V13" s="3">
        <f t="shared" ca="1" si="3"/>
        <v>2.3338324384988444E-2</v>
      </c>
      <c r="W13" s="3">
        <f t="shared" ca="1" si="3"/>
        <v>2.8468205126993839E-2</v>
      </c>
      <c r="X13" s="3">
        <f t="shared" ca="1" si="3"/>
        <v>2.405772688348664E-2</v>
      </c>
      <c r="Y13" s="3">
        <f t="shared" ca="1" si="3"/>
        <v>4.1779739090490056E-2</v>
      </c>
      <c r="Z13" s="3">
        <f t="shared" ca="1" si="3"/>
        <v>3.2872088863854954E-2</v>
      </c>
      <c r="AA13" s="3">
        <f t="shared" ca="1" si="3"/>
        <v>4.3680037263150021E-2</v>
      </c>
      <c r="AB13" s="3">
        <f t="shared" ca="1" si="3"/>
        <v>4.8572915731996555E-2</v>
      </c>
      <c r="AC13" s="3">
        <f t="shared" ca="1" si="3"/>
        <v>4.7739755270389241E-2</v>
      </c>
      <c r="AD13" s="3">
        <f t="shared" ca="1" si="3"/>
        <v>5.9425180076383713E-2</v>
      </c>
      <c r="AE13" s="3">
        <f t="shared" ca="1" si="3"/>
        <v>4.9044383971809019E-2</v>
      </c>
      <c r="AF13" s="3">
        <f t="shared" ca="1" si="3"/>
        <v>7.3754139627984161E-2</v>
      </c>
      <c r="AG13" s="3">
        <f t="shared" ca="1" si="3"/>
        <v>5.5947626053339111E-2</v>
      </c>
      <c r="AH13" s="3">
        <f t="shared" ca="1" si="3"/>
        <v>9.5075594773830971E-2</v>
      </c>
      <c r="AI13" s="3">
        <f t="shared" ca="1" si="3"/>
        <v>8.563095914956198E-2</v>
      </c>
      <c r="AJ13" s="3">
        <f t="shared" ca="1" si="3"/>
        <v>0.12998028422176522</v>
      </c>
    </row>
    <row r="14" spans="1:36" x14ac:dyDescent="0.35">
      <c r="A14" t="s">
        <v>72</v>
      </c>
      <c r="B14" t="s">
        <v>85</v>
      </c>
      <c r="C14" s="4">
        <v>4</v>
      </c>
      <c r="D14" s="3">
        <f t="shared" ca="1" si="4"/>
        <v>8.6296172489665219E-3</v>
      </c>
      <c r="E14" s="3">
        <f t="shared" ca="1" si="3"/>
        <v>9.0669875470936832E-3</v>
      </c>
      <c r="F14" s="3">
        <f t="shared" ca="1" si="3"/>
        <v>9.4985723910445442E-3</v>
      </c>
      <c r="G14" s="3">
        <f t="shared" ca="1" si="3"/>
        <v>1.2052628416014993E-2</v>
      </c>
      <c r="H14" s="3">
        <f t="shared" ca="1" si="3"/>
        <v>1.1662373760410258E-2</v>
      </c>
      <c r="I14" s="3">
        <f t="shared" ca="1" si="3"/>
        <v>1.2686265189988062E-2</v>
      </c>
      <c r="J14" s="3">
        <f t="shared" ca="1" si="3"/>
        <v>1.4300377415806311E-2</v>
      </c>
      <c r="K14" s="3">
        <f t="shared" ca="1" si="3"/>
        <v>1.4715561210282932E-2</v>
      </c>
      <c r="L14" s="3">
        <f t="shared" ca="1" si="3"/>
        <v>1.5292834985149521E-2</v>
      </c>
      <c r="M14" s="3">
        <f t="shared" ca="1" si="3"/>
        <v>1.8519098356778101E-2</v>
      </c>
      <c r="N14" s="3">
        <f t="shared" ca="1" si="3"/>
        <v>1.6902148702828624E-2</v>
      </c>
      <c r="O14" s="3">
        <f t="shared" ca="1" si="3"/>
        <v>2.0732080658822455E-2</v>
      </c>
      <c r="P14" s="3">
        <f t="shared" ca="1" si="3"/>
        <v>1.8161031645641826E-2</v>
      </c>
      <c r="Q14" s="3">
        <f t="shared" ca="1" si="3"/>
        <v>2.3989267201643183E-2</v>
      </c>
      <c r="R14" s="3">
        <f t="shared" ca="1" si="3"/>
        <v>1.9886865206893395E-2</v>
      </c>
      <c r="S14" s="3">
        <f t="shared" ca="1" si="3"/>
        <v>2.4861370506906368E-2</v>
      </c>
      <c r="T14" s="3">
        <f t="shared" ca="1" si="3"/>
        <v>2.2897254666511678E-2</v>
      </c>
      <c r="U14" s="3">
        <f t="shared" ca="1" si="3"/>
        <v>2.6501120818672518E-2</v>
      </c>
      <c r="V14" s="3">
        <f t="shared" ca="1" si="3"/>
        <v>2.4285162054747525E-2</v>
      </c>
      <c r="W14" s="3">
        <f t="shared" ca="1" si="3"/>
        <v>2.9458735040868638E-2</v>
      </c>
      <c r="X14" s="3">
        <f t="shared" ca="1" si="3"/>
        <v>2.4964780194530665E-2</v>
      </c>
      <c r="Y14" s="3">
        <f t="shared" ca="1" si="3"/>
        <v>4.276945445585905E-2</v>
      </c>
      <c r="Z14" s="3">
        <f t="shared" ca="1" si="3"/>
        <v>3.3820884973025815E-2</v>
      </c>
      <c r="AA14" s="3">
        <f t="shared" ca="1" si="3"/>
        <v>4.4631986965630192E-2</v>
      </c>
      <c r="AB14" s="3">
        <f t="shared" ca="1" si="3"/>
        <v>4.9507048359358978E-2</v>
      </c>
      <c r="AC14" s="3">
        <f t="shared" ca="1" si="3"/>
        <v>4.8708665027764463E-2</v>
      </c>
      <c r="AD14" s="3">
        <f t="shared" ca="1" si="3"/>
        <v>6.0377039166776406E-2</v>
      </c>
      <c r="AE14" s="3">
        <f t="shared" ca="1" si="3"/>
        <v>5.0020614491085219E-2</v>
      </c>
      <c r="AF14" s="3">
        <f t="shared" ca="1" si="3"/>
        <v>7.4659370687815307E-2</v>
      </c>
      <c r="AG14" s="3">
        <f t="shared" ca="1" si="3"/>
        <v>5.693784813824556E-2</v>
      </c>
      <c r="AH14" s="3">
        <f t="shared" ca="1" si="3"/>
        <v>9.6022393347112808E-2</v>
      </c>
      <c r="AI14" s="3">
        <f t="shared" ca="1" si="3"/>
        <v>8.6543266710660455E-2</v>
      </c>
      <c r="AJ14" s="3">
        <f t="shared" ref="AJ14:AJ24" ca="1" si="5">AJ13+RAND()*($D$3-$C$3)+$C$3</f>
        <v>0.13089787378258291</v>
      </c>
    </row>
    <row r="15" spans="1:36" x14ac:dyDescent="0.35">
      <c r="A15" t="s">
        <v>72</v>
      </c>
      <c r="B15" t="s">
        <v>85</v>
      </c>
      <c r="C15" s="4" t="s">
        <v>78</v>
      </c>
      <c r="D15" s="3">
        <f t="shared" ca="1" si="4"/>
        <v>9.5312132215137364E-3</v>
      </c>
      <c r="E15" s="3">
        <f t="shared" ref="E15:E24" ca="1" si="6">E14+RAND()*($D$3-$C$3)+$C$3</f>
        <v>9.9976110229949462E-3</v>
      </c>
      <c r="F15" s="3">
        <f t="shared" ref="F15:F24" ca="1" si="7">F14+RAND()*($D$3-$C$3)+$C$3</f>
        <v>1.0496744524062391E-2</v>
      </c>
      <c r="G15" s="3">
        <f t="shared" ref="G15:G24" ca="1" si="8">G14+RAND()*($D$3-$C$3)+$C$3</f>
        <v>1.3019224114878976E-2</v>
      </c>
      <c r="H15" s="3">
        <f t="shared" ref="H15:H24" ca="1" si="9">H14+RAND()*($D$3-$C$3)+$C$3</f>
        <v>1.2631288116548579E-2</v>
      </c>
      <c r="I15" s="3">
        <f t="shared" ref="I15:I24" ca="1" si="10">I14+RAND()*($D$3-$C$3)+$C$3</f>
        <v>1.3665740226050761E-2</v>
      </c>
      <c r="J15" s="3">
        <f t="shared" ref="J15:J24" ca="1" si="11">J14+RAND()*($D$3-$C$3)+$C$3</f>
        <v>1.5202152794404691E-2</v>
      </c>
      <c r="K15" s="3">
        <f t="shared" ref="K15:K24" ca="1" si="12">K14+RAND()*($D$3-$C$3)+$C$3</f>
        <v>1.5669982648700773E-2</v>
      </c>
      <c r="L15" s="3">
        <f t="shared" ref="L15:L24" ca="1" si="13">L14+RAND()*($D$3-$C$3)+$C$3</f>
        <v>1.6197182920790251E-2</v>
      </c>
      <c r="M15" s="3">
        <f t="shared" ref="M15:M24" ca="1" si="14">M14+RAND()*($D$3-$C$3)+$C$3</f>
        <v>1.9485422828634212E-2</v>
      </c>
      <c r="N15" s="3">
        <f t="shared" ref="N15:N24" ca="1" si="15">N14+RAND()*($D$3-$C$3)+$C$3</f>
        <v>1.7868580070522434E-2</v>
      </c>
      <c r="O15" s="3">
        <f t="shared" ref="O15:O24" ca="1" si="16">O14+RAND()*($D$3-$C$3)+$C$3</f>
        <v>2.1707282060964513E-2</v>
      </c>
      <c r="P15" s="3">
        <f t="shared" ref="P15:P24" ca="1" si="17">P14+RAND()*($D$3-$C$3)+$C$3</f>
        <v>1.9077362858435858E-2</v>
      </c>
      <c r="Q15" s="3">
        <f t="shared" ref="Q15:Q24" ca="1" si="18">Q14+RAND()*($D$3-$C$3)+$C$3</f>
        <v>2.4899106940116333E-2</v>
      </c>
      <c r="R15" s="3">
        <f t="shared" ref="R15:R24" ca="1" si="19">R14+RAND()*($D$3-$C$3)+$C$3</f>
        <v>2.0882914682574343E-2</v>
      </c>
      <c r="S15" s="3">
        <f t="shared" ref="S15:S24" ca="1" si="20">S14+RAND()*($D$3-$C$3)+$C$3</f>
        <v>2.5771198171608212E-2</v>
      </c>
      <c r="T15" s="3">
        <f t="shared" ref="T15:T24" ca="1" si="21">T14+RAND()*($D$3-$C$3)+$C$3</f>
        <v>2.3816352792149446E-2</v>
      </c>
      <c r="U15" s="3">
        <f t="shared" ref="U15:U24" ca="1" si="22">U14+RAND()*($D$3-$C$3)+$C$3</f>
        <v>2.7440820995306918E-2</v>
      </c>
      <c r="V15" s="3">
        <f t="shared" ref="V15:V24" ca="1" si="23">V14+RAND()*($D$3-$C$3)+$C$3</f>
        <v>2.5275518346809741E-2</v>
      </c>
      <c r="W15" s="3">
        <f t="shared" ref="W15:W24" ca="1" si="24">W14+RAND()*($D$3-$C$3)+$C$3</f>
        <v>3.039361219537344E-2</v>
      </c>
      <c r="X15" s="3">
        <f t="shared" ref="X15:X24" ca="1" si="25">X14+RAND()*($D$3-$C$3)+$C$3</f>
        <v>2.5874787933610782E-2</v>
      </c>
      <c r="Y15" s="3">
        <f t="shared" ref="Y15:Y24" ca="1" si="26">Y14+RAND()*($D$3-$C$3)+$C$3</f>
        <v>4.3765790904436629E-2</v>
      </c>
      <c r="Z15" s="3">
        <f t="shared" ref="Z15:Z24" ca="1" si="27">Z14+RAND()*($D$3-$C$3)+$C$3</f>
        <v>3.4807567047909091E-2</v>
      </c>
      <c r="AA15" s="3">
        <f t="shared" ref="AA15:AA24" ca="1" si="28">AA14+RAND()*($D$3-$C$3)+$C$3</f>
        <v>4.5561627783767066E-2</v>
      </c>
      <c r="AB15" s="3">
        <f t="shared" ref="AB15:AB24" ca="1" si="29">AB14+RAND()*($D$3-$C$3)+$C$3</f>
        <v>5.0444957635489319E-2</v>
      </c>
      <c r="AC15" s="3">
        <f t="shared" ref="AC15:AC24" ca="1" si="30">AC14+RAND()*($D$3-$C$3)+$C$3</f>
        <v>4.9682605945987605E-2</v>
      </c>
      <c r="AD15" s="3">
        <f t="shared" ref="AD15:AD24" ca="1" si="31">AD14+RAND()*($D$3-$C$3)+$C$3</f>
        <v>6.1298189879144906E-2</v>
      </c>
      <c r="AE15" s="3">
        <f t="shared" ref="AE15:AE24" ca="1" si="32">AE14+RAND()*($D$3-$C$3)+$C$3</f>
        <v>5.0949329867163107E-2</v>
      </c>
      <c r="AF15" s="3">
        <f t="shared" ref="AF15:AF24" ca="1" si="33">AF14+RAND()*($D$3-$C$3)+$C$3</f>
        <v>7.5644834414340653E-2</v>
      </c>
      <c r="AG15" s="3">
        <f t="shared" ref="AG15:AG24" ca="1" si="34">AG14+RAND()*($D$3-$C$3)+$C$3</f>
        <v>5.7887356182455905E-2</v>
      </c>
      <c r="AH15" s="3">
        <f t="shared" ref="AH15:AH24" ca="1" si="35">AH14+RAND()*($D$3-$C$3)+$C$3</f>
        <v>9.6962225035493441E-2</v>
      </c>
      <c r="AI15" s="3">
        <f t="shared" ref="AI15:AI24" ca="1" si="36">AI14+RAND()*($D$3-$C$3)+$C$3</f>
        <v>8.754274690801693E-2</v>
      </c>
      <c r="AJ15" s="3">
        <f t="shared" ca="1" si="5"/>
        <v>0.13181354064445611</v>
      </c>
    </row>
    <row r="16" spans="1:36" x14ac:dyDescent="0.35">
      <c r="A16" t="s">
        <v>72</v>
      </c>
      <c r="B16" t="s">
        <v>85</v>
      </c>
      <c r="C16" s="4" t="s">
        <v>79</v>
      </c>
      <c r="D16" s="3">
        <f t="shared" ca="1" si="4"/>
        <v>1.0451617813966496E-2</v>
      </c>
      <c r="E16" s="3">
        <f t="shared" ca="1" si="6"/>
        <v>1.0949161925832169E-2</v>
      </c>
      <c r="F16" s="3">
        <f t="shared" ca="1" si="7"/>
        <v>1.1405604302188206E-2</v>
      </c>
      <c r="G16" s="3">
        <f t="shared" ca="1" si="8"/>
        <v>1.3937616847367369E-2</v>
      </c>
      <c r="H16" s="3">
        <f t="shared" ca="1" si="9"/>
        <v>1.3606744467660494E-2</v>
      </c>
      <c r="I16" s="3">
        <f t="shared" ca="1" si="10"/>
        <v>1.457532184616577E-2</v>
      </c>
      <c r="J16" s="3">
        <f t="shared" ca="1" si="11"/>
        <v>1.6129360825451106E-2</v>
      </c>
      <c r="K16" s="3">
        <f t="shared" ca="1" si="12"/>
        <v>1.6583272880607878E-2</v>
      </c>
      <c r="L16" s="3">
        <f t="shared" ca="1" si="13"/>
        <v>1.7155632246308807E-2</v>
      </c>
      <c r="M16" s="3">
        <f t="shared" ca="1" si="14"/>
        <v>2.0405105799961274E-2</v>
      </c>
      <c r="N16" s="3">
        <f t="shared" ca="1" si="15"/>
        <v>1.8831130033528584E-2</v>
      </c>
      <c r="O16" s="3">
        <f t="shared" ca="1" si="16"/>
        <v>2.2617186110869509E-2</v>
      </c>
      <c r="P16" s="3">
        <f t="shared" ca="1" si="17"/>
        <v>2.0015998394096901E-2</v>
      </c>
      <c r="Q16" s="3">
        <f t="shared" ca="1" si="18"/>
        <v>2.5837520580387439E-2</v>
      </c>
      <c r="R16" s="3">
        <f t="shared" ca="1" si="19"/>
        <v>2.1829409898740226E-2</v>
      </c>
      <c r="S16" s="3">
        <f t="shared" ca="1" si="20"/>
        <v>2.6674425258230872E-2</v>
      </c>
      <c r="T16" s="3">
        <f t="shared" ca="1" si="21"/>
        <v>2.4770262819655518E-2</v>
      </c>
      <c r="U16" s="3">
        <f t="shared" ca="1" si="22"/>
        <v>2.8365568603319156E-2</v>
      </c>
      <c r="V16" s="3">
        <f t="shared" ca="1" si="23"/>
        <v>2.6233939266302964E-2</v>
      </c>
      <c r="W16" s="3">
        <f t="shared" ca="1" si="24"/>
        <v>3.1352864300879454E-2</v>
      </c>
      <c r="X16" s="3">
        <f t="shared" ca="1" si="25"/>
        <v>2.6776916964802722E-2</v>
      </c>
      <c r="Y16" s="3">
        <f t="shared" ca="1" si="26"/>
        <v>4.4750018148063002E-2</v>
      </c>
      <c r="Z16" s="3">
        <f t="shared" ca="1" si="27"/>
        <v>3.5769052170168819E-2</v>
      </c>
      <c r="AA16" s="3">
        <f t="shared" ca="1" si="28"/>
        <v>4.651245354416432E-2</v>
      </c>
      <c r="AB16" s="3">
        <f t="shared" ca="1" si="29"/>
        <v>5.1380416040655456E-2</v>
      </c>
      <c r="AC16" s="3">
        <f t="shared" ca="1" si="30"/>
        <v>5.0602822818956651E-2</v>
      </c>
      <c r="AD16" s="3">
        <f t="shared" ca="1" si="31"/>
        <v>6.2211153828906775E-2</v>
      </c>
      <c r="AE16" s="3">
        <f t="shared" ca="1" si="32"/>
        <v>5.1934261140456753E-2</v>
      </c>
      <c r="AF16" s="3">
        <f t="shared" ca="1" si="33"/>
        <v>7.6599118693413168E-2</v>
      </c>
      <c r="AG16" s="3">
        <f t="shared" ca="1" si="34"/>
        <v>5.8814936402397988E-2</v>
      </c>
      <c r="AH16" s="3">
        <f t="shared" ca="1" si="35"/>
        <v>9.7880735763407931E-2</v>
      </c>
      <c r="AI16" s="3">
        <f t="shared" ca="1" si="36"/>
        <v>8.8517588430804414E-2</v>
      </c>
      <c r="AJ16" s="3">
        <f t="shared" ca="1" si="5"/>
        <v>0.13279316604940944</v>
      </c>
    </row>
    <row r="17" spans="1:36" x14ac:dyDescent="0.35">
      <c r="A17" t="s">
        <v>72</v>
      </c>
      <c r="B17" t="s">
        <v>85</v>
      </c>
      <c r="C17" s="4">
        <v>5</v>
      </c>
      <c r="D17" s="3">
        <f t="shared" ca="1" si="4"/>
        <v>1.1392694656479638E-2</v>
      </c>
      <c r="E17" s="3">
        <f t="shared" ca="1" si="6"/>
        <v>1.1890518099244187E-2</v>
      </c>
      <c r="F17" s="3">
        <f t="shared" ca="1" si="7"/>
        <v>1.2330031950532635E-2</v>
      </c>
      <c r="G17" s="3">
        <f t="shared" ca="1" si="8"/>
        <v>1.4921741872031775E-2</v>
      </c>
      <c r="H17" s="3">
        <f t="shared" ca="1" si="9"/>
        <v>1.4572820702404423E-2</v>
      </c>
      <c r="I17" s="3">
        <f t="shared" ca="1" si="10"/>
        <v>1.5517930173264844E-2</v>
      </c>
      <c r="J17" s="3">
        <f t="shared" ca="1" si="11"/>
        <v>1.7120403365020822E-2</v>
      </c>
      <c r="K17" s="3">
        <f t="shared" ca="1" si="12"/>
        <v>1.7506460942454796E-2</v>
      </c>
      <c r="L17" s="3">
        <f t="shared" ca="1" si="13"/>
        <v>1.8061713356723977E-2</v>
      </c>
      <c r="M17" s="3">
        <f t="shared" ca="1" si="14"/>
        <v>2.1386825280524317E-2</v>
      </c>
      <c r="N17" s="3">
        <f t="shared" ca="1" si="15"/>
        <v>1.9803101826870947E-2</v>
      </c>
      <c r="O17" s="3">
        <f t="shared" ca="1" si="16"/>
        <v>2.3605050246765139E-2</v>
      </c>
      <c r="P17" s="3">
        <f t="shared" ca="1" si="17"/>
        <v>2.0941456427646978E-2</v>
      </c>
      <c r="Q17" s="3">
        <f t="shared" ca="1" si="18"/>
        <v>2.6818847169140674E-2</v>
      </c>
      <c r="R17" s="3">
        <f t="shared" ca="1" si="19"/>
        <v>2.2815171369449831E-2</v>
      </c>
      <c r="S17" s="3">
        <f t="shared" ca="1" si="20"/>
        <v>2.7669135115923536E-2</v>
      </c>
      <c r="T17" s="3">
        <f t="shared" ca="1" si="21"/>
        <v>2.5755571928044115E-2</v>
      </c>
      <c r="U17" s="3">
        <f t="shared" ca="1" si="22"/>
        <v>2.9355343013375779E-2</v>
      </c>
      <c r="V17" s="3">
        <f t="shared" ca="1" si="23"/>
        <v>2.7215501567028292E-2</v>
      </c>
      <c r="W17" s="3">
        <f t="shared" ca="1" si="24"/>
        <v>3.2334012476256585E-2</v>
      </c>
      <c r="X17" s="3">
        <f t="shared" ca="1" si="25"/>
        <v>2.7751737019282144E-2</v>
      </c>
      <c r="Y17" s="3">
        <f t="shared" ca="1" si="26"/>
        <v>4.5690879165381927E-2</v>
      </c>
      <c r="Z17" s="3">
        <f t="shared" ca="1" si="27"/>
        <v>3.6741004079169776E-2</v>
      </c>
      <c r="AA17" s="3">
        <f t="shared" ca="1" si="28"/>
        <v>4.7444374800700663E-2</v>
      </c>
      <c r="AB17" s="3">
        <f t="shared" ca="1" si="29"/>
        <v>5.2310104584581969E-2</v>
      </c>
      <c r="AC17" s="3">
        <f t="shared" ca="1" si="30"/>
        <v>5.1572412537637759E-2</v>
      </c>
      <c r="AD17" s="3">
        <f t="shared" ca="1" si="31"/>
        <v>6.3156608441624684E-2</v>
      </c>
      <c r="AE17" s="3">
        <f t="shared" ca="1" si="32"/>
        <v>5.2927266887639532E-2</v>
      </c>
      <c r="AF17" s="3">
        <f t="shared" ca="1" si="33"/>
        <v>7.757524610198982E-2</v>
      </c>
      <c r="AG17" s="3">
        <f t="shared" ca="1" si="34"/>
        <v>5.9774147890367994E-2</v>
      </c>
      <c r="AH17" s="3">
        <f t="shared" ca="1" si="35"/>
        <v>9.879876424057471E-2</v>
      </c>
      <c r="AI17" s="3">
        <f t="shared" ca="1" si="36"/>
        <v>8.9506379483604168E-2</v>
      </c>
      <c r="AJ17" s="3">
        <f t="shared" ca="1" si="5"/>
        <v>0.13370343261216017</v>
      </c>
    </row>
    <row r="18" spans="1:36" x14ac:dyDescent="0.35">
      <c r="A18" t="s">
        <v>72</v>
      </c>
      <c r="B18" t="s">
        <v>85</v>
      </c>
      <c r="C18" s="4" t="s">
        <v>80</v>
      </c>
      <c r="D18" s="3">
        <f t="shared" ca="1" si="4"/>
        <v>1.2351773931649967E-2</v>
      </c>
      <c r="E18" s="3">
        <f t="shared" ca="1" si="6"/>
        <v>1.280184805336735E-2</v>
      </c>
      <c r="F18" s="3">
        <f t="shared" ca="1" si="7"/>
        <v>1.3247465381353723E-2</v>
      </c>
      <c r="G18" s="3">
        <f t="shared" ca="1" si="8"/>
        <v>1.5848825586554992E-2</v>
      </c>
      <c r="H18" s="3">
        <f t="shared" ca="1" si="9"/>
        <v>1.5504000585793775E-2</v>
      </c>
      <c r="I18" s="3">
        <f t="shared" ca="1" si="10"/>
        <v>1.6430748797970501E-2</v>
      </c>
      <c r="J18" s="3">
        <f t="shared" ca="1" si="11"/>
        <v>1.8031801178841948E-2</v>
      </c>
      <c r="K18" s="3">
        <f t="shared" ca="1" si="12"/>
        <v>1.8424873757696549E-2</v>
      </c>
      <c r="L18" s="3">
        <f t="shared" ca="1" si="13"/>
        <v>1.904214384858078E-2</v>
      </c>
      <c r="M18" s="3">
        <f t="shared" ca="1" si="14"/>
        <v>2.2314487648356505E-2</v>
      </c>
      <c r="N18" s="3">
        <f t="shared" ca="1" si="15"/>
        <v>2.0735174762869391E-2</v>
      </c>
      <c r="O18" s="3">
        <f t="shared" ca="1" si="16"/>
        <v>2.455761402978008E-2</v>
      </c>
      <c r="P18" s="3">
        <f t="shared" ca="1" si="17"/>
        <v>2.1846949080484814E-2</v>
      </c>
      <c r="Q18" s="3">
        <f t="shared" ca="1" si="18"/>
        <v>2.7798008213529266E-2</v>
      </c>
      <c r="R18" s="3">
        <f t="shared" ca="1" si="19"/>
        <v>2.3739080216049889E-2</v>
      </c>
      <c r="S18" s="3">
        <f t="shared" ca="1" si="20"/>
        <v>2.8632501724534264E-2</v>
      </c>
      <c r="T18" s="3">
        <f t="shared" ca="1" si="21"/>
        <v>2.673572370477717E-2</v>
      </c>
      <c r="U18" s="3">
        <f t="shared" ca="1" si="22"/>
        <v>3.0344737384149303E-2</v>
      </c>
      <c r="V18" s="3">
        <f t="shared" ca="1" si="23"/>
        <v>2.8137387459350651E-2</v>
      </c>
      <c r="W18" s="3">
        <f t="shared" ca="1" si="24"/>
        <v>3.3330402039918126E-2</v>
      </c>
      <c r="X18" s="3">
        <f t="shared" ca="1" si="25"/>
        <v>2.8723931911511711E-2</v>
      </c>
      <c r="Y18" s="3">
        <f t="shared" ca="1" si="26"/>
        <v>4.6674554177941502E-2</v>
      </c>
      <c r="Z18" s="3">
        <f t="shared" ca="1" si="27"/>
        <v>3.7661601632961228E-2</v>
      </c>
      <c r="AA18" s="3">
        <f t="shared" ca="1" si="28"/>
        <v>4.835555504151063E-2</v>
      </c>
      <c r="AB18" s="3">
        <f t="shared" ca="1" si="29"/>
        <v>5.3279251365582141E-2</v>
      </c>
      <c r="AC18" s="3">
        <f t="shared" ca="1" si="30"/>
        <v>5.2512363326338483E-2</v>
      </c>
      <c r="AD18" s="3">
        <f t="shared" ca="1" si="31"/>
        <v>6.415353354857764E-2</v>
      </c>
      <c r="AE18" s="3">
        <f t="shared" ca="1" si="32"/>
        <v>5.3919234787426731E-2</v>
      </c>
      <c r="AF18" s="3">
        <f t="shared" ca="1" si="33"/>
        <v>7.8556619078767709E-2</v>
      </c>
      <c r="AG18" s="3">
        <f t="shared" ca="1" si="34"/>
        <v>6.0679119417618867E-2</v>
      </c>
      <c r="AH18" s="3">
        <f t="shared" ca="1" si="35"/>
        <v>9.9797244410902375E-2</v>
      </c>
      <c r="AI18" s="3">
        <f t="shared" ca="1" si="36"/>
        <v>9.0477379155284088E-2</v>
      </c>
      <c r="AJ18" s="3">
        <f t="shared" ca="1" si="5"/>
        <v>0.13463130220388544</v>
      </c>
    </row>
    <row r="19" spans="1:36" x14ac:dyDescent="0.35">
      <c r="A19" t="s">
        <v>72</v>
      </c>
      <c r="B19" t="s">
        <v>85</v>
      </c>
      <c r="C19" s="4" t="s">
        <v>81</v>
      </c>
      <c r="D19" s="3">
        <f t="shared" ca="1" si="4"/>
        <v>1.3287467546807052E-2</v>
      </c>
      <c r="E19" s="3">
        <f t="shared" ca="1" si="6"/>
        <v>1.3799439716605171E-2</v>
      </c>
      <c r="F19" s="3">
        <f t="shared" ca="1" si="7"/>
        <v>1.416811059117427E-2</v>
      </c>
      <c r="G19" s="3">
        <f t="shared" ca="1" si="8"/>
        <v>1.6830304448688698E-2</v>
      </c>
      <c r="H19" s="3">
        <f t="shared" ca="1" si="9"/>
        <v>1.6460081563107892E-2</v>
      </c>
      <c r="I19" s="3">
        <f t="shared" ca="1" si="10"/>
        <v>1.7378305616512567E-2</v>
      </c>
      <c r="J19" s="3">
        <f t="shared" ca="1" si="11"/>
        <v>1.9031129452598543E-2</v>
      </c>
      <c r="K19" s="3">
        <f t="shared" ca="1" si="12"/>
        <v>1.9355012176682923E-2</v>
      </c>
      <c r="L19" s="3">
        <f t="shared" ca="1" si="13"/>
        <v>2.0035584942616376E-2</v>
      </c>
      <c r="M19" s="3">
        <f t="shared" ca="1" si="14"/>
        <v>2.3236126873448292E-2</v>
      </c>
      <c r="N19" s="3">
        <f t="shared" ca="1" si="15"/>
        <v>2.1725530448257174E-2</v>
      </c>
      <c r="O19" s="3">
        <f t="shared" ca="1" si="16"/>
        <v>2.5508461601667677E-2</v>
      </c>
      <c r="P19" s="3">
        <f t="shared" ca="1" si="17"/>
        <v>2.284327947269903E-2</v>
      </c>
      <c r="Q19" s="3">
        <f t="shared" ca="1" si="18"/>
        <v>2.874307717582239E-2</v>
      </c>
      <c r="R19" s="3">
        <f t="shared" ca="1" si="19"/>
        <v>2.4726764650881843E-2</v>
      </c>
      <c r="S19" s="3">
        <f t="shared" ca="1" si="20"/>
        <v>2.9608698272936173E-2</v>
      </c>
      <c r="T19" s="3">
        <f t="shared" ca="1" si="21"/>
        <v>2.7682733470650759E-2</v>
      </c>
      <c r="U19" s="3">
        <f t="shared" ca="1" si="22"/>
        <v>3.1273490945163039E-2</v>
      </c>
      <c r="V19" s="3">
        <f t="shared" ca="1" si="23"/>
        <v>2.9093872015896069E-2</v>
      </c>
      <c r="W19" s="3">
        <f t="shared" ca="1" si="24"/>
        <v>3.4260792071493247E-2</v>
      </c>
      <c r="X19" s="3">
        <f t="shared" ca="1" si="25"/>
        <v>2.9630145676290725E-2</v>
      </c>
      <c r="Y19" s="3">
        <f t="shared" ca="1" si="26"/>
        <v>4.758781918233497E-2</v>
      </c>
      <c r="Z19" s="3">
        <f t="shared" ca="1" si="27"/>
        <v>3.8581680407734222E-2</v>
      </c>
      <c r="AA19" s="3">
        <f t="shared" ca="1" si="28"/>
        <v>4.9256913604067781E-2</v>
      </c>
      <c r="AB19" s="3">
        <f t="shared" ca="1" si="29"/>
        <v>5.4180148342159028E-2</v>
      </c>
      <c r="AC19" s="3">
        <f t="shared" ca="1" si="30"/>
        <v>5.3430344217926071E-2</v>
      </c>
      <c r="AD19" s="3">
        <f t="shared" ca="1" si="31"/>
        <v>6.5139908860749399E-2</v>
      </c>
      <c r="AE19" s="3">
        <f t="shared" ca="1" si="32"/>
        <v>5.4914172312061943E-2</v>
      </c>
      <c r="AF19" s="3">
        <f t="shared" ca="1" si="33"/>
        <v>7.946407925043715E-2</v>
      </c>
      <c r="AG19" s="3">
        <f t="shared" ca="1" si="34"/>
        <v>6.1637834694058258E-2</v>
      </c>
      <c r="AH19" s="3">
        <f t="shared" ca="1" si="35"/>
        <v>0.10073356308585564</v>
      </c>
      <c r="AI19" s="3">
        <f t="shared" ca="1" si="36"/>
        <v>9.1423098947411047E-2</v>
      </c>
      <c r="AJ19" s="3">
        <f t="shared" ca="1" si="5"/>
        <v>0.13561544768541897</v>
      </c>
    </row>
    <row r="20" spans="1:36" x14ac:dyDescent="0.35">
      <c r="A20" t="s">
        <v>72</v>
      </c>
      <c r="B20" t="s">
        <v>85</v>
      </c>
      <c r="C20" s="4">
        <v>6</v>
      </c>
      <c r="D20" s="3">
        <f t="shared" ca="1" si="4"/>
        <v>1.427209685267049E-2</v>
      </c>
      <c r="E20" s="3">
        <f t="shared" ca="1" si="6"/>
        <v>1.4741952086140266E-2</v>
      </c>
      <c r="F20" s="3">
        <f t="shared" ca="1" si="7"/>
        <v>1.5141622006834173E-2</v>
      </c>
      <c r="G20" s="3">
        <f t="shared" ca="1" si="8"/>
        <v>1.773332497821779E-2</v>
      </c>
      <c r="H20" s="3">
        <f t="shared" ca="1" si="9"/>
        <v>1.7405038231334907E-2</v>
      </c>
      <c r="I20" s="3">
        <f t="shared" ca="1" si="10"/>
        <v>1.8308435495173161E-2</v>
      </c>
      <c r="J20" s="3">
        <f t="shared" ca="1" si="11"/>
        <v>2.0002617153295352E-2</v>
      </c>
      <c r="K20" s="3">
        <f t="shared" ca="1" si="12"/>
        <v>2.028959509503676E-2</v>
      </c>
      <c r="L20" s="3">
        <f t="shared" ca="1" si="13"/>
        <v>2.1010167922998386E-2</v>
      </c>
      <c r="M20" s="3">
        <f t="shared" ca="1" si="14"/>
        <v>2.4203776790779584E-2</v>
      </c>
      <c r="N20" s="3">
        <f t="shared" ca="1" si="15"/>
        <v>2.2657836556008056E-2</v>
      </c>
      <c r="O20" s="3">
        <f t="shared" ca="1" si="16"/>
        <v>2.6435235537850314E-2</v>
      </c>
      <c r="P20" s="3">
        <f t="shared" ca="1" si="17"/>
        <v>2.3813163056806436E-2</v>
      </c>
      <c r="Q20" s="3">
        <f t="shared" ca="1" si="18"/>
        <v>2.9659670682821503E-2</v>
      </c>
      <c r="R20" s="3">
        <f t="shared" ca="1" si="19"/>
        <v>2.5658274328919307E-2</v>
      </c>
      <c r="S20" s="3">
        <f t="shared" ca="1" si="20"/>
        <v>3.0582825819937442E-2</v>
      </c>
      <c r="T20" s="3">
        <f t="shared" ca="1" si="21"/>
        <v>2.8645195841634705E-2</v>
      </c>
      <c r="U20" s="3">
        <f t="shared" ca="1" si="22"/>
        <v>3.2247389925240962E-2</v>
      </c>
      <c r="V20" s="3">
        <f t="shared" ca="1" si="23"/>
        <v>3.0003528479935919E-2</v>
      </c>
      <c r="W20" s="3">
        <f t="shared" ca="1" si="24"/>
        <v>3.5260272557253704E-2</v>
      </c>
      <c r="X20" s="3">
        <f t="shared" ca="1" si="25"/>
        <v>3.0569085329601953E-2</v>
      </c>
      <c r="Y20" s="3">
        <f t="shared" ca="1" si="26"/>
        <v>4.8571635228697597E-2</v>
      </c>
      <c r="Z20" s="3">
        <f t="shared" ca="1" si="27"/>
        <v>3.9484260763572275E-2</v>
      </c>
      <c r="AA20" s="3">
        <f t="shared" ca="1" si="28"/>
        <v>5.0180256795380893E-2</v>
      </c>
      <c r="AB20" s="3">
        <f t="shared" ca="1" si="29"/>
        <v>5.5178930688432597E-2</v>
      </c>
      <c r="AC20" s="3">
        <f t="shared" ca="1" si="30"/>
        <v>5.4407387831742968E-2</v>
      </c>
      <c r="AD20" s="3">
        <f t="shared" ca="1" si="31"/>
        <v>6.60758494115503E-2</v>
      </c>
      <c r="AE20" s="3">
        <f t="shared" ca="1" si="32"/>
        <v>5.585983367855487E-2</v>
      </c>
      <c r="AF20" s="3">
        <f t="shared" ca="1" si="33"/>
        <v>8.0442838078917042E-2</v>
      </c>
      <c r="AG20" s="3">
        <f t="shared" ca="1" si="34"/>
        <v>6.2554387249112275E-2</v>
      </c>
      <c r="AH20" s="3">
        <f t="shared" ca="1" si="35"/>
        <v>0.10165919973432636</v>
      </c>
      <c r="AI20" s="3">
        <f t="shared" ca="1" si="36"/>
        <v>9.2378690996943999E-2</v>
      </c>
      <c r="AJ20" s="3">
        <f t="shared" ca="1" si="5"/>
        <v>0.13660720677105212</v>
      </c>
    </row>
    <row r="21" spans="1:36" x14ac:dyDescent="0.35">
      <c r="A21" t="s">
        <v>72</v>
      </c>
      <c r="B21" t="s">
        <v>85</v>
      </c>
      <c r="C21" s="4" t="s">
        <v>82</v>
      </c>
      <c r="D21" s="3">
        <f t="shared" ca="1" si="4"/>
        <v>1.5263812266776793E-2</v>
      </c>
      <c r="E21" s="3">
        <f t="shared" ca="1" si="6"/>
        <v>1.5732909303191059E-2</v>
      </c>
      <c r="F21" s="3">
        <f t="shared" ca="1" si="7"/>
        <v>1.609879181907636E-2</v>
      </c>
      <c r="G21" s="3">
        <f t="shared" ca="1" si="8"/>
        <v>1.8657787312976532E-2</v>
      </c>
      <c r="H21" s="3">
        <f t="shared" ca="1" si="9"/>
        <v>1.8359137822923203E-2</v>
      </c>
      <c r="I21" s="3">
        <f t="shared" ca="1" si="10"/>
        <v>1.9220938576534299E-2</v>
      </c>
      <c r="J21" s="3">
        <f t="shared" ca="1" si="11"/>
        <v>2.0913804826462677E-2</v>
      </c>
      <c r="K21" s="3">
        <f t="shared" ca="1" si="12"/>
        <v>2.1230739249146844E-2</v>
      </c>
      <c r="L21" s="3">
        <f t="shared" ca="1" si="13"/>
        <v>2.1932939413809308E-2</v>
      </c>
      <c r="M21" s="3">
        <f t="shared" ca="1" si="14"/>
        <v>2.5145788593844712E-2</v>
      </c>
      <c r="N21" s="3">
        <f t="shared" ca="1" si="15"/>
        <v>2.3626853432754353E-2</v>
      </c>
      <c r="O21" s="3">
        <f t="shared" ca="1" si="16"/>
        <v>2.7411956162055471E-2</v>
      </c>
      <c r="P21" s="3">
        <f t="shared" ca="1" si="17"/>
        <v>2.479765656276359E-2</v>
      </c>
      <c r="Q21" s="3">
        <f t="shared" ca="1" si="18"/>
        <v>3.0646484395261069E-2</v>
      </c>
      <c r="R21" s="3">
        <f t="shared" ca="1" si="19"/>
        <v>2.6641147430560379E-2</v>
      </c>
      <c r="S21" s="3">
        <f t="shared" ca="1" si="20"/>
        <v>3.1581708473058703E-2</v>
      </c>
      <c r="T21" s="3">
        <f t="shared" ca="1" si="21"/>
        <v>2.9632438724495367E-2</v>
      </c>
      <c r="U21" s="3">
        <f t="shared" ca="1" si="22"/>
        <v>3.3160840021064085E-2</v>
      </c>
      <c r="V21" s="3">
        <f t="shared" ca="1" si="23"/>
        <v>3.0983365819813091E-2</v>
      </c>
      <c r="W21" s="3">
        <f t="shared" ca="1" si="24"/>
        <v>3.6189326402891207E-2</v>
      </c>
      <c r="X21" s="3">
        <f t="shared" ca="1" si="25"/>
        <v>3.1503971177556545E-2</v>
      </c>
      <c r="Y21" s="3">
        <f t="shared" ca="1" si="26"/>
        <v>4.949241981902066E-2</v>
      </c>
      <c r="Z21" s="3">
        <f t="shared" ca="1" si="27"/>
        <v>4.0469083705149109E-2</v>
      </c>
      <c r="AA21" s="3">
        <f t="shared" ca="1" si="28"/>
        <v>5.1161684148165784E-2</v>
      </c>
      <c r="AB21" s="3">
        <f t="shared" ca="1" si="29"/>
        <v>5.6080984699076721E-2</v>
      </c>
      <c r="AC21" s="3">
        <f t="shared" ca="1" si="30"/>
        <v>5.5324685025339028E-2</v>
      </c>
      <c r="AD21" s="3">
        <f t="shared" ca="1" si="31"/>
        <v>6.7025249828346178E-2</v>
      </c>
      <c r="AE21" s="3">
        <f t="shared" ca="1" si="32"/>
        <v>5.685578632979426E-2</v>
      </c>
      <c r="AF21" s="3">
        <f t="shared" ca="1" si="33"/>
        <v>8.1442411689678335E-2</v>
      </c>
      <c r="AG21" s="3">
        <f t="shared" ca="1" si="34"/>
        <v>6.3454474720507692E-2</v>
      </c>
      <c r="AH21" s="3">
        <f t="shared" ca="1" si="35"/>
        <v>0.10257186904120029</v>
      </c>
      <c r="AI21" s="3">
        <f t="shared" ca="1" si="36"/>
        <v>9.3333578440312925E-2</v>
      </c>
      <c r="AJ21" s="3">
        <f t="shared" ca="1" si="5"/>
        <v>0.13756039003403714</v>
      </c>
    </row>
    <row r="22" spans="1:36" x14ac:dyDescent="0.35">
      <c r="A22" t="s">
        <v>72</v>
      </c>
      <c r="B22" t="s">
        <v>85</v>
      </c>
      <c r="C22" s="4" t="s">
        <v>83</v>
      </c>
      <c r="D22" s="3">
        <f t="shared" ca="1" si="4"/>
        <v>1.6258313325835098E-2</v>
      </c>
      <c r="E22" s="3">
        <f t="shared" ca="1" si="6"/>
        <v>1.6664422751371522E-2</v>
      </c>
      <c r="F22" s="3">
        <f t="shared" ca="1" si="7"/>
        <v>1.7044139420366401E-2</v>
      </c>
      <c r="G22" s="3">
        <f t="shared" ca="1" si="8"/>
        <v>1.9654183375913594E-2</v>
      </c>
      <c r="H22" s="3">
        <f t="shared" ca="1" si="9"/>
        <v>1.9342934195328725E-2</v>
      </c>
      <c r="I22" s="3">
        <f t="shared" ca="1" si="10"/>
        <v>2.0208570208275684E-2</v>
      </c>
      <c r="J22" s="3">
        <f t="shared" ca="1" si="11"/>
        <v>2.1820944924715459E-2</v>
      </c>
      <c r="K22" s="3">
        <f t="shared" ca="1" si="12"/>
        <v>2.2211150414129268E-2</v>
      </c>
      <c r="L22" s="3">
        <f t="shared" ca="1" si="13"/>
        <v>2.2900842615034625E-2</v>
      </c>
      <c r="M22" s="3">
        <f t="shared" ca="1" si="14"/>
        <v>2.6089982830518253E-2</v>
      </c>
      <c r="N22" s="3">
        <f t="shared" ca="1" si="15"/>
        <v>2.4589694759775096E-2</v>
      </c>
      <c r="O22" s="3">
        <f t="shared" ca="1" si="16"/>
        <v>2.8340255688448491E-2</v>
      </c>
      <c r="P22" s="3">
        <f t="shared" ca="1" si="17"/>
        <v>2.5724828456456787E-2</v>
      </c>
      <c r="Q22" s="3">
        <f t="shared" ca="1" si="18"/>
        <v>3.1590752891357606E-2</v>
      </c>
      <c r="R22" s="3">
        <f t="shared" ca="1" si="19"/>
        <v>2.7587469340213115E-2</v>
      </c>
      <c r="S22" s="3">
        <f t="shared" ca="1" si="20"/>
        <v>3.2567772570547104E-2</v>
      </c>
      <c r="T22" s="3">
        <f t="shared" ca="1" si="21"/>
        <v>3.0597731180103449E-2</v>
      </c>
      <c r="U22" s="3">
        <f t="shared" ca="1" si="22"/>
        <v>3.4066878048339501E-2</v>
      </c>
      <c r="V22" s="3">
        <f t="shared" ca="1" si="23"/>
        <v>3.1965582589996905E-2</v>
      </c>
      <c r="W22" s="3">
        <f t="shared" ca="1" si="24"/>
        <v>3.7152745560524315E-2</v>
      </c>
      <c r="X22" s="3">
        <f t="shared" ca="1" si="25"/>
        <v>3.2411965868464981E-2</v>
      </c>
      <c r="Y22" s="3">
        <f t="shared" ca="1" si="26"/>
        <v>5.0405199454347682E-2</v>
      </c>
      <c r="Z22" s="3">
        <f t="shared" ca="1" si="27"/>
        <v>4.1446613190632829E-2</v>
      </c>
      <c r="AA22" s="3">
        <f t="shared" ca="1" si="28"/>
        <v>5.2147798083036136E-2</v>
      </c>
      <c r="AB22" s="3">
        <f t="shared" ca="1" si="29"/>
        <v>5.7012391787465179E-2</v>
      </c>
      <c r="AC22" s="3">
        <f t="shared" ca="1" si="30"/>
        <v>5.6249058594318758E-2</v>
      </c>
      <c r="AD22" s="3">
        <f t="shared" ca="1" si="31"/>
        <v>6.8012703948703804E-2</v>
      </c>
      <c r="AE22" s="3">
        <f t="shared" ca="1" si="32"/>
        <v>5.7762099494107627E-2</v>
      </c>
      <c r="AF22" s="3">
        <f t="shared" ca="1" si="33"/>
        <v>8.2408340066459862E-2</v>
      </c>
      <c r="AG22" s="3">
        <f t="shared" ca="1" si="34"/>
        <v>6.4383140432970956E-2</v>
      </c>
      <c r="AH22" s="3">
        <f t="shared" ca="1" si="35"/>
        <v>0.10349350671209306</v>
      </c>
      <c r="AI22" s="3">
        <f t="shared" ca="1" si="36"/>
        <v>9.424058972735129E-2</v>
      </c>
      <c r="AJ22" s="3">
        <f t="shared" ca="1" si="5"/>
        <v>0.13852565964640187</v>
      </c>
    </row>
    <row r="23" spans="1:36" x14ac:dyDescent="0.35">
      <c r="A23" t="s">
        <v>72</v>
      </c>
      <c r="B23" t="s">
        <v>85</v>
      </c>
      <c r="C23" s="4">
        <v>7</v>
      </c>
      <c r="D23" s="3">
        <f t="shared" ca="1" si="4"/>
        <v>1.7200661918787045E-2</v>
      </c>
      <c r="E23" s="3">
        <f t="shared" ca="1" si="6"/>
        <v>1.759905084817899E-2</v>
      </c>
      <c r="F23" s="3">
        <f t="shared" ca="1" si="7"/>
        <v>1.7999908112302825E-2</v>
      </c>
      <c r="G23" s="3">
        <f t="shared" ca="1" si="8"/>
        <v>2.0602747294023924E-2</v>
      </c>
      <c r="H23" s="3">
        <f t="shared" ca="1" si="9"/>
        <v>2.0340927736579154E-2</v>
      </c>
      <c r="I23" s="3">
        <f t="shared" ca="1" si="10"/>
        <v>2.1160013680824957E-2</v>
      </c>
      <c r="J23" s="3">
        <f t="shared" ca="1" si="11"/>
        <v>2.2798636055544514E-2</v>
      </c>
      <c r="K23" s="3">
        <f t="shared" ca="1" si="12"/>
        <v>2.3147417078684757E-2</v>
      </c>
      <c r="L23" s="3">
        <f t="shared" ca="1" si="13"/>
        <v>2.3884361362201251E-2</v>
      </c>
      <c r="M23" s="3">
        <f t="shared" ca="1" si="14"/>
        <v>2.7066011617063051E-2</v>
      </c>
      <c r="N23" s="3">
        <f t="shared" ca="1" si="15"/>
        <v>2.5574935817173069E-2</v>
      </c>
      <c r="O23" s="3">
        <f t="shared" ca="1" si="16"/>
        <v>2.9243120872214836E-2</v>
      </c>
      <c r="P23" s="3">
        <f t="shared" ca="1" si="17"/>
        <v>2.6652615848860219E-2</v>
      </c>
      <c r="Q23" s="3">
        <f t="shared" ca="1" si="18"/>
        <v>3.2569733367876191E-2</v>
      </c>
      <c r="R23" s="3">
        <f t="shared" ca="1" si="19"/>
        <v>2.8576129199714074E-2</v>
      </c>
      <c r="S23" s="3">
        <f t="shared" ca="1" si="20"/>
        <v>3.3540739523052102E-2</v>
      </c>
      <c r="T23" s="3">
        <f t="shared" ca="1" si="21"/>
        <v>3.1548683447016848E-2</v>
      </c>
      <c r="U23" s="3">
        <f t="shared" ca="1" si="22"/>
        <v>3.5009804975175335E-2</v>
      </c>
      <c r="V23" s="3">
        <f t="shared" ca="1" si="23"/>
        <v>3.2950087490942866E-2</v>
      </c>
      <c r="W23" s="3">
        <f t="shared" ca="1" si="24"/>
        <v>3.8118232677885625E-2</v>
      </c>
      <c r="X23" s="3">
        <f t="shared" ca="1" si="25"/>
        <v>3.3405612871754441E-2</v>
      </c>
      <c r="Y23" s="3">
        <f t="shared" ca="1" si="26"/>
        <v>5.1324381851075344E-2</v>
      </c>
      <c r="Z23" s="3">
        <f t="shared" ca="1" si="27"/>
        <v>4.2431863695245181E-2</v>
      </c>
      <c r="AA23" s="3">
        <f t="shared" ca="1" si="28"/>
        <v>5.3138623042467269E-2</v>
      </c>
      <c r="AB23" s="3">
        <f t="shared" ca="1" si="29"/>
        <v>5.7919633726327448E-2</v>
      </c>
      <c r="AC23" s="3">
        <f t="shared" ca="1" si="30"/>
        <v>5.7245991404705529E-2</v>
      </c>
      <c r="AD23" s="3">
        <f t="shared" ca="1" si="31"/>
        <v>6.8975947900684426E-2</v>
      </c>
      <c r="AE23" s="3">
        <f t="shared" ca="1" si="32"/>
        <v>5.8740836097137532E-2</v>
      </c>
      <c r="AF23" s="3">
        <f t="shared" ca="1" si="33"/>
        <v>8.3369333103120793E-2</v>
      </c>
      <c r="AG23" s="3">
        <f t="shared" ca="1" si="34"/>
        <v>6.5340509896130231E-2</v>
      </c>
      <c r="AH23" s="3">
        <f t="shared" ca="1" si="35"/>
        <v>0.1044192847923204</v>
      </c>
      <c r="AI23" s="3">
        <f t="shared" ca="1" si="36"/>
        <v>9.5184890554395954E-2</v>
      </c>
      <c r="AJ23" s="3">
        <f t="shared" ca="1" si="5"/>
        <v>0.13948251845596493</v>
      </c>
    </row>
    <row r="24" spans="1:36" x14ac:dyDescent="0.35">
      <c r="A24" t="s">
        <v>72</v>
      </c>
      <c r="B24" t="s">
        <v>85</v>
      </c>
      <c r="C24" s="4" t="s">
        <v>84</v>
      </c>
      <c r="D24" s="3">
        <f t="shared" ca="1" si="4"/>
        <v>1.8166562334712585E-2</v>
      </c>
      <c r="E24" s="3">
        <f t="shared" ca="1" si="6"/>
        <v>1.8590553464073113E-2</v>
      </c>
      <c r="F24" s="3">
        <f t="shared" ca="1" si="7"/>
        <v>1.890184950804235E-2</v>
      </c>
      <c r="G24" s="3">
        <f t="shared" ca="1" si="8"/>
        <v>2.1564174319794276E-2</v>
      </c>
      <c r="H24" s="3">
        <f t="shared" ca="1" si="9"/>
        <v>2.1243459502794652E-2</v>
      </c>
      <c r="I24" s="3">
        <f t="shared" ca="1" si="10"/>
        <v>2.206993014250325E-2</v>
      </c>
      <c r="J24" s="3">
        <f t="shared" ca="1" si="11"/>
        <v>2.3726024963811071E-2</v>
      </c>
      <c r="K24" s="3">
        <f t="shared" ca="1" si="12"/>
        <v>2.4088037481514061E-2</v>
      </c>
      <c r="L24" s="3">
        <f t="shared" ca="1" si="13"/>
        <v>2.4882835718398229E-2</v>
      </c>
      <c r="M24" s="3">
        <f t="shared" ca="1" si="14"/>
        <v>2.798228943204099E-2</v>
      </c>
      <c r="N24" s="3">
        <f t="shared" ca="1" si="15"/>
        <v>2.6540296229596416E-2</v>
      </c>
      <c r="O24" s="3">
        <f t="shared" ca="1" si="16"/>
        <v>3.0221587420155818E-2</v>
      </c>
      <c r="P24" s="3">
        <f t="shared" ca="1" si="17"/>
        <v>2.7595541411957924E-2</v>
      </c>
      <c r="Q24" s="3">
        <f t="shared" ca="1" si="18"/>
        <v>3.3536050711690656E-2</v>
      </c>
      <c r="R24" s="3">
        <f t="shared" ca="1" si="19"/>
        <v>2.9547172878563711E-2</v>
      </c>
      <c r="S24" s="3">
        <f t="shared" ca="1" si="20"/>
        <v>3.4509246908124132E-2</v>
      </c>
      <c r="T24" s="3">
        <f t="shared" ca="1" si="21"/>
        <v>3.2461461138448867E-2</v>
      </c>
      <c r="U24" s="3">
        <f t="shared" ca="1" si="22"/>
        <v>3.5964158194139742E-2</v>
      </c>
      <c r="V24" s="3">
        <f t="shared" ca="1" si="23"/>
        <v>3.3913496729225834E-2</v>
      </c>
      <c r="W24" s="3">
        <f t="shared" ca="1" si="24"/>
        <v>3.9083039935777206E-2</v>
      </c>
      <c r="X24" s="3">
        <f t="shared" ca="1" si="25"/>
        <v>3.4402057325229468E-2</v>
      </c>
      <c r="Y24" s="3">
        <f t="shared" ca="1" si="26"/>
        <v>5.2278663424839174E-2</v>
      </c>
      <c r="Z24" s="3">
        <f t="shared" ca="1" si="27"/>
        <v>4.3383456054049988E-2</v>
      </c>
      <c r="AA24" s="3">
        <f t="shared" ca="1" si="28"/>
        <v>5.4129865817589558E-2</v>
      </c>
      <c r="AB24" s="3">
        <f t="shared" ca="1" si="29"/>
        <v>5.8841084079429569E-2</v>
      </c>
      <c r="AC24" s="3">
        <f t="shared" ca="1" si="30"/>
        <v>5.8187457185954958E-2</v>
      </c>
      <c r="AD24" s="3">
        <f t="shared" ca="1" si="31"/>
        <v>6.9909162955906837E-2</v>
      </c>
      <c r="AE24" s="3">
        <f t="shared" ca="1" si="32"/>
        <v>5.9688942281851648E-2</v>
      </c>
      <c r="AF24" s="3">
        <f t="shared" ca="1" si="33"/>
        <v>8.4359529071026035E-2</v>
      </c>
      <c r="AG24" s="3">
        <f t="shared" ca="1" si="34"/>
        <v>6.6326130414968668E-2</v>
      </c>
      <c r="AH24" s="3">
        <f t="shared" ca="1" si="35"/>
        <v>0.10539825560777447</v>
      </c>
      <c r="AI24" s="3">
        <f t="shared" ca="1" si="36"/>
        <v>9.6111562090151398E-2</v>
      </c>
      <c r="AJ24" s="3">
        <f t="shared" ca="1" si="5"/>
        <v>0.14038586655357663</v>
      </c>
    </row>
    <row r="25" spans="1:36" x14ac:dyDescent="0.35">
      <c r="A25" t="s">
        <v>72</v>
      </c>
      <c r="B25" t="s">
        <v>70</v>
      </c>
      <c r="C25" s="4">
        <v>1</v>
      </c>
      <c r="D25" s="3">
        <f ca="1">MIN(0.99,D6+$D$3)</f>
        <v>1.9489155565808258E-3</v>
      </c>
      <c r="E25" s="3">
        <f t="shared" ref="E25:AJ25" ca="1" si="37">MIN(0.99,E6+$D$3)</f>
        <v>2.4914207186641944E-3</v>
      </c>
      <c r="F25" s="3">
        <f t="shared" ca="1" si="37"/>
        <v>2.8286364663755083E-3</v>
      </c>
      <c r="G25" s="3">
        <f t="shared" ca="1" si="37"/>
        <v>5.4161832111370564E-3</v>
      </c>
      <c r="H25" s="3">
        <f t="shared" ca="1" si="37"/>
        <v>5.0050241415017594E-3</v>
      </c>
      <c r="I25" s="3">
        <f t="shared" ca="1" si="37"/>
        <v>6.1010244293844247E-3</v>
      </c>
      <c r="J25" s="3">
        <f t="shared" ca="1" si="37"/>
        <v>7.8163148089471259E-3</v>
      </c>
      <c r="K25" s="3">
        <f t="shared" ca="1" si="37"/>
        <v>8.2149945846778996E-3</v>
      </c>
      <c r="L25" s="3">
        <f t="shared" ca="1" si="37"/>
        <v>8.8220227601358593E-3</v>
      </c>
      <c r="M25" s="3">
        <f t="shared" ca="1" si="37"/>
        <v>1.1907570382466166E-2</v>
      </c>
      <c r="N25" s="3">
        <f t="shared" ca="1" si="37"/>
        <v>1.0251118007418316E-2</v>
      </c>
      <c r="O25" s="3">
        <f t="shared" ca="1" si="37"/>
        <v>1.4209652031731596E-2</v>
      </c>
      <c r="P25" s="3">
        <f t="shared" ca="1" si="37"/>
        <v>1.1555720538694612E-2</v>
      </c>
      <c r="Q25" s="3">
        <f t="shared" ca="1" si="37"/>
        <v>1.7274408014531926E-2</v>
      </c>
      <c r="R25" s="3">
        <f t="shared" ca="1" si="37"/>
        <v>1.3278056269551881E-2</v>
      </c>
      <c r="S25" s="3">
        <f t="shared" ca="1" si="37"/>
        <v>1.8319199292237725E-2</v>
      </c>
      <c r="T25" s="3">
        <f t="shared" ca="1" si="37"/>
        <v>1.6320357003587974E-2</v>
      </c>
      <c r="U25" s="3">
        <f t="shared" ca="1" si="37"/>
        <v>2.0050714254284407E-2</v>
      </c>
      <c r="V25" s="3">
        <f t="shared" ca="1" si="37"/>
        <v>1.7685101092689736E-2</v>
      </c>
      <c r="W25" s="3">
        <f t="shared" ca="1" si="37"/>
        <v>2.2909280107846642E-2</v>
      </c>
      <c r="X25" s="3">
        <f t="shared" ca="1" si="37"/>
        <v>1.8360103972379412E-2</v>
      </c>
      <c r="Y25" s="3">
        <f t="shared" ca="1" si="37"/>
        <v>3.6049654115689875E-2</v>
      </c>
      <c r="Z25" s="3">
        <f t="shared" ca="1" si="37"/>
        <v>2.7263312099614877E-2</v>
      </c>
      <c r="AA25" s="3">
        <f t="shared" ca="1" si="37"/>
        <v>3.7895172202255474E-2</v>
      </c>
      <c r="AB25" s="3">
        <f t="shared" ca="1" si="37"/>
        <v>4.303669638929155E-2</v>
      </c>
      <c r="AC25" s="3">
        <f t="shared" ca="1" si="37"/>
        <v>4.200531370771577E-2</v>
      </c>
      <c r="AD25" s="3">
        <f t="shared" ca="1" si="37"/>
        <v>5.3784244355589643E-2</v>
      </c>
      <c r="AE25" s="3">
        <f t="shared" ca="1" si="37"/>
        <v>4.338175851732818E-2</v>
      </c>
      <c r="AF25" s="3">
        <f t="shared" ca="1" si="37"/>
        <v>6.8107199728716344E-2</v>
      </c>
      <c r="AG25" s="3">
        <f t="shared" ca="1" si="37"/>
        <v>5.0165330697988467E-2</v>
      </c>
      <c r="AH25" s="3">
        <f t="shared" ca="1" si="37"/>
        <v>8.9465033549349274E-2</v>
      </c>
      <c r="AI25" s="3">
        <f t="shared" ca="1" si="37"/>
        <v>7.9874107981111761E-2</v>
      </c>
      <c r="AJ25" s="3">
        <f t="shared" ca="1" si="37"/>
        <v>0.12433653162521983</v>
      </c>
    </row>
    <row r="26" spans="1:36" x14ac:dyDescent="0.35">
      <c r="A26" t="s">
        <v>72</v>
      </c>
      <c r="B26" t="s">
        <v>70</v>
      </c>
      <c r="C26" s="4" t="s">
        <v>73</v>
      </c>
      <c r="D26" s="3">
        <f t="shared" ref="D26:AJ26" ca="1" si="38">MIN(0.99,D7+$D$3)</f>
        <v>2.9265610527891943E-3</v>
      </c>
      <c r="E26" s="3">
        <f t="shared" ca="1" si="38"/>
        <v>3.4482312128100929E-3</v>
      </c>
      <c r="F26" s="3">
        <f t="shared" ca="1" si="38"/>
        <v>3.7649575103077112E-3</v>
      </c>
      <c r="G26" s="3">
        <f t="shared" ca="1" si="38"/>
        <v>6.3226926016803674E-3</v>
      </c>
      <c r="H26" s="3">
        <f t="shared" ca="1" si="38"/>
        <v>5.9880205810149785E-3</v>
      </c>
      <c r="I26" s="3">
        <f t="shared" ca="1" si="38"/>
        <v>7.0693780639511632E-3</v>
      </c>
      <c r="J26" s="3">
        <f t="shared" ca="1" si="38"/>
        <v>8.793115714279879E-3</v>
      </c>
      <c r="K26" s="3">
        <f t="shared" ca="1" si="38"/>
        <v>9.1897743491197448E-3</v>
      </c>
      <c r="L26" s="3">
        <f t="shared" ca="1" si="38"/>
        <v>9.7409986416310927E-3</v>
      </c>
      <c r="M26" s="3">
        <f t="shared" ca="1" si="38"/>
        <v>1.2875218593734552E-2</v>
      </c>
      <c r="N26" s="3">
        <f t="shared" ca="1" si="38"/>
        <v>1.1191787313370054E-2</v>
      </c>
      <c r="O26" s="3">
        <f t="shared" ca="1" si="38"/>
        <v>1.5111750155094875E-2</v>
      </c>
      <c r="P26" s="3">
        <f t="shared" ca="1" si="38"/>
        <v>1.2530831549218618E-2</v>
      </c>
      <c r="Q26" s="3">
        <f t="shared" ca="1" si="38"/>
        <v>1.822954302058968E-2</v>
      </c>
      <c r="R26" s="3">
        <f t="shared" ca="1" si="38"/>
        <v>1.4270533130590634E-2</v>
      </c>
      <c r="S26" s="3">
        <f t="shared" ca="1" si="38"/>
        <v>1.9295220226228038E-2</v>
      </c>
      <c r="T26" s="3">
        <f t="shared" ca="1" si="38"/>
        <v>1.722043803437286E-2</v>
      </c>
      <c r="U26" s="3">
        <f t="shared" ca="1" si="38"/>
        <v>2.0986514159243675E-2</v>
      </c>
      <c r="V26" s="3">
        <f t="shared" ca="1" si="38"/>
        <v>1.8619064739089065E-2</v>
      </c>
      <c r="W26" s="3">
        <f t="shared" ca="1" si="38"/>
        <v>2.3825500223234753E-2</v>
      </c>
      <c r="X26" s="3">
        <f t="shared" ca="1" si="38"/>
        <v>1.9334450495532021E-2</v>
      </c>
      <c r="Y26" s="3">
        <f t="shared" ca="1" si="38"/>
        <v>3.7001448457920486E-2</v>
      </c>
      <c r="Z26" s="3">
        <f t="shared" ca="1" si="38"/>
        <v>2.8164199185525939E-2</v>
      </c>
      <c r="AA26" s="3">
        <f t="shared" ca="1" si="38"/>
        <v>3.8849487744943165E-2</v>
      </c>
      <c r="AB26" s="3">
        <f t="shared" ca="1" si="38"/>
        <v>4.3962058348978053E-2</v>
      </c>
      <c r="AC26" s="3">
        <f t="shared" ca="1" si="38"/>
        <v>4.298419535587094E-2</v>
      </c>
      <c r="AD26" s="3">
        <f t="shared" ca="1" si="38"/>
        <v>5.4726163407026719E-2</v>
      </c>
      <c r="AE26" s="3">
        <f t="shared" ca="1" si="38"/>
        <v>4.4336346951160316E-2</v>
      </c>
      <c r="AF26" s="3">
        <f t="shared" ca="1" si="38"/>
        <v>6.9105964875773626E-2</v>
      </c>
      <c r="AG26" s="3">
        <f t="shared" ca="1" si="38"/>
        <v>5.1132993889453873E-2</v>
      </c>
      <c r="AH26" s="3">
        <f t="shared" ca="1" si="38"/>
        <v>9.0390759799874945E-2</v>
      </c>
      <c r="AI26" s="3">
        <f t="shared" ca="1" si="38"/>
        <v>8.0802264956999229E-2</v>
      </c>
      <c r="AJ26" s="3">
        <f t="shared" ca="1" si="38"/>
        <v>0.12527164443119315</v>
      </c>
    </row>
    <row r="27" spans="1:36" x14ac:dyDescent="0.35">
      <c r="A27" t="s">
        <v>72</v>
      </c>
      <c r="B27" t="s">
        <v>70</v>
      </c>
      <c r="C27" s="4">
        <v>2</v>
      </c>
      <c r="D27" s="3">
        <f t="shared" ref="D27:AJ27" ca="1" si="39">MIN(0.99,D8+$D$3)</f>
        <v>3.915555131409159E-3</v>
      </c>
      <c r="E27" s="3">
        <f t="shared" ca="1" si="39"/>
        <v>4.3619070305204038E-3</v>
      </c>
      <c r="F27" s="3">
        <f t="shared" ca="1" si="39"/>
        <v>4.7112479684363363E-3</v>
      </c>
      <c r="G27" s="3">
        <f t="shared" ca="1" si="39"/>
        <v>7.2721313324808218E-3</v>
      </c>
      <c r="H27" s="3">
        <f t="shared" ca="1" si="39"/>
        <v>6.9495999104175607E-3</v>
      </c>
      <c r="I27" s="3">
        <f t="shared" ca="1" si="39"/>
        <v>7.9840395969106633E-3</v>
      </c>
      <c r="J27" s="3">
        <f t="shared" ca="1" si="39"/>
        <v>9.7361900251230725E-3</v>
      </c>
      <c r="K27" s="3">
        <f t="shared" ca="1" si="39"/>
        <v>1.016458024255984E-2</v>
      </c>
      <c r="L27" s="3">
        <f t="shared" ca="1" si="39"/>
        <v>1.0716628937796322E-2</v>
      </c>
      <c r="M27" s="3">
        <f t="shared" ca="1" si="39"/>
        <v>1.3790871662646885E-2</v>
      </c>
      <c r="N27" s="3">
        <f t="shared" ca="1" si="39"/>
        <v>1.2160299362651731E-2</v>
      </c>
      <c r="O27" s="3">
        <f t="shared" ca="1" si="39"/>
        <v>1.6078729794210312E-2</v>
      </c>
      <c r="P27" s="3">
        <f t="shared" ca="1" si="39"/>
        <v>1.3465168786495521E-2</v>
      </c>
      <c r="Q27" s="3">
        <f t="shared" ca="1" si="39"/>
        <v>1.9197746753663189E-2</v>
      </c>
      <c r="R27" s="3">
        <f t="shared" ca="1" si="39"/>
        <v>1.5223471060640849E-2</v>
      </c>
      <c r="S27" s="3">
        <f t="shared" ca="1" si="39"/>
        <v>2.0290807760214333E-2</v>
      </c>
      <c r="T27" s="3">
        <f t="shared" ca="1" si="39"/>
        <v>1.8141829837937405E-2</v>
      </c>
      <c r="U27" s="3">
        <f t="shared" ca="1" si="39"/>
        <v>2.1897869179906368E-2</v>
      </c>
      <c r="V27" s="3">
        <f t="shared" ca="1" si="39"/>
        <v>1.9535389428510023E-2</v>
      </c>
      <c r="W27" s="3">
        <f t="shared" ca="1" si="39"/>
        <v>2.478209038889433E-2</v>
      </c>
      <c r="X27" s="3">
        <f t="shared" ca="1" si="39"/>
        <v>2.0299327429793578E-2</v>
      </c>
      <c r="Y27" s="3">
        <f t="shared" ca="1" si="39"/>
        <v>3.7919152225019175E-2</v>
      </c>
      <c r="Z27" s="3">
        <f t="shared" ca="1" si="39"/>
        <v>2.9109094697391154E-2</v>
      </c>
      <c r="AA27" s="3">
        <f t="shared" ca="1" si="39"/>
        <v>3.9777468044106291E-2</v>
      </c>
      <c r="AB27" s="3">
        <f t="shared" ca="1" si="39"/>
        <v>4.4941221833536021E-2</v>
      </c>
      <c r="AC27" s="3">
        <f t="shared" ca="1" si="39"/>
        <v>4.3932100050676881E-2</v>
      </c>
      <c r="AD27" s="3">
        <f t="shared" ca="1" si="39"/>
        <v>5.5678896872499183E-2</v>
      </c>
      <c r="AE27" s="3">
        <f t="shared" ca="1" si="39"/>
        <v>4.5292526408805864E-2</v>
      </c>
      <c r="AF27" s="3">
        <f t="shared" ca="1" si="39"/>
        <v>7.0041601340319892E-2</v>
      </c>
      <c r="AG27" s="3">
        <f t="shared" ca="1" si="39"/>
        <v>5.2093354852914768E-2</v>
      </c>
      <c r="AH27" s="3">
        <f t="shared" ca="1" si="39"/>
        <v>9.1337711995689796E-2</v>
      </c>
      <c r="AI27" s="3">
        <f t="shared" ca="1" si="39"/>
        <v>8.1727821817211985E-2</v>
      </c>
      <c r="AJ27" s="3">
        <f t="shared" ca="1" si="39"/>
        <v>0.12622568101836737</v>
      </c>
    </row>
    <row r="28" spans="1:36" x14ac:dyDescent="0.35">
      <c r="A28" t="s">
        <v>72</v>
      </c>
      <c r="B28" t="s">
        <v>70</v>
      </c>
      <c r="C28" s="4" t="s">
        <v>74</v>
      </c>
      <c r="D28" s="3">
        <f t="shared" ref="D28:AJ28" ca="1" si="40">MIN(0.99,D9+$D$3)</f>
        <v>4.8530727358845347E-3</v>
      </c>
      <c r="E28" s="3">
        <f t="shared" ca="1" si="40"/>
        <v>5.2639740471702645E-3</v>
      </c>
      <c r="F28" s="3">
        <f t="shared" ca="1" si="40"/>
        <v>5.7079451674980084E-3</v>
      </c>
      <c r="G28" s="3">
        <f t="shared" ca="1" si="40"/>
        <v>8.185844167923461E-3</v>
      </c>
      <c r="H28" s="3">
        <f t="shared" ca="1" si="40"/>
        <v>7.941932531472972E-3</v>
      </c>
      <c r="I28" s="3">
        <f t="shared" ca="1" si="40"/>
        <v>8.9750200893057679E-3</v>
      </c>
      <c r="J28" s="3">
        <f t="shared" ca="1" si="40"/>
        <v>1.0655755650458443E-2</v>
      </c>
      <c r="K28" s="3">
        <f t="shared" ca="1" si="40"/>
        <v>1.1090890925793257E-2</v>
      </c>
      <c r="L28" s="3">
        <f t="shared" ca="1" si="40"/>
        <v>1.1617536264291024E-2</v>
      </c>
      <c r="M28" s="3">
        <f t="shared" ca="1" si="40"/>
        <v>1.4744769200465312E-2</v>
      </c>
      <c r="N28" s="3">
        <f t="shared" ca="1" si="40"/>
        <v>1.312127832417271E-2</v>
      </c>
      <c r="O28" s="3">
        <f t="shared" ca="1" si="40"/>
        <v>1.70173962692119E-2</v>
      </c>
      <c r="P28" s="3">
        <f t="shared" ca="1" si="40"/>
        <v>1.4432569556060332E-2</v>
      </c>
      <c r="Q28" s="3">
        <f t="shared" ca="1" si="40"/>
        <v>2.0163598048254201E-2</v>
      </c>
      <c r="R28" s="3">
        <f t="shared" ca="1" si="40"/>
        <v>1.6142868322664712E-2</v>
      </c>
      <c r="S28" s="3">
        <f t="shared" ca="1" si="40"/>
        <v>2.1204488812754798E-2</v>
      </c>
      <c r="T28" s="3">
        <f t="shared" ca="1" si="40"/>
        <v>1.9095527025254095E-2</v>
      </c>
      <c r="U28" s="3">
        <f t="shared" ca="1" si="40"/>
        <v>2.2819526327158127E-2</v>
      </c>
      <c r="V28" s="3">
        <f t="shared" ca="1" si="40"/>
        <v>2.050711302581976E-2</v>
      </c>
      <c r="W28" s="3">
        <f t="shared" ca="1" si="40"/>
        <v>2.5745684783351996E-2</v>
      </c>
      <c r="X28" s="3">
        <f t="shared" ca="1" si="40"/>
        <v>2.1297575803327529E-2</v>
      </c>
      <c r="Y28" s="3">
        <f t="shared" ca="1" si="40"/>
        <v>3.887911744964815E-2</v>
      </c>
      <c r="Z28" s="3">
        <f t="shared" ca="1" si="40"/>
        <v>3.0030179531530411E-2</v>
      </c>
      <c r="AA28" s="3">
        <f t="shared" ca="1" si="40"/>
        <v>4.0771216731477558E-2</v>
      </c>
      <c r="AB28" s="3">
        <f t="shared" ca="1" si="40"/>
        <v>4.5857843771874823E-2</v>
      </c>
      <c r="AC28" s="3">
        <f t="shared" ca="1" si="40"/>
        <v>4.4855260449475333E-2</v>
      </c>
      <c r="AD28" s="3">
        <f t="shared" ca="1" si="40"/>
        <v>5.6619261401731583E-2</v>
      </c>
      <c r="AE28" s="3">
        <f t="shared" ca="1" si="40"/>
        <v>4.6227405635410231E-2</v>
      </c>
      <c r="AF28" s="3">
        <f t="shared" ca="1" si="40"/>
        <v>7.0993348440701293E-2</v>
      </c>
      <c r="AG28" s="3">
        <f t="shared" ca="1" si="40"/>
        <v>5.3072295316915527E-2</v>
      </c>
      <c r="AH28" s="3">
        <f t="shared" ca="1" si="40"/>
        <v>9.2261142517535977E-2</v>
      </c>
      <c r="AI28" s="3">
        <f t="shared" ca="1" si="40"/>
        <v>8.271342767060022E-2</v>
      </c>
      <c r="AJ28" s="3">
        <f t="shared" ca="1" si="40"/>
        <v>0.12721058482442285</v>
      </c>
    </row>
    <row r="29" spans="1:36" x14ac:dyDescent="0.35">
      <c r="A29" t="s">
        <v>72</v>
      </c>
      <c r="B29" t="s">
        <v>70</v>
      </c>
      <c r="C29" s="4" t="s">
        <v>75</v>
      </c>
      <c r="D29" s="3">
        <f t="shared" ref="D29:AJ29" ca="1" si="41">MIN(0.99,D10+$D$3)</f>
        <v>5.8118813673129844E-3</v>
      </c>
      <c r="E29" s="3">
        <f t="shared" ca="1" si="41"/>
        <v>6.173218425938258E-3</v>
      </c>
      <c r="F29" s="3">
        <f t="shared" ca="1" si="41"/>
        <v>6.6329142820162274E-3</v>
      </c>
      <c r="G29" s="3">
        <f t="shared" ca="1" si="41"/>
        <v>9.1102174120483367E-3</v>
      </c>
      <c r="H29" s="3">
        <f t="shared" ca="1" si="41"/>
        <v>8.9142962188667949E-3</v>
      </c>
      <c r="I29" s="3">
        <f t="shared" ca="1" si="41"/>
        <v>9.8817911638500663E-3</v>
      </c>
      <c r="J29" s="3">
        <f t="shared" ca="1" si="41"/>
        <v>1.1577984132529133E-2</v>
      </c>
      <c r="K29" s="3">
        <f t="shared" ca="1" si="41"/>
        <v>1.2023667006421001E-2</v>
      </c>
      <c r="L29" s="3">
        <f t="shared" ca="1" si="41"/>
        <v>1.2579880885111628E-2</v>
      </c>
      <c r="M29" s="3">
        <f t="shared" ca="1" si="41"/>
        <v>1.5714711525408268E-2</v>
      </c>
      <c r="N29" s="3">
        <f t="shared" ca="1" si="41"/>
        <v>1.4116144264971962E-2</v>
      </c>
      <c r="O29" s="3">
        <f t="shared" ca="1" si="41"/>
        <v>1.7925346902876445E-2</v>
      </c>
      <c r="P29" s="3">
        <f t="shared" ca="1" si="41"/>
        <v>1.5421583505713279E-2</v>
      </c>
      <c r="Q29" s="3">
        <f t="shared" ca="1" si="41"/>
        <v>2.1152830615865693E-2</v>
      </c>
      <c r="R29" s="3">
        <f t="shared" ca="1" si="41"/>
        <v>1.7075514123889139E-2</v>
      </c>
      <c r="S29" s="3">
        <f t="shared" ca="1" si="41"/>
        <v>2.215148982356599E-2</v>
      </c>
      <c r="T29" s="3">
        <f t="shared" ca="1" si="41"/>
        <v>2.0055844913414993E-2</v>
      </c>
      <c r="U29" s="3">
        <f t="shared" ca="1" si="41"/>
        <v>2.3727330648661327E-2</v>
      </c>
      <c r="V29" s="3">
        <f t="shared" ca="1" si="41"/>
        <v>2.1463783568424162E-2</v>
      </c>
      <c r="W29" s="3">
        <f t="shared" ca="1" si="41"/>
        <v>2.6730685173035531E-2</v>
      </c>
      <c r="X29" s="3">
        <f t="shared" ca="1" si="41"/>
        <v>2.2214718075766877E-2</v>
      </c>
      <c r="Y29" s="3">
        <f t="shared" ca="1" si="41"/>
        <v>3.9870561164550872E-2</v>
      </c>
      <c r="Z29" s="3">
        <f t="shared" ca="1" si="41"/>
        <v>3.1029153658424014E-2</v>
      </c>
      <c r="AA29" s="3">
        <f t="shared" ca="1" si="41"/>
        <v>4.1767930196132008E-2</v>
      </c>
      <c r="AB29" s="3">
        <f t="shared" ca="1" si="41"/>
        <v>4.683378508974749E-2</v>
      </c>
      <c r="AC29" s="3">
        <f t="shared" ca="1" si="41"/>
        <v>4.576675026209831E-2</v>
      </c>
      <c r="AD29" s="3">
        <f t="shared" ca="1" si="41"/>
        <v>5.7578466135489413E-2</v>
      </c>
      <c r="AE29" s="3">
        <f t="shared" ca="1" si="41"/>
        <v>4.7143394366889337E-2</v>
      </c>
      <c r="AF29" s="3">
        <f t="shared" ca="1" si="41"/>
        <v>7.1935708701547682E-2</v>
      </c>
      <c r="AG29" s="3">
        <f t="shared" ca="1" si="41"/>
        <v>5.4068294168998332E-2</v>
      </c>
      <c r="AH29" s="3">
        <f t="shared" ca="1" si="41"/>
        <v>9.3244877643830687E-2</v>
      </c>
      <c r="AI29" s="3">
        <f t="shared" ca="1" si="41"/>
        <v>8.3699544742106752E-2</v>
      </c>
      <c r="AJ29" s="3">
        <f t="shared" ca="1" si="41"/>
        <v>0.12813056681972146</v>
      </c>
    </row>
    <row r="30" spans="1:36" x14ac:dyDescent="0.35">
      <c r="A30" t="s">
        <v>72</v>
      </c>
      <c r="B30" t="s">
        <v>70</v>
      </c>
      <c r="C30" s="4">
        <v>3</v>
      </c>
      <c r="D30" s="3">
        <f t="shared" ref="D30:AJ30" ca="1" si="42">MIN(0.99,D11+$D$3)</f>
        <v>6.7886523463967993E-3</v>
      </c>
      <c r="E30" s="3">
        <f t="shared" ca="1" si="42"/>
        <v>7.1555136672971564E-3</v>
      </c>
      <c r="F30" s="3">
        <f t="shared" ca="1" si="42"/>
        <v>7.6204052181154521E-3</v>
      </c>
      <c r="G30" s="3">
        <f t="shared" ca="1" si="42"/>
        <v>1.0092262365820791E-2</v>
      </c>
      <c r="H30" s="3">
        <f t="shared" ca="1" si="42"/>
        <v>9.902976380191629E-3</v>
      </c>
      <c r="I30" s="3">
        <f t="shared" ca="1" si="42"/>
        <v>1.083648853094411E-2</v>
      </c>
      <c r="J30" s="3">
        <f t="shared" ca="1" si="42"/>
        <v>1.2522859396776984E-2</v>
      </c>
      <c r="K30" s="3">
        <f t="shared" ca="1" si="42"/>
        <v>1.293067070309618E-2</v>
      </c>
      <c r="L30" s="3">
        <f t="shared" ca="1" si="42"/>
        <v>1.3488636661348582E-2</v>
      </c>
      <c r="M30" s="3">
        <f t="shared" ca="1" si="42"/>
        <v>1.6640169781659522E-2</v>
      </c>
      <c r="N30" s="3">
        <f t="shared" ca="1" si="42"/>
        <v>1.5107000459238004E-2</v>
      </c>
      <c r="O30" s="3">
        <f t="shared" ca="1" si="42"/>
        <v>1.8858763972480902E-2</v>
      </c>
      <c r="P30" s="3">
        <f t="shared" ca="1" si="42"/>
        <v>1.6376584897729182E-2</v>
      </c>
      <c r="Q30" s="3">
        <f t="shared" ca="1" si="42"/>
        <v>2.2144170504824916E-2</v>
      </c>
      <c r="R30" s="3">
        <f t="shared" ca="1" si="42"/>
        <v>1.805858603511792E-2</v>
      </c>
      <c r="S30" s="3">
        <f t="shared" ca="1" si="42"/>
        <v>2.3062094629530537E-2</v>
      </c>
      <c r="T30" s="3">
        <f t="shared" ca="1" si="42"/>
        <v>2.1053117025208644E-2</v>
      </c>
      <c r="U30" s="3">
        <f t="shared" ca="1" si="42"/>
        <v>2.4639623010977541E-2</v>
      </c>
      <c r="V30" s="3">
        <f t="shared" ca="1" si="42"/>
        <v>2.2443995582985536E-2</v>
      </c>
      <c r="W30" s="3">
        <f t="shared" ca="1" si="42"/>
        <v>2.7644664107261942E-2</v>
      </c>
      <c r="X30" s="3">
        <f t="shared" ca="1" si="42"/>
        <v>2.3140568388507501E-2</v>
      </c>
      <c r="Y30" s="3">
        <f t="shared" ca="1" si="42"/>
        <v>4.0818063795888225E-2</v>
      </c>
      <c r="Z30" s="3">
        <f t="shared" ca="1" si="42"/>
        <v>3.1933456731320781E-2</v>
      </c>
      <c r="AA30" s="3">
        <f t="shared" ca="1" si="42"/>
        <v>4.2726607334240781E-2</v>
      </c>
      <c r="AB30" s="3">
        <f t="shared" ca="1" si="42"/>
        <v>4.7742303324936293E-2</v>
      </c>
      <c r="AC30" s="3">
        <f t="shared" ca="1" si="42"/>
        <v>4.6758227003092054E-2</v>
      </c>
      <c r="AD30" s="3">
        <f t="shared" ca="1" si="42"/>
        <v>5.8517015350131901E-2</v>
      </c>
      <c r="AE30" s="3">
        <f t="shared" ca="1" si="42"/>
        <v>4.812351546137679E-2</v>
      </c>
      <c r="AF30" s="3">
        <f t="shared" ca="1" si="42"/>
        <v>7.2852491790268523E-2</v>
      </c>
      <c r="AG30" s="3">
        <f t="shared" ca="1" si="42"/>
        <v>5.5037766219236658E-2</v>
      </c>
      <c r="AH30" s="3">
        <f t="shared" ca="1" si="42"/>
        <v>9.4156556945996464E-2</v>
      </c>
      <c r="AI30" s="3">
        <f t="shared" ca="1" si="42"/>
        <v>8.4688116151342155E-2</v>
      </c>
      <c r="AJ30" s="3">
        <f t="shared" ca="1" si="42"/>
        <v>0.12907232933755211</v>
      </c>
    </row>
    <row r="31" spans="1:36" x14ac:dyDescent="0.35">
      <c r="A31" t="s">
        <v>72</v>
      </c>
      <c r="B31" t="s">
        <v>70</v>
      </c>
      <c r="C31" s="4" t="s">
        <v>76</v>
      </c>
      <c r="D31" s="3">
        <f t="shared" ref="D31:AJ31" ca="1" si="43">MIN(0.99,D12+$D$3)</f>
        <v>7.7762511096716013E-3</v>
      </c>
      <c r="E31" s="3">
        <f t="shared" ca="1" si="43"/>
        <v>8.1510773816507731E-3</v>
      </c>
      <c r="F31" s="3">
        <f t="shared" ca="1" si="43"/>
        <v>8.5958091714497496E-3</v>
      </c>
      <c r="G31" s="3">
        <f t="shared" ca="1" si="43"/>
        <v>1.107426151853769E-2</v>
      </c>
      <c r="H31" s="3">
        <f t="shared" ca="1" si="43"/>
        <v>1.0821512226979423E-2</v>
      </c>
      <c r="I31" s="3">
        <f t="shared" ca="1" si="43"/>
        <v>1.1804170372596144E-2</v>
      </c>
      <c r="J31" s="3">
        <f t="shared" ca="1" si="43"/>
        <v>1.3488212138089262E-2</v>
      </c>
      <c r="K31" s="3">
        <f t="shared" ca="1" si="43"/>
        <v>1.3881568179392009E-2</v>
      </c>
      <c r="L31" s="3">
        <f t="shared" ca="1" si="43"/>
        <v>1.4397381245480609E-2</v>
      </c>
      <c r="M31" s="3">
        <f t="shared" ca="1" si="43"/>
        <v>1.76107792022011E-2</v>
      </c>
      <c r="N31" s="3">
        <f t="shared" ca="1" si="43"/>
        <v>1.6047244559356421E-2</v>
      </c>
      <c r="O31" s="3">
        <f t="shared" ca="1" si="43"/>
        <v>1.9814762628783213E-2</v>
      </c>
      <c r="P31" s="3">
        <f t="shared" ca="1" si="43"/>
        <v>1.7287973270612648E-2</v>
      </c>
      <c r="Q31" s="3">
        <f t="shared" ca="1" si="43"/>
        <v>2.304652059641428E-2</v>
      </c>
      <c r="R31" s="3">
        <f t="shared" ca="1" si="43"/>
        <v>1.900461720824995E-2</v>
      </c>
      <c r="S31" s="3">
        <f t="shared" ca="1" si="43"/>
        <v>2.3967238380345746E-2</v>
      </c>
      <c r="T31" s="3">
        <f t="shared" ca="1" si="43"/>
        <v>2.2015452894143379E-2</v>
      </c>
      <c r="U31" s="3">
        <f t="shared" ca="1" si="43"/>
        <v>2.5602581040958129E-2</v>
      </c>
      <c r="V31" s="3">
        <f t="shared" ca="1" si="43"/>
        <v>2.3416736332290709E-2</v>
      </c>
      <c r="W31" s="3">
        <f t="shared" ca="1" si="43"/>
        <v>2.8546156592723835E-2</v>
      </c>
      <c r="X31" s="3">
        <f t="shared" ca="1" si="43"/>
        <v>2.4100385140473465E-2</v>
      </c>
      <c r="Y31" s="3">
        <f t="shared" ca="1" si="43"/>
        <v>4.1789588549811067E-2</v>
      </c>
      <c r="Z31" s="3">
        <f t="shared" ca="1" si="43"/>
        <v>3.2915513920353613E-2</v>
      </c>
      <c r="AA31" s="3">
        <f t="shared" ca="1" si="43"/>
        <v>4.3723765279509233E-2</v>
      </c>
      <c r="AB31" s="3">
        <f t="shared" ca="1" si="43"/>
        <v>4.865175549688646E-2</v>
      </c>
      <c r="AC31" s="3">
        <f t="shared" ca="1" si="43"/>
        <v>4.7745931381610152E-2</v>
      </c>
      <c r="AD31" s="3">
        <f t="shared" ca="1" si="43"/>
        <v>5.9511094075146979E-2</v>
      </c>
      <c r="AE31" s="3">
        <f t="shared" ca="1" si="43"/>
        <v>4.9061115154313509E-2</v>
      </c>
      <c r="AF31" s="3">
        <f t="shared" ca="1" si="43"/>
        <v>7.3852225922846335E-2</v>
      </c>
      <c r="AG31" s="3">
        <f t="shared" ca="1" si="43"/>
        <v>5.6037425795230439E-2</v>
      </c>
      <c r="AH31" s="3">
        <f t="shared" ca="1" si="43"/>
        <v>9.5085565639202299E-2</v>
      </c>
      <c r="AI31" s="3">
        <f t="shared" ca="1" si="43"/>
        <v>8.566280546210879E-2</v>
      </c>
      <c r="AJ31" s="3">
        <f t="shared" ca="1" si="43"/>
        <v>0.13001021655933628</v>
      </c>
    </row>
    <row r="32" spans="1:36" x14ac:dyDescent="0.35">
      <c r="A32" t="s">
        <v>72</v>
      </c>
      <c r="B32" t="s">
        <v>70</v>
      </c>
      <c r="C32" s="4" t="s">
        <v>77</v>
      </c>
      <c r="D32" s="3">
        <f t="shared" ref="D32:AJ32" ca="1" si="44">MIN(0.99,D13+$D$3)</f>
        <v>8.6885689432663216E-3</v>
      </c>
      <c r="E32" s="3">
        <f t="shared" ca="1" si="44"/>
        <v>9.1224303436785587E-3</v>
      </c>
      <c r="F32" s="3">
        <f t="shared" ca="1" si="44"/>
        <v>9.5110137183009071E-3</v>
      </c>
      <c r="G32" s="3">
        <f t="shared" ca="1" si="44"/>
        <v>1.2065350807683662E-2</v>
      </c>
      <c r="H32" s="3">
        <f t="shared" ca="1" si="44"/>
        <v>1.1724371076488133E-2</v>
      </c>
      <c r="I32" s="3">
        <f t="shared" ca="1" si="44"/>
        <v>1.2776308500671282E-2</v>
      </c>
      <c r="J32" s="3">
        <f t="shared" ca="1" si="44"/>
        <v>1.4393631963013104E-2</v>
      </c>
      <c r="K32" s="3">
        <f t="shared" ca="1" si="44"/>
        <v>1.4796517227292465E-2</v>
      </c>
      <c r="L32" s="3">
        <f t="shared" ca="1" si="44"/>
        <v>1.530266544768082E-2</v>
      </c>
      <c r="M32" s="3">
        <f t="shared" ca="1" si="44"/>
        <v>1.8562022653458292E-2</v>
      </c>
      <c r="N32" s="3">
        <f t="shared" ca="1" si="44"/>
        <v>1.6957362730000657E-2</v>
      </c>
      <c r="O32" s="3">
        <f t="shared" ca="1" si="44"/>
        <v>2.0795664983059663E-2</v>
      </c>
      <c r="P32" s="3">
        <f t="shared" ca="1" si="44"/>
        <v>1.8241144831225919E-2</v>
      </c>
      <c r="Q32" s="3">
        <f t="shared" ca="1" si="44"/>
        <v>2.4024294956264819E-2</v>
      </c>
      <c r="R32" s="3">
        <f t="shared" ca="1" si="44"/>
        <v>1.9911668287642272E-2</v>
      </c>
      <c r="S32" s="3">
        <f t="shared" ca="1" si="44"/>
        <v>2.4873847772028924E-2</v>
      </c>
      <c r="T32" s="3">
        <f t="shared" ca="1" si="44"/>
        <v>2.2959304674914534E-2</v>
      </c>
      <c r="U32" s="3">
        <f t="shared" ca="1" si="44"/>
        <v>2.6559909290663611E-2</v>
      </c>
      <c r="V32" s="3">
        <f t="shared" ca="1" si="44"/>
        <v>2.4338324384988445E-2</v>
      </c>
      <c r="W32" s="3">
        <f t="shared" ca="1" si="44"/>
        <v>2.946820512699384E-2</v>
      </c>
      <c r="X32" s="3">
        <f t="shared" ca="1" si="44"/>
        <v>2.505772688348664E-2</v>
      </c>
      <c r="Y32" s="3">
        <f t="shared" ca="1" si="44"/>
        <v>4.2779739090490057E-2</v>
      </c>
      <c r="Z32" s="3">
        <f t="shared" ca="1" si="44"/>
        <v>3.3872088863854954E-2</v>
      </c>
      <c r="AA32" s="3">
        <f t="shared" ca="1" si="44"/>
        <v>4.4680037263150021E-2</v>
      </c>
      <c r="AB32" s="3">
        <f t="shared" ca="1" si="44"/>
        <v>4.9572915731996556E-2</v>
      </c>
      <c r="AC32" s="3">
        <f t="shared" ca="1" si="44"/>
        <v>4.8739755270389241E-2</v>
      </c>
      <c r="AD32" s="3">
        <f t="shared" ca="1" si="44"/>
        <v>6.0425180076383714E-2</v>
      </c>
      <c r="AE32" s="3">
        <f t="shared" ca="1" si="44"/>
        <v>5.004438397180902E-2</v>
      </c>
      <c r="AF32" s="3">
        <f t="shared" ca="1" si="44"/>
        <v>7.4754139627984162E-2</v>
      </c>
      <c r="AG32" s="3">
        <f t="shared" ca="1" si="44"/>
        <v>5.6947626053339112E-2</v>
      </c>
      <c r="AH32" s="3">
        <f t="shared" ca="1" si="44"/>
        <v>9.6075594773830972E-2</v>
      </c>
      <c r="AI32" s="3">
        <f t="shared" ca="1" si="44"/>
        <v>8.6630959149561981E-2</v>
      </c>
      <c r="AJ32" s="3">
        <f t="shared" ca="1" si="44"/>
        <v>0.13098028422176522</v>
      </c>
    </row>
    <row r="33" spans="1:36" x14ac:dyDescent="0.35">
      <c r="A33" t="s">
        <v>72</v>
      </c>
      <c r="B33" t="s">
        <v>70</v>
      </c>
      <c r="C33" s="4">
        <v>4</v>
      </c>
      <c r="D33" s="3">
        <f t="shared" ref="D33:AJ33" ca="1" si="45">MIN(0.99,D14+$D$3)</f>
        <v>9.629617248966521E-3</v>
      </c>
      <c r="E33" s="3">
        <f t="shared" ca="1" si="45"/>
        <v>1.0066987547093682E-2</v>
      </c>
      <c r="F33" s="3">
        <f t="shared" ca="1" si="45"/>
        <v>1.0498572391044545E-2</v>
      </c>
      <c r="G33" s="3">
        <f t="shared" ca="1" si="45"/>
        <v>1.3052628416014993E-2</v>
      </c>
      <c r="H33" s="3">
        <f t="shared" ca="1" si="45"/>
        <v>1.2662373760410257E-2</v>
      </c>
      <c r="I33" s="3">
        <f t="shared" ca="1" si="45"/>
        <v>1.3686265189988063E-2</v>
      </c>
      <c r="J33" s="3">
        <f t="shared" ca="1" si="45"/>
        <v>1.530037741580631E-2</v>
      </c>
      <c r="K33" s="3">
        <f t="shared" ca="1" si="45"/>
        <v>1.5715561210282933E-2</v>
      </c>
      <c r="L33" s="3">
        <f t="shared" ca="1" si="45"/>
        <v>1.629283498514952E-2</v>
      </c>
      <c r="M33" s="3">
        <f t="shared" ca="1" si="45"/>
        <v>1.9519098356778102E-2</v>
      </c>
      <c r="N33" s="3">
        <f t="shared" ca="1" si="45"/>
        <v>1.7902148702828625E-2</v>
      </c>
      <c r="O33" s="3">
        <f t="shared" ca="1" si="45"/>
        <v>2.1732080658822456E-2</v>
      </c>
      <c r="P33" s="3">
        <f t="shared" ca="1" si="45"/>
        <v>1.9161031645641827E-2</v>
      </c>
      <c r="Q33" s="3">
        <f t="shared" ca="1" si="45"/>
        <v>2.4989267201643184E-2</v>
      </c>
      <c r="R33" s="3">
        <f t="shared" ca="1" si="45"/>
        <v>2.0886865206893396E-2</v>
      </c>
      <c r="S33" s="3">
        <f t="shared" ca="1" si="45"/>
        <v>2.5861370506906369E-2</v>
      </c>
      <c r="T33" s="3">
        <f t="shared" ca="1" si="45"/>
        <v>2.3897254666511679E-2</v>
      </c>
      <c r="U33" s="3">
        <f t="shared" ca="1" si="45"/>
        <v>2.7501120818672519E-2</v>
      </c>
      <c r="V33" s="3">
        <f t="shared" ca="1" si="45"/>
        <v>2.5285162054747526E-2</v>
      </c>
      <c r="W33" s="3">
        <f t="shared" ca="1" si="45"/>
        <v>3.0458735040868639E-2</v>
      </c>
      <c r="X33" s="3">
        <f t="shared" ca="1" si="45"/>
        <v>2.5964780194530666E-2</v>
      </c>
      <c r="Y33" s="3">
        <f t="shared" ca="1" si="45"/>
        <v>4.3769454455859051E-2</v>
      </c>
      <c r="Z33" s="3">
        <f t="shared" ca="1" si="45"/>
        <v>3.4820884973025816E-2</v>
      </c>
      <c r="AA33" s="3">
        <f t="shared" ca="1" si="45"/>
        <v>4.5631986965630193E-2</v>
      </c>
      <c r="AB33" s="3">
        <f t="shared" ca="1" si="45"/>
        <v>5.0507048359358979E-2</v>
      </c>
      <c r="AC33" s="3">
        <f t="shared" ca="1" si="45"/>
        <v>4.9708665027764463E-2</v>
      </c>
      <c r="AD33" s="3">
        <f t="shared" ca="1" si="45"/>
        <v>6.1377039166776406E-2</v>
      </c>
      <c r="AE33" s="3">
        <f t="shared" ca="1" si="45"/>
        <v>5.102061449108522E-2</v>
      </c>
      <c r="AF33" s="3">
        <f t="shared" ca="1" si="45"/>
        <v>7.5659370687815308E-2</v>
      </c>
      <c r="AG33" s="3">
        <f t="shared" ca="1" si="45"/>
        <v>5.7937848138245561E-2</v>
      </c>
      <c r="AH33" s="3">
        <f t="shared" ca="1" si="45"/>
        <v>9.7022393347112809E-2</v>
      </c>
      <c r="AI33" s="3">
        <f t="shared" ca="1" si="45"/>
        <v>8.7543266710660456E-2</v>
      </c>
      <c r="AJ33" s="3">
        <f t="shared" ca="1" si="45"/>
        <v>0.13189787378258291</v>
      </c>
    </row>
    <row r="34" spans="1:36" x14ac:dyDescent="0.35">
      <c r="A34" t="s">
        <v>72</v>
      </c>
      <c r="B34" t="s">
        <v>70</v>
      </c>
      <c r="C34" s="4" t="s">
        <v>78</v>
      </c>
      <c r="D34" s="3">
        <f t="shared" ref="D34:AJ34" ca="1" si="46">MIN(0.99,D15+$D$3)</f>
        <v>1.0531213221513736E-2</v>
      </c>
      <c r="E34" s="3">
        <f t="shared" ca="1" si="46"/>
        <v>1.0997611022994947E-2</v>
      </c>
      <c r="F34" s="3">
        <f t="shared" ca="1" si="46"/>
        <v>1.149674452406239E-2</v>
      </c>
      <c r="G34" s="3">
        <f t="shared" ca="1" si="46"/>
        <v>1.4019224114878975E-2</v>
      </c>
      <c r="H34" s="3">
        <f t="shared" ca="1" si="46"/>
        <v>1.3631288116548578E-2</v>
      </c>
      <c r="I34" s="3">
        <f t="shared" ca="1" si="46"/>
        <v>1.4665740226050761E-2</v>
      </c>
      <c r="J34" s="3">
        <f t="shared" ca="1" si="46"/>
        <v>1.6202152794404692E-2</v>
      </c>
      <c r="K34" s="3">
        <f t="shared" ca="1" si="46"/>
        <v>1.6669982648700774E-2</v>
      </c>
      <c r="L34" s="3">
        <f t="shared" ca="1" si="46"/>
        <v>1.7197182920790251E-2</v>
      </c>
      <c r="M34" s="3">
        <f t="shared" ca="1" si="46"/>
        <v>2.0485422828634213E-2</v>
      </c>
      <c r="N34" s="3">
        <f t="shared" ca="1" si="46"/>
        <v>1.8868580070522434E-2</v>
      </c>
      <c r="O34" s="3">
        <f t="shared" ca="1" si="46"/>
        <v>2.2707282060964513E-2</v>
      </c>
      <c r="P34" s="3">
        <f t="shared" ca="1" si="46"/>
        <v>2.0077362858435858E-2</v>
      </c>
      <c r="Q34" s="3">
        <f t="shared" ca="1" si="46"/>
        <v>2.5899106940116334E-2</v>
      </c>
      <c r="R34" s="3">
        <f t="shared" ca="1" si="46"/>
        <v>2.1882914682574344E-2</v>
      </c>
      <c r="S34" s="3">
        <f t="shared" ca="1" si="46"/>
        <v>2.6771198171608213E-2</v>
      </c>
      <c r="T34" s="3">
        <f t="shared" ca="1" si="46"/>
        <v>2.4816352792149447E-2</v>
      </c>
      <c r="U34" s="3">
        <f t="shared" ca="1" si="46"/>
        <v>2.8440820995306919E-2</v>
      </c>
      <c r="V34" s="3">
        <f t="shared" ca="1" si="46"/>
        <v>2.6275518346809742E-2</v>
      </c>
      <c r="W34" s="3">
        <f t="shared" ca="1" si="46"/>
        <v>3.1393612195373441E-2</v>
      </c>
      <c r="X34" s="3">
        <f t="shared" ca="1" si="46"/>
        <v>2.6874787933610783E-2</v>
      </c>
      <c r="Y34" s="3">
        <f t="shared" ca="1" si="46"/>
        <v>4.476579090443663E-2</v>
      </c>
      <c r="Z34" s="3">
        <f t="shared" ca="1" si="46"/>
        <v>3.5807567047909092E-2</v>
      </c>
      <c r="AA34" s="3">
        <f t="shared" ca="1" si="46"/>
        <v>4.6561627783767066E-2</v>
      </c>
      <c r="AB34" s="3">
        <f t="shared" ca="1" si="46"/>
        <v>5.144495763548932E-2</v>
      </c>
      <c r="AC34" s="3">
        <f t="shared" ca="1" si="46"/>
        <v>5.0682605945987606E-2</v>
      </c>
      <c r="AD34" s="3">
        <f t="shared" ca="1" si="46"/>
        <v>6.2298189879144907E-2</v>
      </c>
      <c r="AE34" s="3">
        <f t="shared" ca="1" si="46"/>
        <v>5.1949329867163108E-2</v>
      </c>
      <c r="AF34" s="3">
        <f t="shared" ca="1" si="46"/>
        <v>7.6644834414340654E-2</v>
      </c>
      <c r="AG34" s="3">
        <f t="shared" ca="1" si="46"/>
        <v>5.8887356182455906E-2</v>
      </c>
      <c r="AH34" s="3">
        <f t="shared" ca="1" si="46"/>
        <v>9.7962225035493442E-2</v>
      </c>
      <c r="AI34" s="3">
        <f t="shared" ca="1" si="46"/>
        <v>8.8542746908016931E-2</v>
      </c>
      <c r="AJ34" s="3">
        <f t="shared" ca="1" si="46"/>
        <v>0.13281354064445611</v>
      </c>
    </row>
    <row r="35" spans="1:36" x14ac:dyDescent="0.35">
      <c r="A35" t="s">
        <v>72</v>
      </c>
      <c r="B35" t="s">
        <v>70</v>
      </c>
      <c r="C35" s="4" t="s">
        <v>79</v>
      </c>
      <c r="D35" s="3">
        <f t="shared" ref="D35:AJ35" ca="1" si="47">MIN(0.99,D16+$D$3)</f>
        <v>1.1451617813966496E-2</v>
      </c>
      <c r="E35" s="3">
        <f t="shared" ca="1" si="47"/>
        <v>1.1949161925832168E-2</v>
      </c>
      <c r="F35" s="3">
        <f t="shared" ca="1" si="47"/>
        <v>1.2405604302188206E-2</v>
      </c>
      <c r="G35" s="3">
        <f t="shared" ca="1" si="47"/>
        <v>1.4937616847367368E-2</v>
      </c>
      <c r="H35" s="3">
        <f t="shared" ca="1" si="47"/>
        <v>1.4606744467660495E-2</v>
      </c>
      <c r="I35" s="3">
        <f t="shared" ca="1" si="47"/>
        <v>1.5575321846165769E-2</v>
      </c>
      <c r="J35" s="3">
        <f t="shared" ca="1" si="47"/>
        <v>1.7129360825451106E-2</v>
      </c>
      <c r="K35" s="3">
        <f t="shared" ca="1" si="47"/>
        <v>1.7583272880607879E-2</v>
      </c>
      <c r="L35" s="3">
        <f t="shared" ca="1" si="47"/>
        <v>1.8155632246308808E-2</v>
      </c>
      <c r="M35" s="3">
        <f t="shared" ca="1" si="47"/>
        <v>2.1405105799961275E-2</v>
      </c>
      <c r="N35" s="3">
        <f t="shared" ca="1" si="47"/>
        <v>1.9831130033528585E-2</v>
      </c>
      <c r="O35" s="3">
        <f t="shared" ca="1" si="47"/>
        <v>2.361718611086951E-2</v>
      </c>
      <c r="P35" s="3">
        <f t="shared" ca="1" si="47"/>
        <v>2.1015998394096902E-2</v>
      </c>
      <c r="Q35" s="3">
        <f t="shared" ca="1" si="47"/>
        <v>2.683752058038744E-2</v>
      </c>
      <c r="R35" s="3">
        <f t="shared" ca="1" si="47"/>
        <v>2.2829409898740226E-2</v>
      </c>
      <c r="S35" s="3">
        <f t="shared" ca="1" si="47"/>
        <v>2.7674425258230873E-2</v>
      </c>
      <c r="T35" s="3">
        <f t="shared" ca="1" si="47"/>
        <v>2.5770262819655519E-2</v>
      </c>
      <c r="U35" s="3">
        <f t="shared" ca="1" si="47"/>
        <v>2.9365568603319157E-2</v>
      </c>
      <c r="V35" s="3">
        <f t="shared" ca="1" si="47"/>
        <v>2.7233939266302964E-2</v>
      </c>
      <c r="W35" s="3">
        <f t="shared" ca="1" si="47"/>
        <v>3.2352864300879455E-2</v>
      </c>
      <c r="X35" s="3">
        <f t="shared" ca="1" si="47"/>
        <v>2.7776916964802723E-2</v>
      </c>
      <c r="Y35" s="3">
        <f t="shared" ca="1" si="47"/>
        <v>4.5750018148063003E-2</v>
      </c>
      <c r="Z35" s="3">
        <f t="shared" ca="1" si="47"/>
        <v>3.676905217016882E-2</v>
      </c>
      <c r="AA35" s="3">
        <f t="shared" ca="1" si="47"/>
        <v>4.7512453544164321E-2</v>
      </c>
      <c r="AB35" s="3">
        <f t="shared" ca="1" si="47"/>
        <v>5.2380416040655457E-2</v>
      </c>
      <c r="AC35" s="3">
        <f t="shared" ca="1" si="47"/>
        <v>5.1602822818956652E-2</v>
      </c>
      <c r="AD35" s="3">
        <f t="shared" ca="1" si="47"/>
        <v>6.3211153828906769E-2</v>
      </c>
      <c r="AE35" s="3">
        <f t="shared" ca="1" si="47"/>
        <v>5.2934261140456754E-2</v>
      </c>
      <c r="AF35" s="3">
        <f t="shared" ca="1" si="47"/>
        <v>7.7599118693413169E-2</v>
      </c>
      <c r="AG35" s="3">
        <f t="shared" ca="1" si="47"/>
        <v>5.9814936402397989E-2</v>
      </c>
      <c r="AH35" s="3">
        <f t="shared" ca="1" si="47"/>
        <v>9.8880735763407931E-2</v>
      </c>
      <c r="AI35" s="3">
        <f t="shared" ca="1" si="47"/>
        <v>8.9517588430804415E-2</v>
      </c>
      <c r="AJ35" s="3">
        <f t="shared" ca="1" si="47"/>
        <v>0.13379316604940944</v>
      </c>
    </row>
    <row r="36" spans="1:36" x14ac:dyDescent="0.35">
      <c r="A36" t="s">
        <v>72</v>
      </c>
      <c r="B36" t="s">
        <v>70</v>
      </c>
      <c r="C36" s="4">
        <v>5</v>
      </c>
      <c r="D36" s="3">
        <f t="shared" ref="D36:AJ36" ca="1" si="48">MIN(0.99,D17+$D$3)</f>
        <v>1.2392694656479637E-2</v>
      </c>
      <c r="E36" s="3">
        <f t="shared" ca="1" si="48"/>
        <v>1.2890518099244186E-2</v>
      </c>
      <c r="F36" s="3">
        <f t="shared" ca="1" si="48"/>
        <v>1.3330031950532634E-2</v>
      </c>
      <c r="G36" s="3">
        <f t="shared" ca="1" si="48"/>
        <v>1.5921741872031776E-2</v>
      </c>
      <c r="H36" s="3">
        <f t="shared" ca="1" si="48"/>
        <v>1.5572820702404424E-2</v>
      </c>
      <c r="I36" s="3">
        <f t="shared" ca="1" si="48"/>
        <v>1.6517930173264844E-2</v>
      </c>
      <c r="J36" s="3">
        <f t="shared" ca="1" si="48"/>
        <v>1.8120403365020823E-2</v>
      </c>
      <c r="K36" s="3">
        <f t="shared" ca="1" si="48"/>
        <v>1.8506460942454797E-2</v>
      </c>
      <c r="L36" s="3">
        <f t="shared" ca="1" si="48"/>
        <v>1.9061713356723978E-2</v>
      </c>
      <c r="M36" s="3">
        <f t="shared" ca="1" si="48"/>
        <v>2.2386825280524318E-2</v>
      </c>
      <c r="N36" s="3">
        <f t="shared" ca="1" si="48"/>
        <v>2.0803101826870948E-2</v>
      </c>
      <c r="O36" s="3">
        <f t="shared" ca="1" si="48"/>
        <v>2.4605050246765139E-2</v>
      </c>
      <c r="P36" s="3">
        <f t="shared" ca="1" si="48"/>
        <v>2.1941456427646978E-2</v>
      </c>
      <c r="Q36" s="3">
        <f t="shared" ca="1" si="48"/>
        <v>2.7818847169140674E-2</v>
      </c>
      <c r="R36" s="3">
        <f t="shared" ca="1" si="48"/>
        <v>2.3815171369449831E-2</v>
      </c>
      <c r="S36" s="3">
        <f t="shared" ca="1" si="48"/>
        <v>2.8669135115923536E-2</v>
      </c>
      <c r="T36" s="3">
        <f t="shared" ca="1" si="48"/>
        <v>2.6755571928044116E-2</v>
      </c>
      <c r="U36" s="3">
        <f t="shared" ca="1" si="48"/>
        <v>3.035534301337578E-2</v>
      </c>
      <c r="V36" s="3">
        <f t="shared" ca="1" si="48"/>
        <v>2.8215501567028293E-2</v>
      </c>
      <c r="W36" s="3">
        <f t="shared" ca="1" si="48"/>
        <v>3.3334012476256586E-2</v>
      </c>
      <c r="X36" s="3">
        <f t="shared" ca="1" si="48"/>
        <v>2.8751737019282145E-2</v>
      </c>
      <c r="Y36" s="3">
        <f t="shared" ca="1" si="48"/>
        <v>4.6690879165381928E-2</v>
      </c>
      <c r="Z36" s="3">
        <f t="shared" ca="1" si="48"/>
        <v>3.7741004079169777E-2</v>
      </c>
      <c r="AA36" s="3">
        <f t="shared" ca="1" si="48"/>
        <v>4.8444374800700664E-2</v>
      </c>
      <c r="AB36" s="3">
        <f t="shared" ca="1" si="48"/>
        <v>5.331010458458197E-2</v>
      </c>
      <c r="AC36" s="3">
        <f t="shared" ca="1" si="48"/>
        <v>5.257241253763776E-2</v>
      </c>
      <c r="AD36" s="3">
        <f t="shared" ca="1" si="48"/>
        <v>6.4156608441624685E-2</v>
      </c>
      <c r="AE36" s="3">
        <f t="shared" ca="1" si="48"/>
        <v>5.3927266887639533E-2</v>
      </c>
      <c r="AF36" s="3">
        <f t="shared" ca="1" si="48"/>
        <v>7.8575246101989821E-2</v>
      </c>
      <c r="AG36" s="3">
        <f t="shared" ca="1" si="48"/>
        <v>6.0774147890367995E-2</v>
      </c>
      <c r="AH36" s="3">
        <f t="shared" ca="1" si="48"/>
        <v>9.9798764240574711E-2</v>
      </c>
      <c r="AI36" s="3">
        <f t="shared" ca="1" si="48"/>
        <v>9.0506379483604169E-2</v>
      </c>
      <c r="AJ36" s="3">
        <f t="shared" ca="1" si="48"/>
        <v>0.13470343261216017</v>
      </c>
    </row>
    <row r="37" spans="1:36" x14ac:dyDescent="0.35">
      <c r="A37" t="s">
        <v>72</v>
      </c>
      <c r="B37" t="s">
        <v>70</v>
      </c>
      <c r="C37" s="4" t="s">
        <v>80</v>
      </c>
      <c r="D37" s="3">
        <f t="shared" ref="D37:AJ37" ca="1" si="49">MIN(0.99,D18+$D$3)</f>
        <v>1.3351773931649966E-2</v>
      </c>
      <c r="E37" s="3">
        <f t="shared" ca="1" si="49"/>
        <v>1.3801848053367351E-2</v>
      </c>
      <c r="F37" s="3">
        <f t="shared" ca="1" si="49"/>
        <v>1.4247465381353724E-2</v>
      </c>
      <c r="G37" s="3">
        <f t="shared" ca="1" si="49"/>
        <v>1.6848825586554993E-2</v>
      </c>
      <c r="H37" s="3">
        <f t="shared" ca="1" si="49"/>
        <v>1.6504000585793776E-2</v>
      </c>
      <c r="I37" s="3">
        <f t="shared" ca="1" si="49"/>
        <v>1.7430748797970502E-2</v>
      </c>
      <c r="J37" s="3">
        <f t="shared" ca="1" si="49"/>
        <v>1.9031801178841949E-2</v>
      </c>
      <c r="K37" s="3">
        <f t="shared" ca="1" si="49"/>
        <v>1.942487375769655E-2</v>
      </c>
      <c r="L37" s="3">
        <f t="shared" ca="1" si="49"/>
        <v>2.004214384858078E-2</v>
      </c>
      <c r="M37" s="3">
        <f t="shared" ca="1" si="49"/>
        <v>2.3314487648356506E-2</v>
      </c>
      <c r="N37" s="3">
        <f t="shared" ca="1" si="49"/>
        <v>2.1735174762869392E-2</v>
      </c>
      <c r="O37" s="3">
        <f t="shared" ca="1" si="49"/>
        <v>2.5557614029780081E-2</v>
      </c>
      <c r="P37" s="3">
        <f t="shared" ca="1" si="49"/>
        <v>2.2846949080484815E-2</v>
      </c>
      <c r="Q37" s="3">
        <f t="shared" ca="1" si="49"/>
        <v>2.8798008213529267E-2</v>
      </c>
      <c r="R37" s="3">
        <f t="shared" ca="1" si="49"/>
        <v>2.473908021604989E-2</v>
      </c>
      <c r="S37" s="3">
        <f t="shared" ca="1" si="49"/>
        <v>2.9632501724534265E-2</v>
      </c>
      <c r="T37" s="3">
        <f t="shared" ca="1" si="49"/>
        <v>2.7735723704777171E-2</v>
      </c>
      <c r="U37" s="3">
        <f t="shared" ca="1" si="49"/>
        <v>3.13447373841493E-2</v>
      </c>
      <c r="V37" s="3">
        <f t="shared" ca="1" si="49"/>
        <v>2.9137387459350652E-2</v>
      </c>
      <c r="W37" s="3">
        <f t="shared" ca="1" si="49"/>
        <v>3.4330402039918127E-2</v>
      </c>
      <c r="X37" s="3">
        <f t="shared" ca="1" si="49"/>
        <v>2.9723931911511712E-2</v>
      </c>
      <c r="Y37" s="3">
        <f t="shared" ca="1" si="49"/>
        <v>4.7674554177941503E-2</v>
      </c>
      <c r="Z37" s="3">
        <f t="shared" ca="1" si="49"/>
        <v>3.8661601632961229E-2</v>
      </c>
      <c r="AA37" s="3">
        <f t="shared" ca="1" si="49"/>
        <v>4.9355555041510631E-2</v>
      </c>
      <c r="AB37" s="3">
        <f t="shared" ca="1" si="49"/>
        <v>5.4279251365582142E-2</v>
      </c>
      <c r="AC37" s="3">
        <f t="shared" ca="1" si="49"/>
        <v>5.3512363326338484E-2</v>
      </c>
      <c r="AD37" s="3">
        <f t="shared" ca="1" si="49"/>
        <v>6.5153533548577641E-2</v>
      </c>
      <c r="AE37" s="3">
        <f t="shared" ca="1" si="49"/>
        <v>5.4919234787426732E-2</v>
      </c>
      <c r="AF37" s="3">
        <f t="shared" ca="1" si="49"/>
        <v>7.955661907876771E-2</v>
      </c>
      <c r="AG37" s="3">
        <f t="shared" ca="1" si="49"/>
        <v>6.1679119417618868E-2</v>
      </c>
      <c r="AH37" s="3">
        <f t="shared" ca="1" si="49"/>
        <v>0.10079724441090238</v>
      </c>
      <c r="AI37" s="3">
        <f t="shared" ca="1" si="49"/>
        <v>9.1477379155284089E-2</v>
      </c>
      <c r="AJ37" s="3">
        <f t="shared" ca="1" si="49"/>
        <v>0.13563130220388545</v>
      </c>
    </row>
    <row r="38" spans="1:36" x14ac:dyDescent="0.35">
      <c r="A38" t="s">
        <v>72</v>
      </c>
      <c r="B38" t="s">
        <v>70</v>
      </c>
      <c r="C38" s="4" t="s">
        <v>81</v>
      </c>
      <c r="D38" s="3">
        <f t="shared" ref="D38:AJ38" ca="1" si="50">MIN(0.99,D19+$D$3)</f>
        <v>1.4287467546807053E-2</v>
      </c>
      <c r="E38" s="3">
        <f t="shared" ca="1" si="50"/>
        <v>1.4799439716605172E-2</v>
      </c>
      <c r="F38" s="3">
        <f t="shared" ca="1" si="50"/>
        <v>1.5168110591174271E-2</v>
      </c>
      <c r="G38" s="3">
        <f t="shared" ca="1" si="50"/>
        <v>1.7830304448688699E-2</v>
      </c>
      <c r="H38" s="3">
        <f t="shared" ca="1" si="50"/>
        <v>1.7460081563107892E-2</v>
      </c>
      <c r="I38" s="3">
        <f t="shared" ca="1" si="50"/>
        <v>1.8378305616512568E-2</v>
      </c>
      <c r="J38" s="3">
        <f t="shared" ca="1" si="50"/>
        <v>2.0031129452598544E-2</v>
      </c>
      <c r="K38" s="3">
        <f t="shared" ca="1" si="50"/>
        <v>2.0355012176682924E-2</v>
      </c>
      <c r="L38" s="3">
        <f t="shared" ca="1" si="50"/>
        <v>2.1035584942616377E-2</v>
      </c>
      <c r="M38" s="3">
        <f t="shared" ca="1" si="50"/>
        <v>2.4236126873448293E-2</v>
      </c>
      <c r="N38" s="3">
        <f t="shared" ca="1" si="50"/>
        <v>2.2725530448257175E-2</v>
      </c>
      <c r="O38" s="3">
        <f t="shared" ca="1" si="50"/>
        <v>2.6508461601667678E-2</v>
      </c>
      <c r="P38" s="3">
        <f t="shared" ca="1" si="50"/>
        <v>2.3843279472699031E-2</v>
      </c>
      <c r="Q38" s="3">
        <f t="shared" ca="1" si="50"/>
        <v>2.9743077175822391E-2</v>
      </c>
      <c r="R38" s="3">
        <f t="shared" ca="1" si="50"/>
        <v>2.5726764650881844E-2</v>
      </c>
      <c r="S38" s="3">
        <f t="shared" ca="1" si="50"/>
        <v>3.0608698272936174E-2</v>
      </c>
      <c r="T38" s="3">
        <f t="shared" ca="1" si="50"/>
        <v>2.868273347065076E-2</v>
      </c>
      <c r="U38" s="3">
        <f t="shared" ca="1" si="50"/>
        <v>3.227349094516304E-2</v>
      </c>
      <c r="V38" s="3">
        <f t="shared" ca="1" si="50"/>
        <v>3.009387201589607E-2</v>
      </c>
      <c r="W38" s="3">
        <f t="shared" ca="1" si="50"/>
        <v>3.5260792071493248E-2</v>
      </c>
      <c r="X38" s="3">
        <f t="shared" ca="1" si="50"/>
        <v>3.0630145676290726E-2</v>
      </c>
      <c r="Y38" s="3">
        <f t="shared" ca="1" si="50"/>
        <v>4.8587819182334971E-2</v>
      </c>
      <c r="Z38" s="3">
        <f t="shared" ca="1" si="50"/>
        <v>3.9581680407734222E-2</v>
      </c>
      <c r="AA38" s="3">
        <f t="shared" ca="1" si="50"/>
        <v>5.0256913604067782E-2</v>
      </c>
      <c r="AB38" s="3">
        <f t="shared" ca="1" si="50"/>
        <v>5.5180148342159029E-2</v>
      </c>
      <c r="AC38" s="3">
        <f t="shared" ca="1" si="50"/>
        <v>5.4430344217926072E-2</v>
      </c>
      <c r="AD38" s="3">
        <f t="shared" ca="1" si="50"/>
        <v>6.61399088607494E-2</v>
      </c>
      <c r="AE38" s="3">
        <f t="shared" ca="1" si="50"/>
        <v>5.5914172312061944E-2</v>
      </c>
      <c r="AF38" s="3">
        <f t="shared" ca="1" si="50"/>
        <v>8.0464079250437151E-2</v>
      </c>
      <c r="AG38" s="3">
        <f t="shared" ca="1" si="50"/>
        <v>6.2637834694058259E-2</v>
      </c>
      <c r="AH38" s="3">
        <f t="shared" ca="1" si="50"/>
        <v>0.10173356308585564</v>
      </c>
      <c r="AI38" s="3">
        <f t="shared" ca="1" si="50"/>
        <v>9.2423098947411048E-2</v>
      </c>
      <c r="AJ38" s="3">
        <f t="shared" ca="1" si="50"/>
        <v>0.13661544768541897</v>
      </c>
    </row>
    <row r="39" spans="1:36" x14ac:dyDescent="0.35">
      <c r="A39" t="s">
        <v>72</v>
      </c>
      <c r="B39" t="s">
        <v>70</v>
      </c>
      <c r="C39" s="4">
        <v>6</v>
      </c>
      <c r="D39" s="3">
        <f t="shared" ref="D39:AJ39" ca="1" si="51">MIN(0.99,D20+$D$3)</f>
        <v>1.5272096852670489E-2</v>
      </c>
      <c r="E39" s="3">
        <f t="shared" ca="1" si="51"/>
        <v>1.5741952086140265E-2</v>
      </c>
      <c r="F39" s="3">
        <f t="shared" ca="1" si="51"/>
        <v>1.6141622006834173E-2</v>
      </c>
      <c r="G39" s="3">
        <f t="shared" ca="1" si="51"/>
        <v>1.8733324978217791E-2</v>
      </c>
      <c r="H39" s="3">
        <f t="shared" ca="1" si="51"/>
        <v>1.8405038231334908E-2</v>
      </c>
      <c r="I39" s="3">
        <f t="shared" ca="1" si="51"/>
        <v>1.9308435495173162E-2</v>
      </c>
      <c r="J39" s="3">
        <f t="shared" ca="1" si="51"/>
        <v>2.1002617153295353E-2</v>
      </c>
      <c r="K39" s="3">
        <f t="shared" ca="1" si="51"/>
        <v>2.1289595095036761E-2</v>
      </c>
      <c r="L39" s="3">
        <f t="shared" ca="1" si="51"/>
        <v>2.2010167922998387E-2</v>
      </c>
      <c r="M39" s="3">
        <f t="shared" ca="1" si="51"/>
        <v>2.5203776790779585E-2</v>
      </c>
      <c r="N39" s="3">
        <f t="shared" ca="1" si="51"/>
        <v>2.3657836556008057E-2</v>
      </c>
      <c r="O39" s="3">
        <f t="shared" ca="1" si="51"/>
        <v>2.7435235537850315E-2</v>
      </c>
      <c r="P39" s="3">
        <f t="shared" ca="1" si="51"/>
        <v>2.4813163056806437E-2</v>
      </c>
      <c r="Q39" s="3">
        <f t="shared" ca="1" si="51"/>
        <v>3.0659670682821504E-2</v>
      </c>
      <c r="R39" s="3">
        <f t="shared" ca="1" si="51"/>
        <v>2.6658274328919308E-2</v>
      </c>
      <c r="S39" s="3">
        <f t="shared" ca="1" si="51"/>
        <v>3.1582825819937439E-2</v>
      </c>
      <c r="T39" s="3">
        <f t="shared" ca="1" si="51"/>
        <v>2.9645195841634706E-2</v>
      </c>
      <c r="U39" s="3">
        <f t="shared" ca="1" si="51"/>
        <v>3.3247389925240962E-2</v>
      </c>
      <c r="V39" s="3">
        <f t="shared" ca="1" si="51"/>
        <v>3.100352847993592E-2</v>
      </c>
      <c r="W39" s="3">
        <f t="shared" ca="1" si="51"/>
        <v>3.6260272557253705E-2</v>
      </c>
      <c r="X39" s="3">
        <f t="shared" ca="1" si="51"/>
        <v>3.1569085329601954E-2</v>
      </c>
      <c r="Y39" s="3">
        <f t="shared" ca="1" si="51"/>
        <v>4.9571635228697598E-2</v>
      </c>
      <c r="Z39" s="3">
        <f t="shared" ca="1" si="51"/>
        <v>4.0484260763572276E-2</v>
      </c>
      <c r="AA39" s="3">
        <f t="shared" ca="1" si="51"/>
        <v>5.1180256795380893E-2</v>
      </c>
      <c r="AB39" s="3">
        <f t="shared" ca="1" si="51"/>
        <v>5.6178930688432598E-2</v>
      </c>
      <c r="AC39" s="3">
        <f t="shared" ca="1" si="51"/>
        <v>5.5407387831742969E-2</v>
      </c>
      <c r="AD39" s="3">
        <f t="shared" ca="1" si="51"/>
        <v>6.7075849411550301E-2</v>
      </c>
      <c r="AE39" s="3">
        <f t="shared" ca="1" si="51"/>
        <v>5.6859833678554871E-2</v>
      </c>
      <c r="AF39" s="3">
        <f t="shared" ca="1" si="51"/>
        <v>8.1442838078917043E-2</v>
      </c>
      <c r="AG39" s="3">
        <f t="shared" ca="1" si="51"/>
        <v>6.3554387249112276E-2</v>
      </c>
      <c r="AH39" s="3">
        <f t="shared" ca="1" si="51"/>
        <v>0.10265919973432636</v>
      </c>
      <c r="AI39" s="3">
        <f t="shared" ca="1" si="51"/>
        <v>9.3378690996944E-2</v>
      </c>
      <c r="AJ39" s="3">
        <f t="shared" ca="1" si="51"/>
        <v>0.13760720677105212</v>
      </c>
    </row>
    <row r="40" spans="1:36" x14ac:dyDescent="0.35">
      <c r="A40" t="s">
        <v>72</v>
      </c>
      <c r="B40" t="s">
        <v>70</v>
      </c>
      <c r="C40" s="4" t="s">
        <v>82</v>
      </c>
      <c r="D40" s="3">
        <f t="shared" ref="D40:AJ40" ca="1" si="52">MIN(0.99,D21+$D$3)</f>
        <v>1.6263812266776794E-2</v>
      </c>
      <c r="E40" s="3">
        <f t="shared" ca="1" si="52"/>
        <v>1.673290930319106E-2</v>
      </c>
      <c r="F40" s="3">
        <f t="shared" ca="1" si="52"/>
        <v>1.7098791819076361E-2</v>
      </c>
      <c r="G40" s="3">
        <f t="shared" ca="1" si="52"/>
        <v>1.9657787312976533E-2</v>
      </c>
      <c r="H40" s="3">
        <f t="shared" ca="1" si="52"/>
        <v>1.9359137822923204E-2</v>
      </c>
      <c r="I40" s="3">
        <f t="shared" ca="1" si="52"/>
        <v>2.02209385765343E-2</v>
      </c>
      <c r="J40" s="3">
        <f t="shared" ca="1" si="52"/>
        <v>2.1913804826462678E-2</v>
      </c>
      <c r="K40" s="3">
        <f t="shared" ca="1" si="52"/>
        <v>2.2230739249146845E-2</v>
      </c>
      <c r="L40" s="3">
        <f t="shared" ca="1" si="52"/>
        <v>2.2932939413809309E-2</v>
      </c>
      <c r="M40" s="3">
        <f t="shared" ca="1" si="52"/>
        <v>2.6145788593844713E-2</v>
      </c>
      <c r="N40" s="3">
        <f t="shared" ca="1" si="52"/>
        <v>2.4626853432754354E-2</v>
      </c>
      <c r="O40" s="3">
        <f t="shared" ca="1" si="52"/>
        <v>2.8411956162055472E-2</v>
      </c>
      <c r="P40" s="3">
        <f t="shared" ca="1" si="52"/>
        <v>2.5797656562763591E-2</v>
      </c>
      <c r="Q40" s="3">
        <f t="shared" ca="1" si="52"/>
        <v>3.1646484395261069E-2</v>
      </c>
      <c r="R40" s="3">
        <f t="shared" ca="1" si="52"/>
        <v>2.764114743056038E-2</v>
      </c>
      <c r="S40" s="3">
        <f t="shared" ca="1" si="52"/>
        <v>3.2581708473058704E-2</v>
      </c>
      <c r="T40" s="3">
        <f t="shared" ca="1" si="52"/>
        <v>3.0632438724495368E-2</v>
      </c>
      <c r="U40" s="3">
        <f t="shared" ca="1" si="52"/>
        <v>3.4160840021064086E-2</v>
      </c>
      <c r="V40" s="3">
        <f t="shared" ca="1" si="52"/>
        <v>3.1983365819813092E-2</v>
      </c>
      <c r="W40" s="3">
        <f t="shared" ca="1" si="52"/>
        <v>3.7189326402891208E-2</v>
      </c>
      <c r="X40" s="3">
        <f t="shared" ca="1" si="52"/>
        <v>3.2503971177556545E-2</v>
      </c>
      <c r="Y40" s="3">
        <f t="shared" ca="1" si="52"/>
        <v>5.0492419819020661E-2</v>
      </c>
      <c r="Z40" s="3">
        <f t="shared" ca="1" si="52"/>
        <v>4.146908370514911E-2</v>
      </c>
      <c r="AA40" s="3">
        <f t="shared" ca="1" si="52"/>
        <v>5.2161684148165785E-2</v>
      </c>
      <c r="AB40" s="3">
        <f t="shared" ca="1" si="52"/>
        <v>5.7080984699076721E-2</v>
      </c>
      <c r="AC40" s="3">
        <f t="shared" ca="1" si="52"/>
        <v>5.6324685025339029E-2</v>
      </c>
      <c r="AD40" s="3">
        <f t="shared" ca="1" si="52"/>
        <v>6.8025249828346179E-2</v>
      </c>
      <c r="AE40" s="3">
        <f t="shared" ca="1" si="52"/>
        <v>5.7855786329794261E-2</v>
      </c>
      <c r="AF40" s="3">
        <f t="shared" ca="1" si="52"/>
        <v>8.2442411689678335E-2</v>
      </c>
      <c r="AG40" s="3">
        <f t="shared" ca="1" si="52"/>
        <v>6.4454474720507693E-2</v>
      </c>
      <c r="AH40" s="3">
        <f t="shared" ca="1" si="52"/>
        <v>0.10357186904120029</v>
      </c>
      <c r="AI40" s="3">
        <f t="shared" ca="1" si="52"/>
        <v>9.4333578440312926E-2</v>
      </c>
      <c r="AJ40" s="3">
        <f t="shared" ca="1" si="52"/>
        <v>0.13856039003403714</v>
      </c>
    </row>
    <row r="41" spans="1:36" x14ac:dyDescent="0.35">
      <c r="A41" t="s">
        <v>72</v>
      </c>
      <c r="B41" t="s">
        <v>70</v>
      </c>
      <c r="C41" s="4" t="s">
        <v>83</v>
      </c>
      <c r="D41" s="3">
        <f t="shared" ref="D41:AJ41" ca="1" si="53">MIN(0.99,D22+$D$3)</f>
        <v>1.7258313325835099E-2</v>
      </c>
      <c r="E41" s="3">
        <f t="shared" ca="1" si="53"/>
        <v>1.7664422751371523E-2</v>
      </c>
      <c r="F41" s="3">
        <f t="shared" ca="1" si="53"/>
        <v>1.8044139420366402E-2</v>
      </c>
      <c r="G41" s="3">
        <f t="shared" ca="1" si="53"/>
        <v>2.0654183375913595E-2</v>
      </c>
      <c r="H41" s="3">
        <f t="shared" ca="1" si="53"/>
        <v>2.0342934195328725E-2</v>
      </c>
      <c r="I41" s="3">
        <f t="shared" ca="1" si="53"/>
        <v>2.1208570208275684E-2</v>
      </c>
      <c r="J41" s="3">
        <f t="shared" ca="1" si="53"/>
        <v>2.282094492471546E-2</v>
      </c>
      <c r="K41" s="3">
        <f t="shared" ca="1" si="53"/>
        <v>2.3211150414129269E-2</v>
      </c>
      <c r="L41" s="3">
        <f t="shared" ca="1" si="53"/>
        <v>2.3900842615034626E-2</v>
      </c>
      <c r="M41" s="3">
        <f t="shared" ca="1" si="53"/>
        <v>2.7089982830518253E-2</v>
      </c>
      <c r="N41" s="3">
        <f t="shared" ca="1" si="53"/>
        <v>2.5589694759775097E-2</v>
      </c>
      <c r="O41" s="3">
        <f t="shared" ca="1" si="53"/>
        <v>2.9340255688448492E-2</v>
      </c>
      <c r="P41" s="3">
        <f t="shared" ca="1" si="53"/>
        <v>2.6724828456456788E-2</v>
      </c>
      <c r="Q41" s="3">
        <f t="shared" ca="1" si="53"/>
        <v>3.2590752891357606E-2</v>
      </c>
      <c r="R41" s="3">
        <f t="shared" ca="1" si="53"/>
        <v>2.8587469340213115E-2</v>
      </c>
      <c r="S41" s="3">
        <f t="shared" ca="1" si="53"/>
        <v>3.3567772570547105E-2</v>
      </c>
      <c r="T41" s="3">
        <f t="shared" ca="1" si="53"/>
        <v>3.159773118010345E-2</v>
      </c>
      <c r="U41" s="3">
        <f t="shared" ca="1" si="53"/>
        <v>3.5066878048339502E-2</v>
      </c>
      <c r="V41" s="3">
        <f t="shared" ca="1" si="53"/>
        <v>3.2965582589996906E-2</v>
      </c>
      <c r="W41" s="3">
        <f t="shared" ca="1" si="53"/>
        <v>3.8152745560524316E-2</v>
      </c>
      <c r="X41" s="3">
        <f t="shared" ca="1" si="53"/>
        <v>3.3411965868464982E-2</v>
      </c>
      <c r="Y41" s="3">
        <f t="shared" ca="1" si="53"/>
        <v>5.1405199454347683E-2</v>
      </c>
      <c r="Z41" s="3">
        <f t="shared" ca="1" si="53"/>
        <v>4.244661319063283E-2</v>
      </c>
      <c r="AA41" s="3">
        <f t="shared" ca="1" si="53"/>
        <v>5.3147798083036137E-2</v>
      </c>
      <c r="AB41" s="3">
        <f t="shared" ca="1" si="53"/>
        <v>5.801239178746518E-2</v>
      </c>
      <c r="AC41" s="3">
        <f t="shared" ca="1" si="53"/>
        <v>5.7249058594318759E-2</v>
      </c>
      <c r="AD41" s="3">
        <f t="shared" ca="1" si="53"/>
        <v>6.9012703948703805E-2</v>
      </c>
      <c r="AE41" s="3">
        <f t="shared" ca="1" si="53"/>
        <v>5.8762099494107628E-2</v>
      </c>
      <c r="AF41" s="3">
        <f t="shared" ca="1" si="53"/>
        <v>8.3408340066459863E-2</v>
      </c>
      <c r="AG41" s="3">
        <f t="shared" ca="1" si="53"/>
        <v>6.5383140432970957E-2</v>
      </c>
      <c r="AH41" s="3">
        <f t="shared" ca="1" si="53"/>
        <v>0.10449350671209306</v>
      </c>
      <c r="AI41" s="3">
        <f t="shared" ca="1" si="53"/>
        <v>9.5240589727351291E-2</v>
      </c>
      <c r="AJ41" s="3">
        <f t="shared" ca="1" si="53"/>
        <v>0.13952565964640187</v>
      </c>
    </row>
    <row r="42" spans="1:36" x14ac:dyDescent="0.35">
      <c r="A42" t="s">
        <v>72</v>
      </c>
      <c r="B42" t="s">
        <v>70</v>
      </c>
      <c r="C42" s="4">
        <v>7</v>
      </c>
      <c r="D42" s="3">
        <f t="shared" ref="D42:AJ42" ca="1" si="54">MIN(0.99,D23+$D$3)</f>
        <v>1.8200661918787046E-2</v>
      </c>
      <c r="E42" s="3">
        <f t="shared" ca="1" si="54"/>
        <v>1.8599050848178991E-2</v>
      </c>
      <c r="F42" s="3">
        <f t="shared" ca="1" si="54"/>
        <v>1.8999908112302826E-2</v>
      </c>
      <c r="G42" s="3">
        <f t="shared" ca="1" si="54"/>
        <v>2.1602747294023925E-2</v>
      </c>
      <c r="H42" s="3">
        <f t="shared" ca="1" si="54"/>
        <v>2.1340927736579154E-2</v>
      </c>
      <c r="I42" s="3">
        <f t="shared" ca="1" si="54"/>
        <v>2.2160013680824958E-2</v>
      </c>
      <c r="J42" s="3">
        <f t="shared" ca="1" si="54"/>
        <v>2.3798636055544515E-2</v>
      </c>
      <c r="K42" s="3">
        <f t="shared" ca="1" si="54"/>
        <v>2.4147417078684758E-2</v>
      </c>
      <c r="L42" s="3">
        <f t="shared" ca="1" si="54"/>
        <v>2.4884361362201252E-2</v>
      </c>
      <c r="M42" s="3">
        <f t="shared" ca="1" si="54"/>
        <v>2.8066011617063052E-2</v>
      </c>
      <c r="N42" s="3">
        <f t="shared" ca="1" si="54"/>
        <v>2.657493581717307E-2</v>
      </c>
      <c r="O42" s="3">
        <f t="shared" ca="1" si="54"/>
        <v>3.0243120872214837E-2</v>
      </c>
      <c r="P42" s="3">
        <f t="shared" ca="1" si="54"/>
        <v>2.765261584886022E-2</v>
      </c>
      <c r="Q42" s="3">
        <f t="shared" ca="1" si="54"/>
        <v>3.3569733367876192E-2</v>
      </c>
      <c r="R42" s="3">
        <f t="shared" ca="1" si="54"/>
        <v>2.9576129199714075E-2</v>
      </c>
      <c r="S42" s="3">
        <f t="shared" ca="1" si="54"/>
        <v>3.4540739523052102E-2</v>
      </c>
      <c r="T42" s="3">
        <f t="shared" ca="1" si="54"/>
        <v>3.2548683447016849E-2</v>
      </c>
      <c r="U42" s="3">
        <f t="shared" ca="1" si="54"/>
        <v>3.6009804975175336E-2</v>
      </c>
      <c r="V42" s="3">
        <f t="shared" ca="1" si="54"/>
        <v>3.3950087490942867E-2</v>
      </c>
      <c r="W42" s="3">
        <f t="shared" ca="1" si="54"/>
        <v>3.9118232677885625E-2</v>
      </c>
      <c r="X42" s="3">
        <f t="shared" ca="1" si="54"/>
        <v>3.4405612871754442E-2</v>
      </c>
      <c r="Y42" s="3">
        <f t="shared" ca="1" si="54"/>
        <v>5.2324381851075345E-2</v>
      </c>
      <c r="Z42" s="3">
        <f t="shared" ca="1" si="54"/>
        <v>4.3431863695245182E-2</v>
      </c>
      <c r="AA42" s="3">
        <f t="shared" ca="1" si="54"/>
        <v>5.413862304246727E-2</v>
      </c>
      <c r="AB42" s="3">
        <f t="shared" ca="1" si="54"/>
        <v>5.8919633726327449E-2</v>
      </c>
      <c r="AC42" s="3">
        <f t="shared" ca="1" si="54"/>
        <v>5.824599140470553E-2</v>
      </c>
      <c r="AD42" s="3">
        <f t="shared" ca="1" si="54"/>
        <v>6.9975947900684426E-2</v>
      </c>
      <c r="AE42" s="3">
        <f t="shared" ca="1" si="54"/>
        <v>5.9740836097137533E-2</v>
      </c>
      <c r="AF42" s="3">
        <f t="shared" ca="1" si="54"/>
        <v>8.4369333103120794E-2</v>
      </c>
      <c r="AG42" s="3">
        <f t="shared" ca="1" si="54"/>
        <v>6.6340509896130231E-2</v>
      </c>
      <c r="AH42" s="3">
        <f t="shared" ca="1" si="54"/>
        <v>0.10541928479232041</v>
      </c>
      <c r="AI42" s="3">
        <f t="shared" ca="1" si="54"/>
        <v>9.6184890554395955E-2</v>
      </c>
      <c r="AJ42" s="3">
        <f t="shared" ca="1" si="54"/>
        <v>0.14048251845596493</v>
      </c>
    </row>
    <row r="43" spans="1:36" x14ac:dyDescent="0.35">
      <c r="A43" t="s">
        <v>72</v>
      </c>
      <c r="B43" t="s">
        <v>70</v>
      </c>
      <c r="C43" s="4" t="s">
        <v>84</v>
      </c>
      <c r="D43" s="3">
        <f t="shared" ref="D43:AJ43" ca="1" si="55">MIN(0.99,D24+$D$3)</f>
        <v>1.9166562334712586E-2</v>
      </c>
      <c r="E43" s="3">
        <f t="shared" ca="1" si="55"/>
        <v>1.9590553464073113E-2</v>
      </c>
      <c r="F43" s="3">
        <f t="shared" ca="1" si="55"/>
        <v>1.990184950804235E-2</v>
      </c>
      <c r="G43" s="3">
        <f t="shared" ca="1" si="55"/>
        <v>2.2564174319794277E-2</v>
      </c>
      <c r="H43" s="3">
        <f t="shared" ca="1" si="55"/>
        <v>2.2243459502794653E-2</v>
      </c>
      <c r="I43" s="3">
        <f t="shared" ca="1" si="55"/>
        <v>2.3069930142503251E-2</v>
      </c>
      <c r="J43" s="3">
        <f t="shared" ca="1" si="55"/>
        <v>2.4726024963811072E-2</v>
      </c>
      <c r="K43" s="3">
        <f t="shared" ca="1" si="55"/>
        <v>2.5088037481514062E-2</v>
      </c>
      <c r="L43" s="3">
        <f t="shared" ca="1" si="55"/>
        <v>2.588283571839823E-2</v>
      </c>
      <c r="M43" s="3">
        <f t="shared" ca="1" si="55"/>
        <v>2.8982289432040991E-2</v>
      </c>
      <c r="N43" s="3">
        <f t="shared" ca="1" si="55"/>
        <v>2.7540296229596417E-2</v>
      </c>
      <c r="O43" s="3">
        <f t="shared" ca="1" si="55"/>
        <v>3.1221587420155818E-2</v>
      </c>
      <c r="P43" s="3">
        <f t="shared" ca="1" si="55"/>
        <v>2.8595541411957925E-2</v>
      </c>
      <c r="Q43" s="3">
        <f t="shared" ca="1" si="55"/>
        <v>3.4536050711690656E-2</v>
      </c>
      <c r="R43" s="3">
        <f t="shared" ca="1" si="55"/>
        <v>3.0547172878563712E-2</v>
      </c>
      <c r="S43" s="3">
        <f t="shared" ca="1" si="55"/>
        <v>3.5509246908124133E-2</v>
      </c>
      <c r="T43" s="3">
        <f t="shared" ca="1" si="55"/>
        <v>3.3461461138448868E-2</v>
      </c>
      <c r="U43" s="3">
        <f t="shared" ca="1" si="55"/>
        <v>3.6964158194139743E-2</v>
      </c>
      <c r="V43" s="3">
        <f t="shared" ca="1" si="55"/>
        <v>3.4913496729225835E-2</v>
      </c>
      <c r="W43" s="3">
        <f t="shared" ca="1" si="55"/>
        <v>4.0083039935777207E-2</v>
      </c>
      <c r="X43" s="3">
        <f t="shared" ca="1" si="55"/>
        <v>3.5402057325229469E-2</v>
      </c>
      <c r="Y43" s="3">
        <f t="shared" ca="1" si="55"/>
        <v>5.3278663424839175E-2</v>
      </c>
      <c r="Z43" s="3">
        <f t="shared" ca="1" si="55"/>
        <v>4.4383456054049988E-2</v>
      </c>
      <c r="AA43" s="3">
        <f t="shared" ca="1" si="55"/>
        <v>5.5129865817589559E-2</v>
      </c>
      <c r="AB43" s="3">
        <f t="shared" ca="1" si="55"/>
        <v>5.984108407942957E-2</v>
      </c>
      <c r="AC43" s="3">
        <f t="shared" ca="1" si="55"/>
        <v>5.9187457185954959E-2</v>
      </c>
      <c r="AD43" s="3">
        <f t="shared" ca="1" si="55"/>
        <v>7.0909162955906838E-2</v>
      </c>
      <c r="AE43" s="3">
        <f t="shared" ca="1" si="55"/>
        <v>6.0688942281851649E-2</v>
      </c>
      <c r="AF43" s="3">
        <f t="shared" ca="1" si="55"/>
        <v>8.5359529071026036E-2</v>
      </c>
      <c r="AG43" s="3">
        <f t="shared" ca="1" si="55"/>
        <v>6.7326130414968668E-2</v>
      </c>
      <c r="AH43" s="3">
        <f t="shared" ca="1" si="55"/>
        <v>0.10639825560777447</v>
      </c>
      <c r="AI43" s="3">
        <f t="shared" ca="1" si="55"/>
        <v>9.7111562090151399E-2</v>
      </c>
      <c r="AJ43" s="3">
        <f t="shared" ca="1" si="55"/>
        <v>0.14138586655357663</v>
      </c>
    </row>
    <row r="44" spans="1:36" x14ac:dyDescent="0.35">
      <c r="A44" t="s">
        <v>72</v>
      </c>
      <c r="B44" t="s">
        <v>71</v>
      </c>
      <c r="C44" s="4">
        <v>1</v>
      </c>
      <c r="D44" s="3">
        <f t="shared" ref="D44:AJ44" ca="1" si="56">MIN(0.99,D25+$D$3)</f>
        <v>2.9489155565808256E-3</v>
      </c>
      <c r="E44" s="3">
        <f t="shared" ca="1" si="56"/>
        <v>3.4914207186641944E-3</v>
      </c>
      <c r="F44" s="3">
        <f t="shared" ca="1" si="56"/>
        <v>3.8286364663755084E-3</v>
      </c>
      <c r="G44" s="3">
        <f t="shared" ca="1" si="56"/>
        <v>6.4161832111370564E-3</v>
      </c>
      <c r="H44" s="3">
        <f t="shared" ca="1" si="56"/>
        <v>6.0050241415017594E-3</v>
      </c>
      <c r="I44" s="3">
        <f t="shared" ca="1" si="56"/>
        <v>7.1010244293844248E-3</v>
      </c>
      <c r="J44" s="3">
        <f t="shared" ca="1" si="56"/>
        <v>8.8163148089471267E-3</v>
      </c>
      <c r="K44" s="3">
        <f t="shared" ca="1" si="56"/>
        <v>9.2149945846779005E-3</v>
      </c>
      <c r="L44" s="3">
        <f t="shared" ca="1" si="56"/>
        <v>9.8220227601358602E-3</v>
      </c>
      <c r="M44" s="3">
        <f t="shared" ca="1" si="56"/>
        <v>1.2907570382466167E-2</v>
      </c>
      <c r="N44" s="3">
        <f t="shared" ca="1" si="56"/>
        <v>1.1251118007418317E-2</v>
      </c>
      <c r="O44" s="3">
        <f t="shared" ca="1" si="56"/>
        <v>1.5209652031731597E-2</v>
      </c>
      <c r="P44" s="3">
        <f t="shared" ca="1" si="56"/>
        <v>1.2555720538694613E-2</v>
      </c>
      <c r="Q44" s="3">
        <f t="shared" ca="1" si="56"/>
        <v>1.8274408014531927E-2</v>
      </c>
      <c r="R44" s="3">
        <f t="shared" ca="1" si="56"/>
        <v>1.4278056269551882E-2</v>
      </c>
      <c r="S44" s="3">
        <f t="shared" ca="1" si="56"/>
        <v>1.9319199292237726E-2</v>
      </c>
      <c r="T44" s="3">
        <f t="shared" ca="1" si="56"/>
        <v>1.7320357003587975E-2</v>
      </c>
      <c r="U44" s="3">
        <f t="shared" ca="1" si="56"/>
        <v>2.1050714254284408E-2</v>
      </c>
      <c r="V44" s="3">
        <f t="shared" ca="1" si="56"/>
        <v>1.8685101092689737E-2</v>
      </c>
      <c r="W44" s="3">
        <f t="shared" ca="1" si="56"/>
        <v>2.3909280107846643E-2</v>
      </c>
      <c r="X44" s="3">
        <f t="shared" ca="1" si="56"/>
        <v>1.9360103972379413E-2</v>
      </c>
      <c r="Y44" s="3">
        <f t="shared" ca="1" si="56"/>
        <v>3.7049654115689876E-2</v>
      </c>
      <c r="Z44" s="3">
        <f t="shared" ca="1" si="56"/>
        <v>2.8263312099614878E-2</v>
      </c>
      <c r="AA44" s="3">
        <f t="shared" ca="1" si="56"/>
        <v>3.8895172202255475E-2</v>
      </c>
      <c r="AB44" s="3">
        <f t="shared" ca="1" si="56"/>
        <v>4.4036696389291551E-2</v>
      </c>
      <c r="AC44" s="3">
        <f t="shared" ca="1" si="56"/>
        <v>4.3005313707715771E-2</v>
      </c>
      <c r="AD44" s="3">
        <f t="shared" ca="1" si="56"/>
        <v>5.4784244355589644E-2</v>
      </c>
      <c r="AE44" s="3">
        <f t="shared" ca="1" si="56"/>
        <v>4.4381758517328181E-2</v>
      </c>
      <c r="AF44" s="3">
        <f t="shared" ca="1" si="56"/>
        <v>6.9107199728716345E-2</v>
      </c>
      <c r="AG44" s="3">
        <f t="shared" ca="1" si="56"/>
        <v>5.1165330697988468E-2</v>
      </c>
      <c r="AH44" s="3">
        <f t="shared" ca="1" si="56"/>
        <v>9.0465033549349275E-2</v>
      </c>
      <c r="AI44" s="3">
        <f t="shared" ca="1" si="56"/>
        <v>8.0874107981111762E-2</v>
      </c>
      <c r="AJ44" s="3">
        <f t="shared" ca="1" si="56"/>
        <v>0.12533653162521982</v>
      </c>
    </row>
    <row r="45" spans="1:36" x14ac:dyDescent="0.35">
      <c r="A45" t="s">
        <v>72</v>
      </c>
      <c r="B45" t="s">
        <v>71</v>
      </c>
      <c r="C45" s="4" t="s">
        <v>73</v>
      </c>
      <c r="D45" s="3">
        <f t="shared" ref="D45:AJ45" ca="1" si="57">MIN(0.99,D26+$D$3)</f>
        <v>3.9265610527891943E-3</v>
      </c>
      <c r="E45" s="3">
        <f t="shared" ca="1" si="57"/>
        <v>4.4482312128100929E-3</v>
      </c>
      <c r="F45" s="3">
        <f t="shared" ca="1" si="57"/>
        <v>4.7649575103077112E-3</v>
      </c>
      <c r="G45" s="3">
        <f t="shared" ca="1" si="57"/>
        <v>7.3226926016803674E-3</v>
      </c>
      <c r="H45" s="3">
        <f t="shared" ca="1" si="57"/>
        <v>6.9880205810149785E-3</v>
      </c>
      <c r="I45" s="3">
        <f t="shared" ca="1" si="57"/>
        <v>8.0693780639511624E-3</v>
      </c>
      <c r="J45" s="3">
        <f t="shared" ca="1" si="57"/>
        <v>9.7931157142798798E-3</v>
      </c>
      <c r="K45" s="3">
        <f t="shared" ca="1" si="57"/>
        <v>1.0189774349119746E-2</v>
      </c>
      <c r="L45" s="3">
        <f t="shared" ca="1" si="57"/>
        <v>1.0740998641631094E-2</v>
      </c>
      <c r="M45" s="3">
        <f t="shared" ca="1" si="57"/>
        <v>1.3875218593734553E-2</v>
      </c>
      <c r="N45" s="3">
        <f t="shared" ca="1" si="57"/>
        <v>1.2191787313370055E-2</v>
      </c>
      <c r="O45" s="3">
        <f t="shared" ca="1" si="57"/>
        <v>1.6111750155094876E-2</v>
      </c>
      <c r="P45" s="3">
        <f t="shared" ca="1" si="57"/>
        <v>1.3530831549218619E-2</v>
      </c>
      <c r="Q45" s="3">
        <f t="shared" ca="1" si="57"/>
        <v>1.9229543020589681E-2</v>
      </c>
      <c r="R45" s="3">
        <f t="shared" ca="1" si="57"/>
        <v>1.5270533130590635E-2</v>
      </c>
      <c r="S45" s="3">
        <f t="shared" ca="1" si="57"/>
        <v>2.0295220226228039E-2</v>
      </c>
      <c r="T45" s="3">
        <f t="shared" ca="1" si="57"/>
        <v>1.8220438034372861E-2</v>
      </c>
      <c r="U45" s="3">
        <f t="shared" ca="1" si="57"/>
        <v>2.1986514159243676E-2</v>
      </c>
      <c r="V45" s="3">
        <f t="shared" ca="1" si="57"/>
        <v>1.9619064739089066E-2</v>
      </c>
      <c r="W45" s="3">
        <f t="shared" ca="1" si="57"/>
        <v>2.4825500223234754E-2</v>
      </c>
      <c r="X45" s="3">
        <f t="shared" ca="1" si="57"/>
        <v>2.0334450495532022E-2</v>
      </c>
      <c r="Y45" s="3">
        <f t="shared" ca="1" si="57"/>
        <v>3.8001448457920486E-2</v>
      </c>
      <c r="Z45" s="3">
        <f t="shared" ca="1" si="57"/>
        <v>2.916419918552594E-2</v>
      </c>
      <c r="AA45" s="3">
        <f t="shared" ca="1" si="57"/>
        <v>3.9849487744943166E-2</v>
      </c>
      <c r="AB45" s="3">
        <f t="shared" ca="1" si="57"/>
        <v>4.4962058348978054E-2</v>
      </c>
      <c r="AC45" s="3">
        <f t="shared" ca="1" si="57"/>
        <v>4.3984195355870941E-2</v>
      </c>
      <c r="AD45" s="3">
        <f t="shared" ca="1" si="57"/>
        <v>5.572616340702672E-2</v>
      </c>
      <c r="AE45" s="3">
        <f t="shared" ca="1" si="57"/>
        <v>4.5336346951160317E-2</v>
      </c>
      <c r="AF45" s="3">
        <f t="shared" ca="1" si="57"/>
        <v>7.0105964875773627E-2</v>
      </c>
      <c r="AG45" s="3">
        <f t="shared" ca="1" si="57"/>
        <v>5.2132993889453874E-2</v>
      </c>
      <c r="AH45" s="3">
        <f t="shared" ca="1" si="57"/>
        <v>9.1390759799874946E-2</v>
      </c>
      <c r="AI45" s="3">
        <f t="shared" ca="1" si="57"/>
        <v>8.1802264956999229E-2</v>
      </c>
      <c r="AJ45" s="3">
        <f t="shared" ca="1" si="57"/>
        <v>0.12627164443119315</v>
      </c>
    </row>
    <row r="46" spans="1:36" x14ac:dyDescent="0.35">
      <c r="A46" t="s">
        <v>72</v>
      </c>
      <c r="B46" t="s">
        <v>71</v>
      </c>
      <c r="C46" s="4">
        <v>2</v>
      </c>
      <c r="D46" s="3">
        <f t="shared" ref="D46:AJ46" ca="1" si="58">MIN(0.99,D27+$D$3)</f>
        <v>4.915555131409159E-3</v>
      </c>
      <c r="E46" s="3">
        <f t="shared" ca="1" si="58"/>
        <v>5.3619070305204039E-3</v>
      </c>
      <c r="F46" s="3">
        <f t="shared" ca="1" si="58"/>
        <v>5.7112479684363364E-3</v>
      </c>
      <c r="G46" s="3">
        <f t="shared" ca="1" si="58"/>
        <v>8.2721313324808227E-3</v>
      </c>
      <c r="H46" s="3">
        <f t="shared" ca="1" si="58"/>
        <v>7.9495999104175607E-3</v>
      </c>
      <c r="I46" s="3">
        <f t="shared" ca="1" si="58"/>
        <v>8.9840395969106625E-3</v>
      </c>
      <c r="J46" s="3">
        <f t="shared" ca="1" si="58"/>
        <v>1.0736190025123073E-2</v>
      </c>
      <c r="K46" s="3">
        <f t="shared" ca="1" si="58"/>
        <v>1.1164580242559841E-2</v>
      </c>
      <c r="L46" s="3">
        <f t="shared" ca="1" si="58"/>
        <v>1.1716628937796323E-2</v>
      </c>
      <c r="M46" s="3">
        <f t="shared" ca="1" si="58"/>
        <v>1.4790871662646886E-2</v>
      </c>
      <c r="N46" s="3">
        <f t="shared" ca="1" si="58"/>
        <v>1.3160299362651732E-2</v>
      </c>
      <c r="O46" s="3">
        <f t="shared" ca="1" si="58"/>
        <v>1.7078729794210313E-2</v>
      </c>
      <c r="P46" s="3">
        <f t="shared" ca="1" si="58"/>
        <v>1.4465168786495522E-2</v>
      </c>
      <c r="Q46" s="3">
        <f t="shared" ca="1" si="58"/>
        <v>2.019774675366319E-2</v>
      </c>
      <c r="R46" s="3">
        <f t="shared" ca="1" si="58"/>
        <v>1.622347106064085E-2</v>
      </c>
      <c r="S46" s="3">
        <f t="shared" ca="1" si="58"/>
        <v>2.1290807760214334E-2</v>
      </c>
      <c r="T46" s="3">
        <f t="shared" ca="1" si="58"/>
        <v>1.9141829837937406E-2</v>
      </c>
      <c r="U46" s="3">
        <f t="shared" ca="1" si="58"/>
        <v>2.2897869179906369E-2</v>
      </c>
      <c r="V46" s="3">
        <f t="shared" ca="1" si="58"/>
        <v>2.0535389428510024E-2</v>
      </c>
      <c r="W46" s="3">
        <f t="shared" ca="1" si="58"/>
        <v>2.578209038889433E-2</v>
      </c>
      <c r="X46" s="3">
        <f t="shared" ca="1" si="58"/>
        <v>2.1299327429793579E-2</v>
      </c>
      <c r="Y46" s="3">
        <f t="shared" ca="1" si="58"/>
        <v>3.8919152225019175E-2</v>
      </c>
      <c r="Z46" s="3">
        <f t="shared" ca="1" si="58"/>
        <v>3.0109094697391155E-2</v>
      </c>
      <c r="AA46" s="3">
        <f t="shared" ca="1" si="58"/>
        <v>4.0777468044106292E-2</v>
      </c>
      <c r="AB46" s="3">
        <f t="shared" ca="1" si="58"/>
        <v>4.5941221833536022E-2</v>
      </c>
      <c r="AC46" s="3">
        <f t="shared" ca="1" si="58"/>
        <v>4.4932100050676882E-2</v>
      </c>
      <c r="AD46" s="3">
        <f t="shared" ca="1" si="58"/>
        <v>5.6678896872499183E-2</v>
      </c>
      <c r="AE46" s="3">
        <f t="shared" ca="1" si="58"/>
        <v>4.6292526408805865E-2</v>
      </c>
      <c r="AF46" s="3">
        <f t="shared" ca="1" si="58"/>
        <v>7.1041601340319893E-2</v>
      </c>
      <c r="AG46" s="3">
        <f t="shared" ca="1" si="58"/>
        <v>5.3093354852914769E-2</v>
      </c>
      <c r="AH46" s="3">
        <f t="shared" ca="1" si="58"/>
        <v>9.2337711995689797E-2</v>
      </c>
      <c r="AI46" s="3">
        <f t="shared" ca="1" si="58"/>
        <v>8.2727821817211986E-2</v>
      </c>
      <c r="AJ46" s="3">
        <f t="shared" ca="1" si="58"/>
        <v>0.12722568101836737</v>
      </c>
    </row>
    <row r="47" spans="1:36" x14ac:dyDescent="0.35">
      <c r="A47" t="s">
        <v>72</v>
      </c>
      <c r="B47" t="s">
        <v>71</v>
      </c>
      <c r="C47" s="4" t="s">
        <v>74</v>
      </c>
      <c r="D47" s="3">
        <f t="shared" ref="D47:AJ47" ca="1" si="59">MIN(0.99,D28+$D$3)</f>
        <v>5.8530727358845347E-3</v>
      </c>
      <c r="E47" s="3">
        <f t="shared" ca="1" si="59"/>
        <v>6.2639740471702645E-3</v>
      </c>
      <c r="F47" s="3">
        <f t="shared" ca="1" si="59"/>
        <v>6.7079451674980084E-3</v>
      </c>
      <c r="G47" s="3">
        <f t="shared" ca="1" si="59"/>
        <v>9.1858441679234619E-3</v>
      </c>
      <c r="H47" s="3">
        <f t="shared" ca="1" si="59"/>
        <v>8.9419325314729729E-3</v>
      </c>
      <c r="I47" s="3">
        <f t="shared" ca="1" si="59"/>
        <v>9.9750200893057688E-3</v>
      </c>
      <c r="J47" s="3">
        <f t="shared" ca="1" si="59"/>
        <v>1.1655755650458444E-2</v>
      </c>
      <c r="K47" s="3">
        <f t="shared" ca="1" si="59"/>
        <v>1.2090890925793258E-2</v>
      </c>
      <c r="L47" s="3">
        <f t="shared" ca="1" si="59"/>
        <v>1.2617536264291025E-2</v>
      </c>
      <c r="M47" s="3">
        <f t="shared" ca="1" si="59"/>
        <v>1.5744769200465313E-2</v>
      </c>
      <c r="N47" s="3">
        <f t="shared" ca="1" si="59"/>
        <v>1.4121278324172711E-2</v>
      </c>
      <c r="O47" s="3">
        <f t="shared" ca="1" si="59"/>
        <v>1.8017396269211901E-2</v>
      </c>
      <c r="P47" s="3">
        <f t="shared" ca="1" si="59"/>
        <v>1.5432569556060333E-2</v>
      </c>
      <c r="Q47" s="3">
        <f t="shared" ca="1" si="59"/>
        <v>2.1163598048254201E-2</v>
      </c>
      <c r="R47" s="3">
        <f t="shared" ca="1" si="59"/>
        <v>1.7142868322664713E-2</v>
      </c>
      <c r="S47" s="3">
        <f t="shared" ca="1" si="59"/>
        <v>2.2204488812754799E-2</v>
      </c>
      <c r="T47" s="3">
        <f t="shared" ca="1" si="59"/>
        <v>2.0095527025254096E-2</v>
      </c>
      <c r="U47" s="3">
        <f t="shared" ca="1" si="59"/>
        <v>2.3819526327158128E-2</v>
      </c>
      <c r="V47" s="3">
        <f t="shared" ca="1" si="59"/>
        <v>2.1507113025819761E-2</v>
      </c>
      <c r="W47" s="3">
        <f t="shared" ca="1" si="59"/>
        <v>2.6745684783351997E-2</v>
      </c>
      <c r="X47" s="3">
        <f t="shared" ca="1" si="59"/>
        <v>2.229757580332753E-2</v>
      </c>
      <c r="Y47" s="3">
        <f t="shared" ca="1" si="59"/>
        <v>3.9879117449648151E-2</v>
      </c>
      <c r="Z47" s="3">
        <f t="shared" ca="1" si="59"/>
        <v>3.1030179531530411E-2</v>
      </c>
      <c r="AA47" s="3">
        <f t="shared" ca="1" si="59"/>
        <v>4.1771216731477559E-2</v>
      </c>
      <c r="AB47" s="3">
        <f t="shared" ca="1" si="59"/>
        <v>4.6857843771874824E-2</v>
      </c>
      <c r="AC47" s="3">
        <f t="shared" ca="1" si="59"/>
        <v>4.5855260449475334E-2</v>
      </c>
      <c r="AD47" s="3">
        <f t="shared" ca="1" si="59"/>
        <v>5.7619261401731584E-2</v>
      </c>
      <c r="AE47" s="3">
        <f t="shared" ca="1" si="59"/>
        <v>4.7227405635410231E-2</v>
      </c>
      <c r="AF47" s="3">
        <f t="shared" ca="1" si="59"/>
        <v>7.1993348440701294E-2</v>
      </c>
      <c r="AG47" s="3">
        <f t="shared" ca="1" si="59"/>
        <v>5.4072295316915528E-2</v>
      </c>
      <c r="AH47" s="3">
        <f t="shared" ca="1" si="59"/>
        <v>9.3261142517535978E-2</v>
      </c>
      <c r="AI47" s="3">
        <f t="shared" ca="1" si="59"/>
        <v>8.3713427670600221E-2</v>
      </c>
      <c r="AJ47" s="3">
        <f t="shared" ca="1" si="59"/>
        <v>0.12821058482442285</v>
      </c>
    </row>
    <row r="48" spans="1:36" x14ac:dyDescent="0.35">
      <c r="A48" t="s">
        <v>72</v>
      </c>
      <c r="B48" t="s">
        <v>71</v>
      </c>
      <c r="C48" s="4" t="s">
        <v>75</v>
      </c>
      <c r="D48" s="3">
        <f t="shared" ref="D48:AJ48" ca="1" si="60">MIN(0.99,D29+$D$3)</f>
        <v>6.8118813673129844E-3</v>
      </c>
      <c r="E48" s="3">
        <f t="shared" ca="1" si="60"/>
        <v>7.1732184259382581E-3</v>
      </c>
      <c r="F48" s="3">
        <f t="shared" ca="1" si="60"/>
        <v>7.6329142820162274E-3</v>
      </c>
      <c r="G48" s="3">
        <f t="shared" ca="1" si="60"/>
        <v>1.0110217412048338E-2</v>
      </c>
      <c r="H48" s="3">
        <f t="shared" ca="1" si="60"/>
        <v>9.9142962188667957E-3</v>
      </c>
      <c r="I48" s="3">
        <f t="shared" ca="1" si="60"/>
        <v>1.0881791163850067E-2</v>
      </c>
      <c r="J48" s="3">
        <f t="shared" ca="1" si="60"/>
        <v>1.2577984132529134E-2</v>
      </c>
      <c r="K48" s="3">
        <f t="shared" ca="1" si="60"/>
        <v>1.3023667006421002E-2</v>
      </c>
      <c r="L48" s="3">
        <f t="shared" ca="1" si="60"/>
        <v>1.3579880885111629E-2</v>
      </c>
      <c r="M48" s="3">
        <f t="shared" ca="1" si="60"/>
        <v>1.6714711525408269E-2</v>
      </c>
      <c r="N48" s="3">
        <f t="shared" ca="1" si="60"/>
        <v>1.5116144264971963E-2</v>
      </c>
      <c r="O48" s="3">
        <f t="shared" ca="1" si="60"/>
        <v>1.8925346902876446E-2</v>
      </c>
      <c r="P48" s="3">
        <f t="shared" ca="1" si="60"/>
        <v>1.642158350571328E-2</v>
      </c>
      <c r="Q48" s="3">
        <f t="shared" ca="1" si="60"/>
        <v>2.2152830615865694E-2</v>
      </c>
      <c r="R48" s="3">
        <f t="shared" ca="1" si="60"/>
        <v>1.8075514123889139E-2</v>
      </c>
      <c r="S48" s="3">
        <f t="shared" ca="1" si="60"/>
        <v>2.3151489823565991E-2</v>
      </c>
      <c r="T48" s="3">
        <f t="shared" ca="1" si="60"/>
        <v>2.1055844913414994E-2</v>
      </c>
      <c r="U48" s="3">
        <f t="shared" ca="1" si="60"/>
        <v>2.4727330648661328E-2</v>
      </c>
      <c r="V48" s="3">
        <f t="shared" ca="1" si="60"/>
        <v>2.2463783568424163E-2</v>
      </c>
      <c r="W48" s="3">
        <f t="shared" ca="1" si="60"/>
        <v>2.7730685173035532E-2</v>
      </c>
      <c r="X48" s="3">
        <f t="shared" ca="1" si="60"/>
        <v>2.3214718075766878E-2</v>
      </c>
      <c r="Y48" s="3">
        <f t="shared" ca="1" si="60"/>
        <v>4.0870561164550873E-2</v>
      </c>
      <c r="Z48" s="3">
        <f t="shared" ca="1" si="60"/>
        <v>3.2029153658424014E-2</v>
      </c>
      <c r="AA48" s="3">
        <f t="shared" ca="1" si="60"/>
        <v>4.2767930196132009E-2</v>
      </c>
      <c r="AB48" s="3">
        <f t="shared" ca="1" si="60"/>
        <v>4.7833785089747491E-2</v>
      </c>
      <c r="AC48" s="3">
        <f t="shared" ca="1" si="60"/>
        <v>4.6766750262098311E-2</v>
      </c>
      <c r="AD48" s="3">
        <f t="shared" ca="1" si="60"/>
        <v>5.8578466135489414E-2</v>
      </c>
      <c r="AE48" s="3">
        <f t="shared" ca="1" si="60"/>
        <v>4.8143394366889337E-2</v>
      </c>
      <c r="AF48" s="3">
        <f t="shared" ca="1" si="60"/>
        <v>7.2935708701547683E-2</v>
      </c>
      <c r="AG48" s="3">
        <f t="shared" ca="1" si="60"/>
        <v>5.5068294168998333E-2</v>
      </c>
      <c r="AH48" s="3">
        <f t="shared" ca="1" si="60"/>
        <v>9.4244877643830688E-2</v>
      </c>
      <c r="AI48" s="3">
        <f t="shared" ca="1" si="60"/>
        <v>8.4699544742106753E-2</v>
      </c>
      <c r="AJ48" s="3">
        <f t="shared" ca="1" si="60"/>
        <v>0.12913056681972146</v>
      </c>
    </row>
    <row r="49" spans="1:36" x14ac:dyDescent="0.35">
      <c r="A49" t="s">
        <v>72</v>
      </c>
      <c r="B49" t="s">
        <v>71</v>
      </c>
      <c r="C49" s="4">
        <v>3</v>
      </c>
      <c r="D49" s="3">
        <f t="shared" ref="D49:AJ49" ca="1" si="61">MIN(0.99,D30+$D$3)</f>
        <v>7.7886523463967993E-3</v>
      </c>
      <c r="E49" s="3">
        <f t="shared" ca="1" si="61"/>
        <v>8.1555136672971564E-3</v>
      </c>
      <c r="F49" s="3">
        <f t="shared" ca="1" si="61"/>
        <v>8.6204052181154522E-3</v>
      </c>
      <c r="G49" s="3">
        <f t="shared" ca="1" si="61"/>
        <v>1.1092262365820792E-2</v>
      </c>
      <c r="H49" s="3">
        <f t="shared" ca="1" si="61"/>
        <v>1.090297638019163E-2</v>
      </c>
      <c r="I49" s="3">
        <f t="shared" ca="1" si="61"/>
        <v>1.1836488530944111E-2</v>
      </c>
      <c r="J49" s="3">
        <f t="shared" ca="1" si="61"/>
        <v>1.3522859396776984E-2</v>
      </c>
      <c r="K49" s="3">
        <f t="shared" ca="1" si="61"/>
        <v>1.3930670703096181E-2</v>
      </c>
      <c r="L49" s="3">
        <f t="shared" ca="1" si="61"/>
        <v>1.4488636661348583E-2</v>
      </c>
      <c r="M49" s="3">
        <f t="shared" ca="1" si="61"/>
        <v>1.7640169781659523E-2</v>
      </c>
      <c r="N49" s="3">
        <f t="shared" ca="1" si="61"/>
        <v>1.6107000459238005E-2</v>
      </c>
      <c r="O49" s="3">
        <f t="shared" ca="1" si="61"/>
        <v>1.9858763972480903E-2</v>
      </c>
      <c r="P49" s="3">
        <f t="shared" ca="1" si="61"/>
        <v>1.7376584897729183E-2</v>
      </c>
      <c r="Q49" s="3">
        <f t="shared" ca="1" si="61"/>
        <v>2.3144170504824917E-2</v>
      </c>
      <c r="R49" s="3">
        <f t="shared" ca="1" si="61"/>
        <v>1.9058586035117921E-2</v>
      </c>
      <c r="S49" s="3">
        <f t="shared" ca="1" si="61"/>
        <v>2.4062094629530538E-2</v>
      </c>
      <c r="T49" s="3">
        <f t="shared" ca="1" si="61"/>
        <v>2.2053117025208645E-2</v>
      </c>
      <c r="U49" s="3">
        <f t="shared" ca="1" si="61"/>
        <v>2.5639623010977542E-2</v>
      </c>
      <c r="V49" s="3">
        <f t="shared" ca="1" si="61"/>
        <v>2.3443995582985537E-2</v>
      </c>
      <c r="W49" s="3">
        <f t="shared" ca="1" si="61"/>
        <v>2.8644664107261943E-2</v>
      </c>
      <c r="X49" s="3">
        <f t="shared" ca="1" si="61"/>
        <v>2.4140568388507502E-2</v>
      </c>
      <c r="Y49" s="3">
        <f t="shared" ca="1" si="61"/>
        <v>4.1818063795888226E-2</v>
      </c>
      <c r="Z49" s="3">
        <f t="shared" ca="1" si="61"/>
        <v>3.2933456731320782E-2</v>
      </c>
      <c r="AA49" s="3">
        <f t="shared" ca="1" si="61"/>
        <v>4.3726607334240782E-2</v>
      </c>
      <c r="AB49" s="3">
        <f t="shared" ca="1" si="61"/>
        <v>4.8742303324936294E-2</v>
      </c>
      <c r="AC49" s="3">
        <f t="shared" ca="1" si="61"/>
        <v>4.7758227003092055E-2</v>
      </c>
      <c r="AD49" s="3">
        <f t="shared" ca="1" si="61"/>
        <v>5.9517015350131902E-2</v>
      </c>
      <c r="AE49" s="3">
        <f t="shared" ca="1" si="61"/>
        <v>4.912351546137679E-2</v>
      </c>
      <c r="AF49" s="3">
        <f t="shared" ca="1" si="61"/>
        <v>7.3852491790268524E-2</v>
      </c>
      <c r="AG49" s="3">
        <f t="shared" ca="1" si="61"/>
        <v>5.6037766219236659E-2</v>
      </c>
      <c r="AH49" s="3">
        <f t="shared" ca="1" si="61"/>
        <v>9.5156556945996465E-2</v>
      </c>
      <c r="AI49" s="3">
        <f t="shared" ca="1" si="61"/>
        <v>8.5688116151342156E-2</v>
      </c>
      <c r="AJ49" s="3">
        <f t="shared" ca="1" si="61"/>
        <v>0.13007232933755211</v>
      </c>
    </row>
    <row r="50" spans="1:36" x14ac:dyDescent="0.35">
      <c r="A50" t="s">
        <v>72</v>
      </c>
      <c r="B50" t="s">
        <v>71</v>
      </c>
      <c r="C50" s="4" t="s">
        <v>76</v>
      </c>
      <c r="D50" s="3">
        <f t="shared" ref="D50:AJ50" ca="1" si="62">MIN(0.99,D31+$D$3)</f>
        <v>8.7762511096716005E-3</v>
      </c>
      <c r="E50" s="3">
        <f t="shared" ca="1" si="62"/>
        <v>9.151077381650774E-3</v>
      </c>
      <c r="F50" s="3">
        <f t="shared" ca="1" si="62"/>
        <v>9.5958091714497505E-3</v>
      </c>
      <c r="G50" s="3">
        <f t="shared" ca="1" si="62"/>
        <v>1.2074261518537691E-2</v>
      </c>
      <c r="H50" s="3">
        <f t="shared" ca="1" si="62"/>
        <v>1.1821512226979424E-2</v>
      </c>
      <c r="I50" s="3">
        <f t="shared" ca="1" si="62"/>
        <v>1.2804170372596145E-2</v>
      </c>
      <c r="J50" s="3">
        <f t="shared" ca="1" si="62"/>
        <v>1.4488212138089263E-2</v>
      </c>
      <c r="K50" s="3">
        <f t="shared" ca="1" si="62"/>
        <v>1.4881568179392009E-2</v>
      </c>
      <c r="L50" s="3">
        <f t="shared" ca="1" si="62"/>
        <v>1.539738124548061E-2</v>
      </c>
      <c r="M50" s="3">
        <f t="shared" ca="1" si="62"/>
        <v>1.8610779202201101E-2</v>
      </c>
      <c r="N50" s="3">
        <f t="shared" ca="1" si="62"/>
        <v>1.7047244559356422E-2</v>
      </c>
      <c r="O50" s="3">
        <f t="shared" ca="1" si="62"/>
        <v>2.0814762628783214E-2</v>
      </c>
      <c r="P50" s="3">
        <f t="shared" ca="1" si="62"/>
        <v>1.8287973270612649E-2</v>
      </c>
      <c r="Q50" s="3">
        <f t="shared" ca="1" si="62"/>
        <v>2.4046520596414281E-2</v>
      </c>
      <c r="R50" s="3">
        <f t="shared" ca="1" si="62"/>
        <v>2.0004617208249951E-2</v>
      </c>
      <c r="S50" s="3">
        <f t="shared" ca="1" si="62"/>
        <v>2.4967238380345747E-2</v>
      </c>
      <c r="T50" s="3">
        <f t="shared" ca="1" si="62"/>
        <v>2.301545289414338E-2</v>
      </c>
      <c r="U50" s="3">
        <f t="shared" ca="1" si="62"/>
        <v>2.6602581040958129E-2</v>
      </c>
      <c r="V50" s="3">
        <f t="shared" ca="1" si="62"/>
        <v>2.441673633229071E-2</v>
      </c>
      <c r="W50" s="3">
        <f t="shared" ca="1" si="62"/>
        <v>2.9546156592723836E-2</v>
      </c>
      <c r="X50" s="3">
        <f t="shared" ca="1" si="62"/>
        <v>2.5100385140473466E-2</v>
      </c>
      <c r="Y50" s="3">
        <f t="shared" ca="1" si="62"/>
        <v>4.2789588549811068E-2</v>
      </c>
      <c r="Z50" s="3">
        <f t="shared" ca="1" si="62"/>
        <v>3.3915513920353614E-2</v>
      </c>
      <c r="AA50" s="3">
        <f t="shared" ca="1" si="62"/>
        <v>4.4723765279509234E-2</v>
      </c>
      <c r="AB50" s="3">
        <f t="shared" ca="1" si="62"/>
        <v>4.9651755496886461E-2</v>
      </c>
      <c r="AC50" s="3">
        <f t="shared" ca="1" si="62"/>
        <v>4.8745931381610152E-2</v>
      </c>
      <c r="AD50" s="3">
        <f t="shared" ca="1" si="62"/>
        <v>6.051109407514698E-2</v>
      </c>
      <c r="AE50" s="3">
        <f t="shared" ca="1" si="62"/>
        <v>5.006111515431351E-2</v>
      </c>
      <c r="AF50" s="3">
        <f t="shared" ca="1" si="62"/>
        <v>7.4852225922846335E-2</v>
      </c>
      <c r="AG50" s="3">
        <f t="shared" ca="1" si="62"/>
        <v>5.703742579523044E-2</v>
      </c>
      <c r="AH50" s="3">
        <f t="shared" ca="1" si="62"/>
        <v>9.60855656392023E-2</v>
      </c>
      <c r="AI50" s="3">
        <f t="shared" ca="1" si="62"/>
        <v>8.6662805462108791E-2</v>
      </c>
      <c r="AJ50" s="3">
        <f t="shared" ca="1" si="62"/>
        <v>0.13101021655933628</v>
      </c>
    </row>
    <row r="51" spans="1:36" x14ac:dyDescent="0.35">
      <c r="A51" t="s">
        <v>72</v>
      </c>
      <c r="B51" t="s">
        <v>71</v>
      </c>
      <c r="C51" s="4" t="s">
        <v>77</v>
      </c>
      <c r="D51" s="3">
        <f t="shared" ref="D51:AJ51" ca="1" si="63">MIN(0.99,D32+$D$3)</f>
        <v>9.6885689432663208E-3</v>
      </c>
      <c r="E51" s="3">
        <f t="shared" ca="1" si="63"/>
        <v>1.012243034367856E-2</v>
      </c>
      <c r="F51" s="3">
        <f t="shared" ca="1" si="63"/>
        <v>1.0511013718300908E-2</v>
      </c>
      <c r="G51" s="3">
        <f t="shared" ca="1" si="63"/>
        <v>1.3065350807683663E-2</v>
      </c>
      <c r="H51" s="3">
        <f t="shared" ca="1" si="63"/>
        <v>1.2724371076488133E-2</v>
      </c>
      <c r="I51" s="3">
        <f t="shared" ca="1" si="63"/>
        <v>1.3776308500671283E-2</v>
      </c>
      <c r="J51" s="3">
        <f t="shared" ca="1" si="63"/>
        <v>1.5393631963013105E-2</v>
      </c>
      <c r="K51" s="3">
        <f t="shared" ca="1" si="63"/>
        <v>1.5796517227292466E-2</v>
      </c>
      <c r="L51" s="3">
        <f t="shared" ca="1" si="63"/>
        <v>1.630266544768082E-2</v>
      </c>
      <c r="M51" s="3">
        <f t="shared" ca="1" si="63"/>
        <v>1.9562022653458293E-2</v>
      </c>
      <c r="N51" s="3">
        <f t="shared" ca="1" si="63"/>
        <v>1.7957362730000658E-2</v>
      </c>
      <c r="O51" s="3">
        <f t="shared" ca="1" si="63"/>
        <v>2.1795664983059664E-2</v>
      </c>
      <c r="P51" s="3">
        <f t="shared" ca="1" si="63"/>
        <v>1.924114483122592E-2</v>
      </c>
      <c r="Q51" s="3">
        <f t="shared" ca="1" si="63"/>
        <v>2.502429495626482E-2</v>
      </c>
      <c r="R51" s="3">
        <f t="shared" ca="1" si="63"/>
        <v>2.0911668287642272E-2</v>
      </c>
      <c r="S51" s="3">
        <f t="shared" ca="1" si="63"/>
        <v>2.5873847772028925E-2</v>
      </c>
      <c r="T51" s="3">
        <f t="shared" ca="1" si="63"/>
        <v>2.3959304674914535E-2</v>
      </c>
      <c r="U51" s="3">
        <f t="shared" ca="1" si="63"/>
        <v>2.7559909290663612E-2</v>
      </c>
      <c r="V51" s="3">
        <f t="shared" ca="1" si="63"/>
        <v>2.5338324384988446E-2</v>
      </c>
      <c r="W51" s="3">
        <f t="shared" ca="1" si="63"/>
        <v>3.0468205126993841E-2</v>
      </c>
      <c r="X51" s="3">
        <f t="shared" ca="1" si="63"/>
        <v>2.6057726883486641E-2</v>
      </c>
      <c r="Y51" s="3">
        <f t="shared" ca="1" si="63"/>
        <v>4.3779739090490058E-2</v>
      </c>
      <c r="Z51" s="3">
        <f t="shared" ca="1" si="63"/>
        <v>3.4872088863854955E-2</v>
      </c>
      <c r="AA51" s="3">
        <f t="shared" ca="1" si="63"/>
        <v>4.5680037263150022E-2</v>
      </c>
      <c r="AB51" s="3">
        <f t="shared" ca="1" si="63"/>
        <v>5.0572915731996557E-2</v>
      </c>
      <c r="AC51" s="3">
        <f t="shared" ca="1" si="63"/>
        <v>4.9739755270389242E-2</v>
      </c>
      <c r="AD51" s="3">
        <f t="shared" ca="1" si="63"/>
        <v>6.1425180076383715E-2</v>
      </c>
      <c r="AE51" s="3">
        <f t="shared" ca="1" si="63"/>
        <v>5.1044383971809021E-2</v>
      </c>
      <c r="AF51" s="3">
        <f t="shared" ca="1" si="63"/>
        <v>7.5754139627984163E-2</v>
      </c>
      <c r="AG51" s="3">
        <f t="shared" ca="1" si="63"/>
        <v>5.7947626053339113E-2</v>
      </c>
      <c r="AH51" s="3">
        <f t="shared" ca="1" si="63"/>
        <v>9.7075594773830973E-2</v>
      </c>
      <c r="AI51" s="3">
        <f t="shared" ca="1" si="63"/>
        <v>8.7630959149561982E-2</v>
      </c>
      <c r="AJ51" s="3">
        <f t="shared" ca="1" si="63"/>
        <v>0.13198028422176522</v>
      </c>
    </row>
    <row r="52" spans="1:36" x14ac:dyDescent="0.35">
      <c r="A52" t="s">
        <v>72</v>
      </c>
      <c r="B52" t="s">
        <v>71</v>
      </c>
      <c r="C52" s="4">
        <v>4</v>
      </c>
      <c r="D52" s="3">
        <f t="shared" ref="D52:AJ52" ca="1" si="64">MIN(0.99,D33+$D$3)</f>
        <v>1.0629617248966522E-2</v>
      </c>
      <c r="E52" s="3">
        <f t="shared" ca="1" si="64"/>
        <v>1.1066987547093683E-2</v>
      </c>
      <c r="F52" s="3">
        <f t="shared" ca="1" si="64"/>
        <v>1.1498572391044546E-2</v>
      </c>
      <c r="G52" s="3">
        <f t="shared" ca="1" si="64"/>
        <v>1.4052628416014994E-2</v>
      </c>
      <c r="H52" s="3">
        <f t="shared" ca="1" si="64"/>
        <v>1.3662373760410258E-2</v>
      </c>
      <c r="I52" s="3">
        <f t="shared" ca="1" si="64"/>
        <v>1.4686265189988064E-2</v>
      </c>
      <c r="J52" s="3">
        <f t="shared" ca="1" si="64"/>
        <v>1.6300377415806311E-2</v>
      </c>
      <c r="K52" s="3">
        <f t="shared" ca="1" si="64"/>
        <v>1.6715561210282934E-2</v>
      </c>
      <c r="L52" s="3">
        <f t="shared" ca="1" si="64"/>
        <v>1.7292834985149521E-2</v>
      </c>
      <c r="M52" s="3">
        <f t="shared" ca="1" si="64"/>
        <v>2.0519098356778103E-2</v>
      </c>
      <c r="N52" s="3">
        <f t="shared" ca="1" si="64"/>
        <v>1.8902148702828626E-2</v>
      </c>
      <c r="O52" s="3">
        <f t="shared" ca="1" si="64"/>
        <v>2.2732080658822457E-2</v>
      </c>
      <c r="P52" s="3">
        <f t="shared" ca="1" si="64"/>
        <v>2.0161031645641828E-2</v>
      </c>
      <c r="Q52" s="3">
        <f t="shared" ca="1" si="64"/>
        <v>2.5989267201643185E-2</v>
      </c>
      <c r="R52" s="3">
        <f t="shared" ca="1" si="64"/>
        <v>2.1886865206893397E-2</v>
      </c>
      <c r="S52" s="3">
        <f t="shared" ca="1" si="64"/>
        <v>2.686137050690637E-2</v>
      </c>
      <c r="T52" s="3">
        <f t="shared" ca="1" si="64"/>
        <v>2.489725466651168E-2</v>
      </c>
      <c r="U52" s="3">
        <f t="shared" ca="1" si="64"/>
        <v>2.850112081867252E-2</v>
      </c>
      <c r="V52" s="3">
        <f t="shared" ca="1" si="64"/>
        <v>2.6285162054747527E-2</v>
      </c>
      <c r="W52" s="3">
        <f t="shared" ca="1" si="64"/>
        <v>3.1458735040868636E-2</v>
      </c>
      <c r="X52" s="3">
        <f t="shared" ca="1" si="64"/>
        <v>2.6964780194530667E-2</v>
      </c>
      <c r="Y52" s="3">
        <f t="shared" ca="1" si="64"/>
        <v>4.4769454455859052E-2</v>
      </c>
      <c r="Z52" s="3">
        <f t="shared" ca="1" si="64"/>
        <v>3.5820884973025817E-2</v>
      </c>
      <c r="AA52" s="3">
        <f t="shared" ca="1" si="64"/>
        <v>4.6631986965630194E-2</v>
      </c>
      <c r="AB52" s="3">
        <f t="shared" ca="1" si="64"/>
        <v>5.150704835935898E-2</v>
      </c>
      <c r="AC52" s="3">
        <f t="shared" ca="1" si="64"/>
        <v>5.0708665027764464E-2</v>
      </c>
      <c r="AD52" s="3">
        <f t="shared" ca="1" si="64"/>
        <v>6.2377039166776407E-2</v>
      </c>
      <c r="AE52" s="3">
        <f t="shared" ca="1" si="64"/>
        <v>5.2020614491085221E-2</v>
      </c>
      <c r="AF52" s="3">
        <f t="shared" ca="1" si="64"/>
        <v>7.6659370687815309E-2</v>
      </c>
      <c r="AG52" s="3">
        <f t="shared" ca="1" si="64"/>
        <v>5.8937848138245562E-2</v>
      </c>
      <c r="AH52" s="3">
        <f t="shared" ca="1" si="64"/>
        <v>9.802239334711281E-2</v>
      </c>
      <c r="AI52" s="3">
        <f t="shared" ca="1" si="64"/>
        <v>8.8543266710660457E-2</v>
      </c>
      <c r="AJ52" s="3">
        <f t="shared" ca="1" si="64"/>
        <v>0.13289787378258291</v>
      </c>
    </row>
    <row r="53" spans="1:36" x14ac:dyDescent="0.35">
      <c r="A53" t="s">
        <v>72</v>
      </c>
      <c r="B53" t="s">
        <v>71</v>
      </c>
      <c r="C53" s="4" t="s">
        <v>78</v>
      </c>
      <c r="D53" s="3">
        <f t="shared" ref="D53:AJ53" ca="1" si="65">MIN(0.99,D34+$D$3)</f>
        <v>1.1531213221513736E-2</v>
      </c>
      <c r="E53" s="3">
        <f t="shared" ca="1" si="65"/>
        <v>1.1997611022994948E-2</v>
      </c>
      <c r="F53" s="3">
        <f t="shared" ca="1" si="65"/>
        <v>1.2496744524062391E-2</v>
      </c>
      <c r="G53" s="3">
        <f t="shared" ca="1" si="65"/>
        <v>1.5019224114878976E-2</v>
      </c>
      <c r="H53" s="3">
        <f t="shared" ca="1" si="65"/>
        <v>1.4631288116548579E-2</v>
      </c>
      <c r="I53" s="3">
        <f t="shared" ca="1" si="65"/>
        <v>1.5665740226050762E-2</v>
      </c>
      <c r="J53" s="3">
        <f t="shared" ca="1" si="65"/>
        <v>1.7202152794404693E-2</v>
      </c>
      <c r="K53" s="3">
        <f t="shared" ca="1" si="65"/>
        <v>1.7669982648700774E-2</v>
      </c>
      <c r="L53" s="3">
        <f t="shared" ca="1" si="65"/>
        <v>1.8197182920790252E-2</v>
      </c>
      <c r="M53" s="3">
        <f t="shared" ca="1" si="65"/>
        <v>2.1485422828634214E-2</v>
      </c>
      <c r="N53" s="3">
        <f t="shared" ca="1" si="65"/>
        <v>1.9868580070522435E-2</v>
      </c>
      <c r="O53" s="3">
        <f t="shared" ca="1" si="65"/>
        <v>2.3707282060964514E-2</v>
      </c>
      <c r="P53" s="3">
        <f t="shared" ca="1" si="65"/>
        <v>2.1077362858435859E-2</v>
      </c>
      <c r="Q53" s="3">
        <f t="shared" ca="1" si="65"/>
        <v>2.6899106940116334E-2</v>
      </c>
      <c r="R53" s="3">
        <f t="shared" ca="1" si="65"/>
        <v>2.2882914682574345E-2</v>
      </c>
      <c r="S53" s="3">
        <f t="shared" ca="1" si="65"/>
        <v>2.7771198171608214E-2</v>
      </c>
      <c r="T53" s="3">
        <f t="shared" ca="1" si="65"/>
        <v>2.5816352792149447E-2</v>
      </c>
      <c r="U53" s="3">
        <f t="shared" ca="1" si="65"/>
        <v>2.944082099530692E-2</v>
      </c>
      <c r="V53" s="3">
        <f t="shared" ca="1" si="65"/>
        <v>2.7275518346809743E-2</v>
      </c>
      <c r="W53" s="3">
        <f t="shared" ca="1" si="65"/>
        <v>3.2393612195373442E-2</v>
      </c>
      <c r="X53" s="3">
        <f t="shared" ca="1" si="65"/>
        <v>2.7874787933610784E-2</v>
      </c>
      <c r="Y53" s="3">
        <f t="shared" ca="1" si="65"/>
        <v>4.576579090443663E-2</v>
      </c>
      <c r="Z53" s="3">
        <f t="shared" ca="1" si="65"/>
        <v>3.6807567047909093E-2</v>
      </c>
      <c r="AA53" s="3">
        <f t="shared" ca="1" si="65"/>
        <v>4.7561627783767067E-2</v>
      </c>
      <c r="AB53" s="3">
        <f t="shared" ca="1" si="65"/>
        <v>5.2444957635489321E-2</v>
      </c>
      <c r="AC53" s="3">
        <f t="shared" ca="1" si="65"/>
        <v>5.1682605945987607E-2</v>
      </c>
      <c r="AD53" s="3">
        <f t="shared" ca="1" si="65"/>
        <v>6.32981898791449E-2</v>
      </c>
      <c r="AE53" s="3">
        <f t="shared" ca="1" si="65"/>
        <v>5.2949329867163109E-2</v>
      </c>
      <c r="AF53" s="3">
        <f t="shared" ca="1" si="65"/>
        <v>7.7644834414340655E-2</v>
      </c>
      <c r="AG53" s="3">
        <f t="shared" ca="1" si="65"/>
        <v>5.9887356182455907E-2</v>
      </c>
      <c r="AH53" s="3">
        <f t="shared" ca="1" si="65"/>
        <v>9.8962225035493442E-2</v>
      </c>
      <c r="AI53" s="3">
        <f t="shared" ca="1" si="65"/>
        <v>8.9542746908016932E-2</v>
      </c>
      <c r="AJ53" s="3">
        <f t="shared" ca="1" si="65"/>
        <v>0.13381354064445611</v>
      </c>
    </row>
    <row r="54" spans="1:36" x14ac:dyDescent="0.35">
      <c r="A54" t="s">
        <v>72</v>
      </c>
      <c r="B54" t="s">
        <v>71</v>
      </c>
      <c r="C54" s="4" t="s">
        <v>79</v>
      </c>
      <c r="D54" s="3">
        <f t="shared" ref="D54:AJ54" ca="1" si="66">MIN(0.99,D35+$D$3)</f>
        <v>1.2451617813966497E-2</v>
      </c>
      <c r="E54" s="3">
        <f t="shared" ca="1" si="66"/>
        <v>1.2949161925832169E-2</v>
      </c>
      <c r="F54" s="3">
        <f t="shared" ca="1" si="66"/>
        <v>1.3405604302188207E-2</v>
      </c>
      <c r="G54" s="3">
        <f t="shared" ca="1" si="66"/>
        <v>1.5937616847367369E-2</v>
      </c>
      <c r="H54" s="3">
        <f t="shared" ca="1" si="66"/>
        <v>1.5606744467660496E-2</v>
      </c>
      <c r="I54" s="3">
        <f t="shared" ca="1" si="66"/>
        <v>1.657532184616577E-2</v>
      </c>
      <c r="J54" s="3">
        <f t="shared" ca="1" si="66"/>
        <v>1.8129360825451107E-2</v>
      </c>
      <c r="K54" s="3">
        <f t="shared" ca="1" si="66"/>
        <v>1.858327288060788E-2</v>
      </c>
      <c r="L54" s="3">
        <f t="shared" ca="1" si="66"/>
        <v>1.9155632246308809E-2</v>
      </c>
      <c r="M54" s="3">
        <f t="shared" ca="1" si="66"/>
        <v>2.2405105799961276E-2</v>
      </c>
      <c r="N54" s="3">
        <f t="shared" ca="1" si="66"/>
        <v>2.0831130033528586E-2</v>
      </c>
      <c r="O54" s="3">
        <f t="shared" ca="1" si="66"/>
        <v>2.4617186110869511E-2</v>
      </c>
      <c r="P54" s="3">
        <f t="shared" ca="1" si="66"/>
        <v>2.2015998394096903E-2</v>
      </c>
      <c r="Q54" s="3">
        <f t="shared" ca="1" si="66"/>
        <v>2.7837520580387441E-2</v>
      </c>
      <c r="R54" s="3">
        <f t="shared" ca="1" si="66"/>
        <v>2.3829409898740227E-2</v>
      </c>
      <c r="S54" s="3">
        <f t="shared" ca="1" si="66"/>
        <v>2.8674425258230874E-2</v>
      </c>
      <c r="T54" s="3">
        <f t="shared" ca="1" si="66"/>
        <v>2.677026281965552E-2</v>
      </c>
      <c r="U54" s="3">
        <f t="shared" ca="1" si="66"/>
        <v>3.0365568603319158E-2</v>
      </c>
      <c r="V54" s="3">
        <f t="shared" ca="1" si="66"/>
        <v>2.8233939266302965E-2</v>
      </c>
      <c r="W54" s="3">
        <f t="shared" ca="1" si="66"/>
        <v>3.3352864300879456E-2</v>
      </c>
      <c r="X54" s="3">
        <f t="shared" ca="1" si="66"/>
        <v>2.8776916964802723E-2</v>
      </c>
      <c r="Y54" s="3">
        <f t="shared" ca="1" si="66"/>
        <v>4.6750018148063004E-2</v>
      </c>
      <c r="Z54" s="3">
        <f t="shared" ca="1" si="66"/>
        <v>3.7769052170168821E-2</v>
      </c>
      <c r="AA54" s="3">
        <f t="shared" ca="1" si="66"/>
        <v>4.8512453544164322E-2</v>
      </c>
      <c r="AB54" s="3">
        <f t="shared" ca="1" si="66"/>
        <v>5.3380416040655458E-2</v>
      </c>
      <c r="AC54" s="3">
        <f t="shared" ca="1" si="66"/>
        <v>5.2602822818956653E-2</v>
      </c>
      <c r="AD54" s="3">
        <f t="shared" ca="1" si="66"/>
        <v>6.421115382890677E-2</v>
      </c>
      <c r="AE54" s="3">
        <f t="shared" ca="1" si="66"/>
        <v>5.3934261140456755E-2</v>
      </c>
      <c r="AF54" s="3">
        <f t="shared" ca="1" si="66"/>
        <v>7.859911869341317E-2</v>
      </c>
      <c r="AG54" s="3">
        <f t="shared" ca="1" si="66"/>
        <v>6.081493640239799E-2</v>
      </c>
      <c r="AH54" s="3">
        <f t="shared" ca="1" si="66"/>
        <v>9.9880735763407932E-2</v>
      </c>
      <c r="AI54" s="3">
        <f t="shared" ca="1" si="66"/>
        <v>9.0517588430804416E-2</v>
      </c>
      <c r="AJ54" s="3">
        <f t="shared" ca="1" si="66"/>
        <v>0.13479316604940944</v>
      </c>
    </row>
    <row r="55" spans="1:36" x14ac:dyDescent="0.35">
      <c r="A55" t="s">
        <v>72</v>
      </c>
      <c r="B55" t="s">
        <v>71</v>
      </c>
      <c r="C55" s="4">
        <v>5</v>
      </c>
      <c r="D55" s="3">
        <f t="shared" ref="D55:AJ55" ca="1" si="67">MIN(0.99,D36+$D$3)</f>
        <v>1.3392694656479638E-2</v>
      </c>
      <c r="E55" s="3">
        <f t="shared" ca="1" si="67"/>
        <v>1.3890518099244187E-2</v>
      </c>
      <c r="F55" s="3">
        <f t="shared" ca="1" si="67"/>
        <v>1.4330031950532635E-2</v>
      </c>
      <c r="G55" s="3">
        <f t="shared" ca="1" si="67"/>
        <v>1.6921741872031777E-2</v>
      </c>
      <c r="H55" s="3">
        <f t="shared" ca="1" si="67"/>
        <v>1.6572820702404425E-2</v>
      </c>
      <c r="I55" s="3">
        <f t="shared" ca="1" si="67"/>
        <v>1.7517930173264844E-2</v>
      </c>
      <c r="J55" s="3">
        <f t="shared" ca="1" si="67"/>
        <v>1.9120403365020824E-2</v>
      </c>
      <c r="K55" s="3">
        <f t="shared" ca="1" si="67"/>
        <v>1.9506460942454798E-2</v>
      </c>
      <c r="L55" s="3">
        <f t="shared" ca="1" si="67"/>
        <v>2.0061713356723979E-2</v>
      </c>
      <c r="M55" s="3">
        <f t="shared" ca="1" si="67"/>
        <v>2.3386825280524319E-2</v>
      </c>
      <c r="N55" s="3">
        <f t="shared" ca="1" si="67"/>
        <v>2.1803101826870949E-2</v>
      </c>
      <c r="O55" s="3">
        <f t="shared" ca="1" si="67"/>
        <v>2.560505024676514E-2</v>
      </c>
      <c r="P55" s="3">
        <f t="shared" ca="1" si="67"/>
        <v>2.2941456427646979E-2</v>
      </c>
      <c r="Q55" s="3">
        <f t="shared" ca="1" si="67"/>
        <v>2.8818847169140675E-2</v>
      </c>
      <c r="R55" s="3">
        <f t="shared" ca="1" si="67"/>
        <v>2.4815171369449832E-2</v>
      </c>
      <c r="S55" s="3">
        <f t="shared" ca="1" si="67"/>
        <v>2.9669135115923537E-2</v>
      </c>
      <c r="T55" s="3">
        <f t="shared" ca="1" si="67"/>
        <v>2.7755571928044117E-2</v>
      </c>
      <c r="U55" s="3">
        <f t="shared" ca="1" si="67"/>
        <v>3.135534301337578E-2</v>
      </c>
      <c r="V55" s="3">
        <f t="shared" ca="1" si="67"/>
        <v>2.9215501567028294E-2</v>
      </c>
      <c r="W55" s="3">
        <f t="shared" ca="1" si="67"/>
        <v>3.4334012476256587E-2</v>
      </c>
      <c r="X55" s="3">
        <f t="shared" ca="1" si="67"/>
        <v>2.9751737019282146E-2</v>
      </c>
      <c r="Y55" s="3">
        <f t="shared" ca="1" si="67"/>
        <v>4.7690879165381929E-2</v>
      </c>
      <c r="Z55" s="3">
        <f t="shared" ca="1" si="67"/>
        <v>3.8741004079169777E-2</v>
      </c>
      <c r="AA55" s="3">
        <f t="shared" ca="1" si="67"/>
        <v>4.9444374800700665E-2</v>
      </c>
      <c r="AB55" s="3">
        <f t="shared" ca="1" si="67"/>
        <v>5.4310104584581971E-2</v>
      </c>
      <c r="AC55" s="3">
        <f t="shared" ca="1" si="67"/>
        <v>5.3572412537637761E-2</v>
      </c>
      <c r="AD55" s="3">
        <f t="shared" ca="1" si="67"/>
        <v>6.5156608441624686E-2</v>
      </c>
      <c r="AE55" s="3">
        <f t="shared" ca="1" si="67"/>
        <v>5.4927266887639534E-2</v>
      </c>
      <c r="AF55" s="3">
        <f t="shared" ca="1" si="67"/>
        <v>7.9575246101989822E-2</v>
      </c>
      <c r="AG55" s="3">
        <f t="shared" ca="1" si="67"/>
        <v>6.1774147890367996E-2</v>
      </c>
      <c r="AH55" s="3">
        <f t="shared" ca="1" si="67"/>
        <v>0.10079876424057471</v>
      </c>
      <c r="AI55" s="3">
        <f t="shared" ca="1" si="67"/>
        <v>9.1506379483604169E-2</v>
      </c>
      <c r="AJ55" s="3">
        <f t="shared" ca="1" si="67"/>
        <v>0.13570343261216017</v>
      </c>
    </row>
    <row r="56" spans="1:36" x14ac:dyDescent="0.35">
      <c r="A56" t="s">
        <v>72</v>
      </c>
      <c r="B56" t="s">
        <v>71</v>
      </c>
      <c r="C56" s="4" t="s">
        <v>80</v>
      </c>
      <c r="D56" s="3">
        <f t="shared" ref="D56:AJ56" ca="1" si="68">MIN(0.99,D37+$D$3)</f>
        <v>1.4351773931649967E-2</v>
      </c>
      <c r="E56" s="3">
        <f t="shared" ca="1" si="68"/>
        <v>1.4801848053367352E-2</v>
      </c>
      <c r="F56" s="3">
        <f t="shared" ca="1" si="68"/>
        <v>1.5247465381353725E-2</v>
      </c>
      <c r="G56" s="3">
        <f t="shared" ca="1" si="68"/>
        <v>1.7848825586554994E-2</v>
      </c>
      <c r="H56" s="3">
        <f t="shared" ca="1" si="68"/>
        <v>1.7504000585793777E-2</v>
      </c>
      <c r="I56" s="3">
        <f t="shared" ca="1" si="68"/>
        <v>1.8430748797970502E-2</v>
      </c>
      <c r="J56" s="3">
        <f t="shared" ca="1" si="68"/>
        <v>2.003180117884195E-2</v>
      </c>
      <c r="K56" s="3">
        <f t="shared" ca="1" si="68"/>
        <v>2.0424873757696551E-2</v>
      </c>
      <c r="L56" s="3">
        <f t="shared" ca="1" si="68"/>
        <v>2.1042143848580781E-2</v>
      </c>
      <c r="M56" s="3">
        <f t="shared" ca="1" si="68"/>
        <v>2.4314487648356507E-2</v>
      </c>
      <c r="N56" s="3">
        <f t="shared" ca="1" si="68"/>
        <v>2.2735174762869393E-2</v>
      </c>
      <c r="O56" s="3">
        <f t="shared" ca="1" si="68"/>
        <v>2.6557614029780081E-2</v>
      </c>
      <c r="P56" s="3">
        <f t="shared" ca="1" si="68"/>
        <v>2.3846949080484816E-2</v>
      </c>
      <c r="Q56" s="3">
        <f t="shared" ca="1" si="68"/>
        <v>2.9798008213529268E-2</v>
      </c>
      <c r="R56" s="3">
        <f t="shared" ca="1" si="68"/>
        <v>2.5739080216049891E-2</v>
      </c>
      <c r="S56" s="3">
        <f t="shared" ca="1" si="68"/>
        <v>3.0632501724534265E-2</v>
      </c>
      <c r="T56" s="3">
        <f t="shared" ca="1" si="68"/>
        <v>2.8735723704777172E-2</v>
      </c>
      <c r="U56" s="3">
        <f t="shared" ca="1" si="68"/>
        <v>3.2344737384149301E-2</v>
      </c>
      <c r="V56" s="3">
        <f t="shared" ca="1" si="68"/>
        <v>3.0137387459350653E-2</v>
      </c>
      <c r="W56" s="3">
        <f t="shared" ca="1" si="68"/>
        <v>3.5330402039918128E-2</v>
      </c>
      <c r="X56" s="3">
        <f t="shared" ca="1" si="68"/>
        <v>3.0723931911511713E-2</v>
      </c>
      <c r="Y56" s="3">
        <f t="shared" ca="1" si="68"/>
        <v>4.8674554177941504E-2</v>
      </c>
      <c r="Z56" s="3">
        <f t="shared" ca="1" si="68"/>
        <v>3.966160163296123E-2</v>
      </c>
      <c r="AA56" s="3">
        <f t="shared" ca="1" si="68"/>
        <v>5.0355555041510631E-2</v>
      </c>
      <c r="AB56" s="3">
        <f t="shared" ca="1" si="68"/>
        <v>5.5279251365582142E-2</v>
      </c>
      <c r="AC56" s="3">
        <f t="shared" ca="1" si="68"/>
        <v>5.4512363326338485E-2</v>
      </c>
      <c r="AD56" s="3">
        <f t="shared" ca="1" si="68"/>
        <v>6.6153533548577642E-2</v>
      </c>
      <c r="AE56" s="3">
        <f t="shared" ca="1" si="68"/>
        <v>5.5919234787426733E-2</v>
      </c>
      <c r="AF56" s="3">
        <f t="shared" ca="1" si="68"/>
        <v>8.0556619078767711E-2</v>
      </c>
      <c r="AG56" s="3">
        <f t="shared" ca="1" si="68"/>
        <v>6.2679119417618862E-2</v>
      </c>
      <c r="AH56" s="3">
        <f t="shared" ca="1" si="68"/>
        <v>0.10179724441090238</v>
      </c>
      <c r="AI56" s="3">
        <f t="shared" ca="1" si="68"/>
        <v>9.247737915528409E-2</v>
      </c>
      <c r="AJ56" s="3">
        <f t="shared" ca="1" si="68"/>
        <v>0.13663130220388545</v>
      </c>
    </row>
    <row r="57" spans="1:36" x14ac:dyDescent="0.35">
      <c r="A57" t="s">
        <v>72</v>
      </c>
      <c r="B57" t="s">
        <v>71</v>
      </c>
      <c r="C57" s="4" t="s">
        <v>81</v>
      </c>
      <c r="D57" s="3">
        <f t="shared" ref="D57:AJ57" ca="1" si="69">MIN(0.99,D38+$D$3)</f>
        <v>1.5287467546807054E-2</v>
      </c>
      <c r="E57" s="3">
        <f t="shared" ca="1" si="69"/>
        <v>1.5799439716605173E-2</v>
      </c>
      <c r="F57" s="3">
        <f t="shared" ca="1" si="69"/>
        <v>1.6168110591174272E-2</v>
      </c>
      <c r="G57" s="3">
        <f t="shared" ca="1" si="69"/>
        <v>1.88303044486887E-2</v>
      </c>
      <c r="H57" s="3">
        <f t="shared" ca="1" si="69"/>
        <v>1.8460081563107893E-2</v>
      </c>
      <c r="I57" s="3">
        <f t="shared" ca="1" si="69"/>
        <v>1.9378305616512569E-2</v>
      </c>
      <c r="J57" s="3">
        <f t="shared" ca="1" si="69"/>
        <v>2.1031129452598545E-2</v>
      </c>
      <c r="K57" s="3">
        <f t="shared" ca="1" si="69"/>
        <v>2.1355012176682925E-2</v>
      </c>
      <c r="L57" s="3">
        <f t="shared" ca="1" si="69"/>
        <v>2.2035584942616378E-2</v>
      </c>
      <c r="M57" s="3">
        <f t="shared" ca="1" si="69"/>
        <v>2.5236126873448294E-2</v>
      </c>
      <c r="N57" s="3">
        <f t="shared" ca="1" si="69"/>
        <v>2.3725530448257176E-2</v>
      </c>
      <c r="O57" s="3">
        <f t="shared" ca="1" si="69"/>
        <v>2.7508461601667679E-2</v>
      </c>
      <c r="P57" s="3">
        <f t="shared" ca="1" si="69"/>
        <v>2.4843279472699032E-2</v>
      </c>
      <c r="Q57" s="3">
        <f t="shared" ca="1" si="69"/>
        <v>3.0743077175822392E-2</v>
      </c>
      <c r="R57" s="3">
        <f t="shared" ca="1" si="69"/>
        <v>2.6726764650881845E-2</v>
      </c>
      <c r="S57" s="3">
        <f t="shared" ca="1" si="69"/>
        <v>3.1608698272936171E-2</v>
      </c>
      <c r="T57" s="3">
        <f t="shared" ca="1" si="69"/>
        <v>2.9682733470650761E-2</v>
      </c>
      <c r="U57" s="3">
        <f t="shared" ca="1" si="69"/>
        <v>3.3273490945163041E-2</v>
      </c>
      <c r="V57" s="3">
        <f t="shared" ca="1" si="69"/>
        <v>3.1093872015896071E-2</v>
      </c>
      <c r="W57" s="3">
        <f t="shared" ca="1" si="69"/>
        <v>3.6260792071493249E-2</v>
      </c>
      <c r="X57" s="3">
        <f t="shared" ca="1" si="69"/>
        <v>3.1630145676290723E-2</v>
      </c>
      <c r="Y57" s="3">
        <f t="shared" ca="1" si="69"/>
        <v>4.9587819182334972E-2</v>
      </c>
      <c r="Z57" s="3">
        <f t="shared" ca="1" si="69"/>
        <v>4.0581680407734223E-2</v>
      </c>
      <c r="AA57" s="3">
        <f t="shared" ca="1" si="69"/>
        <v>5.1256913604067783E-2</v>
      </c>
      <c r="AB57" s="3">
        <f t="shared" ca="1" si="69"/>
        <v>5.6180148342159029E-2</v>
      </c>
      <c r="AC57" s="3">
        <f t="shared" ca="1" si="69"/>
        <v>5.5430344217926072E-2</v>
      </c>
      <c r="AD57" s="3">
        <f t="shared" ca="1" si="69"/>
        <v>6.71399088607494E-2</v>
      </c>
      <c r="AE57" s="3">
        <f t="shared" ca="1" si="69"/>
        <v>5.6914172312061945E-2</v>
      </c>
      <c r="AF57" s="3">
        <f t="shared" ca="1" si="69"/>
        <v>8.1464079250437152E-2</v>
      </c>
      <c r="AG57" s="3">
        <f t="shared" ca="1" si="69"/>
        <v>6.363783469405826E-2</v>
      </c>
      <c r="AH57" s="3">
        <f t="shared" ca="1" si="69"/>
        <v>0.10273356308585564</v>
      </c>
      <c r="AI57" s="3">
        <f t="shared" ca="1" si="69"/>
        <v>9.3423098947411048E-2</v>
      </c>
      <c r="AJ57" s="3">
        <f t="shared" ca="1" si="69"/>
        <v>0.13761544768541897</v>
      </c>
    </row>
    <row r="58" spans="1:36" x14ac:dyDescent="0.35">
      <c r="A58" t="s">
        <v>72</v>
      </c>
      <c r="B58" t="s">
        <v>71</v>
      </c>
      <c r="C58" s="4">
        <v>6</v>
      </c>
      <c r="D58" s="3">
        <f t="shared" ref="D58:AJ58" ca="1" si="70">MIN(0.99,D39+$D$3)</f>
        <v>1.627209685267049E-2</v>
      </c>
      <c r="E58" s="3">
        <f t="shared" ca="1" si="70"/>
        <v>1.6741952086140266E-2</v>
      </c>
      <c r="F58" s="3">
        <f t="shared" ca="1" si="70"/>
        <v>1.7141622006834174E-2</v>
      </c>
      <c r="G58" s="3">
        <f t="shared" ca="1" si="70"/>
        <v>1.9733324978217791E-2</v>
      </c>
      <c r="H58" s="3">
        <f t="shared" ca="1" si="70"/>
        <v>1.9405038231334909E-2</v>
      </c>
      <c r="I58" s="3">
        <f t="shared" ca="1" si="70"/>
        <v>2.0308435495173163E-2</v>
      </c>
      <c r="J58" s="3">
        <f t="shared" ca="1" si="70"/>
        <v>2.2002617153295354E-2</v>
      </c>
      <c r="K58" s="3">
        <f t="shared" ca="1" si="70"/>
        <v>2.2289595095036762E-2</v>
      </c>
      <c r="L58" s="3">
        <f t="shared" ca="1" si="70"/>
        <v>2.3010167922998388E-2</v>
      </c>
      <c r="M58" s="3">
        <f t="shared" ca="1" si="70"/>
        <v>2.6203776790779586E-2</v>
      </c>
      <c r="N58" s="3">
        <f t="shared" ca="1" si="70"/>
        <v>2.4657836556008058E-2</v>
      </c>
      <c r="O58" s="3">
        <f t="shared" ca="1" si="70"/>
        <v>2.8435235537850316E-2</v>
      </c>
      <c r="P58" s="3">
        <f t="shared" ca="1" si="70"/>
        <v>2.5813163056806438E-2</v>
      </c>
      <c r="Q58" s="3">
        <f t="shared" ca="1" si="70"/>
        <v>3.1659670682821502E-2</v>
      </c>
      <c r="R58" s="3">
        <f t="shared" ca="1" si="70"/>
        <v>2.7658274328919309E-2</v>
      </c>
      <c r="S58" s="3">
        <f t="shared" ca="1" si="70"/>
        <v>3.258282581993744E-2</v>
      </c>
      <c r="T58" s="3">
        <f t="shared" ca="1" si="70"/>
        <v>3.0645195841634706E-2</v>
      </c>
      <c r="U58" s="3">
        <f t="shared" ca="1" si="70"/>
        <v>3.4247389925240963E-2</v>
      </c>
      <c r="V58" s="3">
        <f t="shared" ca="1" si="70"/>
        <v>3.2003528479935921E-2</v>
      </c>
      <c r="W58" s="3">
        <f t="shared" ca="1" si="70"/>
        <v>3.7260272557253706E-2</v>
      </c>
      <c r="X58" s="3">
        <f t="shared" ca="1" si="70"/>
        <v>3.2569085329601954E-2</v>
      </c>
      <c r="Y58" s="3">
        <f t="shared" ca="1" si="70"/>
        <v>5.0571635228697599E-2</v>
      </c>
      <c r="Z58" s="3">
        <f t="shared" ca="1" si="70"/>
        <v>4.1484260763572277E-2</v>
      </c>
      <c r="AA58" s="3">
        <f t="shared" ca="1" si="70"/>
        <v>5.2180256795380894E-2</v>
      </c>
      <c r="AB58" s="3">
        <f t="shared" ca="1" si="70"/>
        <v>5.7178930688432598E-2</v>
      </c>
      <c r="AC58" s="3">
        <f t="shared" ca="1" si="70"/>
        <v>5.6407387831742969E-2</v>
      </c>
      <c r="AD58" s="3">
        <f t="shared" ca="1" si="70"/>
        <v>6.8075849411550302E-2</v>
      </c>
      <c r="AE58" s="3">
        <f t="shared" ca="1" si="70"/>
        <v>5.7859833678554871E-2</v>
      </c>
      <c r="AF58" s="3">
        <f t="shared" ca="1" si="70"/>
        <v>8.2442838078917044E-2</v>
      </c>
      <c r="AG58" s="3">
        <f t="shared" ca="1" si="70"/>
        <v>6.4554387249112277E-2</v>
      </c>
      <c r="AH58" s="3">
        <f t="shared" ca="1" si="70"/>
        <v>0.10365919973432636</v>
      </c>
      <c r="AI58" s="3">
        <f t="shared" ca="1" si="70"/>
        <v>9.4378690996944001E-2</v>
      </c>
      <c r="AJ58" s="3">
        <f t="shared" ca="1" si="70"/>
        <v>0.13860720677105212</v>
      </c>
    </row>
    <row r="59" spans="1:36" x14ac:dyDescent="0.35">
      <c r="A59" t="s">
        <v>72</v>
      </c>
      <c r="B59" t="s">
        <v>71</v>
      </c>
      <c r="C59" s="4" t="s">
        <v>82</v>
      </c>
      <c r="D59" s="3">
        <f t="shared" ref="D59:AJ59" ca="1" si="71">MIN(0.99,D40+$D$3)</f>
        <v>1.7263812266776795E-2</v>
      </c>
      <c r="E59" s="3">
        <f t="shared" ca="1" si="71"/>
        <v>1.7732909303191061E-2</v>
      </c>
      <c r="F59" s="3">
        <f t="shared" ca="1" si="71"/>
        <v>1.8098791819076362E-2</v>
      </c>
      <c r="G59" s="3">
        <f t="shared" ca="1" si="71"/>
        <v>2.0657787312976534E-2</v>
      </c>
      <c r="H59" s="3">
        <f t="shared" ca="1" si="71"/>
        <v>2.0359137822923205E-2</v>
      </c>
      <c r="I59" s="3">
        <f t="shared" ca="1" si="71"/>
        <v>2.1220938576534301E-2</v>
      </c>
      <c r="J59" s="3">
        <f t="shared" ca="1" si="71"/>
        <v>2.2913804826462679E-2</v>
      </c>
      <c r="K59" s="3">
        <f t="shared" ca="1" si="71"/>
        <v>2.3230739249146846E-2</v>
      </c>
      <c r="L59" s="3">
        <f t="shared" ca="1" si="71"/>
        <v>2.393293941380931E-2</v>
      </c>
      <c r="M59" s="3">
        <f t="shared" ca="1" si="71"/>
        <v>2.7145788593844714E-2</v>
      </c>
      <c r="N59" s="3">
        <f t="shared" ca="1" si="71"/>
        <v>2.5626853432754355E-2</v>
      </c>
      <c r="O59" s="3">
        <f t="shared" ca="1" si="71"/>
        <v>2.9411956162055473E-2</v>
      </c>
      <c r="P59" s="3">
        <f t="shared" ca="1" si="71"/>
        <v>2.6797656562763592E-2</v>
      </c>
      <c r="Q59" s="3">
        <f t="shared" ca="1" si="71"/>
        <v>3.264648439526107E-2</v>
      </c>
      <c r="R59" s="3">
        <f t="shared" ca="1" si="71"/>
        <v>2.8641147430560381E-2</v>
      </c>
      <c r="S59" s="3">
        <f t="shared" ca="1" si="71"/>
        <v>3.3581708473058705E-2</v>
      </c>
      <c r="T59" s="3">
        <f t="shared" ca="1" si="71"/>
        <v>3.1632438724495365E-2</v>
      </c>
      <c r="U59" s="3">
        <f t="shared" ca="1" si="71"/>
        <v>3.5160840021064087E-2</v>
      </c>
      <c r="V59" s="3">
        <f t="shared" ca="1" si="71"/>
        <v>3.2983365819813093E-2</v>
      </c>
      <c r="W59" s="3">
        <f t="shared" ca="1" si="71"/>
        <v>3.8189326402891209E-2</v>
      </c>
      <c r="X59" s="3">
        <f t="shared" ca="1" si="71"/>
        <v>3.3503971177556546E-2</v>
      </c>
      <c r="Y59" s="3">
        <f t="shared" ca="1" si="71"/>
        <v>5.1492419819020661E-2</v>
      </c>
      <c r="Z59" s="3">
        <f t="shared" ca="1" si="71"/>
        <v>4.246908370514911E-2</v>
      </c>
      <c r="AA59" s="3">
        <f t="shared" ca="1" si="71"/>
        <v>5.3161684148165786E-2</v>
      </c>
      <c r="AB59" s="3">
        <f t="shared" ca="1" si="71"/>
        <v>5.8080984699076722E-2</v>
      </c>
      <c r="AC59" s="3">
        <f t="shared" ca="1" si="71"/>
        <v>5.732468502533903E-2</v>
      </c>
      <c r="AD59" s="3">
        <f t="shared" ca="1" si="71"/>
        <v>6.902524982834618E-2</v>
      </c>
      <c r="AE59" s="3">
        <f t="shared" ca="1" si="71"/>
        <v>5.8855786329794262E-2</v>
      </c>
      <c r="AF59" s="3">
        <f t="shared" ca="1" si="71"/>
        <v>8.3442411689678336E-2</v>
      </c>
      <c r="AG59" s="3">
        <f t="shared" ca="1" si="71"/>
        <v>6.5454474720507694E-2</v>
      </c>
      <c r="AH59" s="3">
        <f t="shared" ca="1" si="71"/>
        <v>0.10457186904120029</v>
      </c>
      <c r="AI59" s="3">
        <f t="shared" ca="1" si="71"/>
        <v>9.5333578440312927E-2</v>
      </c>
      <c r="AJ59" s="3">
        <f t="shared" ca="1" si="71"/>
        <v>0.13956039003403714</v>
      </c>
    </row>
    <row r="60" spans="1:36" x14ac:dyDescent="0.35">
      <c r="A60" t="s">
        <v>72</v>
      </c>
      <c r="B60" t="s">
        <v>71</v>
      </c>
      <c r="C60" s="4" t="s">
        <v>83</v>
      </c>
      <c r="D60" s="3">
        <f t="shared" ref="D60:AJ60" ca="1" si="72">MIN(0.99,D41+$D$3)</f>
        <v>1.82583133258351E-2</v>
      </c>
      <c r="E60" s="3">
        <f t="shared" ca="1" si="72"/>
        <v>1.8664422751371524E-2</v>
      </c>
      <c r="F60" s="3">
        <f t="shared" ca="1" si="72"/>
        <v>1.9044139420366403E-2</v>
      </c>
      <c r="G60" s="3">
        <f t="shared" ca="1" si="72"/>
        <v>2.1654183375913596E-2</v>
      </c>
      <c r="H60" s="3">
        <f t="shared" ca="1" si="72"/>
        <v>2.1342934195328726E-2</v>
      </c>
      <c r="I60" s="3">
        <f t="shared" ca="1" si="72"/>
        <v>2.2208570208275685E-2</v>
      </c>
      <c r="J60" s="3">
        <f t="shared" ca="1" si="72"/>
        <v>2.3820944924715461E-2</v>
      </c>
      <c r="K60" s="3">
        <f t="shared" ca="1" si="72"/>
        <v>2.421115041412927E-2</v>
      </c>
      <c r="L60" s="3">
        <f t="shared" ca="1" si="72"/>
        <v>2.4900842615034627E-2</v>
      </c>
      <c r="M60" s="3">
        <f t="shared" ca="1" si="72"/>
        <v>2.8089982830518254E-2</v>
      </c>
      <c r="N60" s="3">
        <f t="shared" ca="1" si="72"/>
        <v>2.6589694759775098E-2</v>
      </c>
      <c r="O60" s="3">
        <f t="shared" ca="1" si="72"/>
        <v>3.0340255688448493E-2</v>
      </c>
      <c r="P60" s="3">
        <f t="shared" ca="1" si="72"/>
        <v>2.7724828456456789E-2</v>
      </c>
      <c r="Q60" s="3">
        <f t="shared" ca="1" si="72"/>
        <v>3.3590752891357607E-2</v>
      </c>
      <c r="R60" s="3">
        <f t="shared" ca="1" si="72"/>
        <v>2.9587469340213116E-2</v>
      </c>
      <c r="S60" s="3">
        <f t="shared" ca="1" si="72"/>
        <v>3.4567772570547106E-2</v>
      </c>
      <c r="T60" s="3">
        <f t="shared" ca="1" si="72"/>
        <v>3.2597731180103451E-2</v>
      </c>
      <c r="U60" s="3">
        <f t="shared" ca="1" si="72"/>
        <v>3.6066878048339503E-2</v>
      </c>
      <c r="V60" s="3">
        <f t="shared" ca="1" si="72"/>
        <v>3.3965582589996907E-2</v>
      </c>
      <c r="W60" s="3">
        <f t="shared" ca="1" si="72"/>
        <v>3.9152745560524317E-2</v>
      </c>
      <c r="X60" s="3">
        <f t="shared" ca="1" si="72"/>
        <v>3.4411965868464983E-2</v>
      </c>
      <c r="Y60" s="3">
        <f t="shared" ca="1" si="72"/>
        <v>5.2405199454347684E-2</v>
      </c>
      <c r="Z60" s="3">
        <f t="shared" ca="1" si="72"/>
        <v>4.3446613190632831E-2</v>
      </c>
      <c r="AA60" s="3">
        <f t="shared" ca="1" si="72"/>
        <v>5.4147798083036137E-2</v>
      </c>
      <c r="AB60" s="3">
        <f t="shared" ca="1" si="72"/>
        <v>5.9012391787465181E-2</v>
      </c>
      <c r="AC60" s="3">
        <f t="shared" ca="1" si="72"/>
        <v>5.824905859431876E-2</v>
      </c>
      <c r="AD60" s="3">
        <f t="shared" ca="1" si="72"/>
        <v>7.0012703948703806E-2</v>
      </c>
      <c r="AE60" s="3">
        <f t="shared" ca="1" si="72"/>
        <v>5.9762099494107629E-2</v>
      </c>
      <c r="AF60" s="3">
        <f t="shared" ca="1" si="72"/>
        <v>8.4408340066459864E-2</v>
      </c>
      <c r="AG60" s="3">
        <f t="shared" ca="1" si="72"/>
        <v>6.6383140432970958E-2</v>
      </c>
      <c r="AH60" s="3">
        <f t="shared" ca="1" si="72"/>
        <v>0.10549350671209307</v>
      </c>
      <c r="AI60" s="3">
        <f t="shared" ca="1" si="72"/>
        <v>9.6240589727351292E-2</v>
      </c>
      <c r="AJ60" s="3">
        <f t="shared" ca="1" si="72"/>
        <v>0.14052565964640187</v>
      </c>
    </row>
    <row r="61" spans="1:36" x14ac:dyDescent="0.35">
      <c r="A61" t="s">
        <v>72</v>
      </c>
      <c r="B61" t="s">
        <v>71</v>
      </c>
      <c r="C61" s="4">
        <v>7</v>
      </c>
      <c r="D61" s="3">
        <f t="shared" ref="D61:AJ61" ca="1" si="73">MIN(0.99,D42+$D$3)</f>
        <v>1.9200661918787047E-2</v>
      </c>
      <c r="E61" s="3">
        <f t="shared" ca="1" si="73"/>
        <v>1.9599050848178992E-2</v>
      </c>
      <c r="F61" s="3">
        <f t="shared" ca="1" si="73"/>
        <v>1.9999908112302827E-2</v>
      </c>
      <c r="G61" s="3">
        <f t="shared" ca="1" si="73"/>
        <v>2.2602747294023926E-2</v>
      </c>
      <c r="H61" s="3">
        <f t="shared" ca="1" si="73"/>
        <v>2.2340927736579155E-2</v>
      </c>
      <c r="I61" s="3">
        <f t="shared" ca="1" si="73"/>
        <v>2.3160013680824959E-2</v>
      </c>
      <c r="J61" s="3">
        <f t="shared" ca="1" si="73"/>
        <v>2.4798636055544516E-2</v>
      </c>
      <c r="K61" s="3">
        <f t="shared" ca="1" si="73"/>
        <v>2.5147417078684758E-2</v>
      </c>
      <c r="L61" s="3">
        <f t="shared" ca="1" si="73"/>
        <v>2.5884361362201253E-2</v>
      </c>
      <c r="M61" s="3">
        <f t="shared" ca="1" si="73"/>
        <v>2.9066011617063053E-2</v>
      </c>
      <c r="N61" s="3">
        <f t="shared" ca="1" si="73"/>
        <v>2.7574935817173071E-2</v>
      </c>
      <c r="O61" s="3">
        <f t="shared" ca="1" si="73"/>
        <v>3.1243120872214838E-2</v>
      </c>
      <c r="P61" s="3">
        <f t="shared" ca="1" si="73"/>
        <v>2.8652615848860221E-2</v>
      </c>
      <c r="Q61" s="3">
        <f t="shared" ca="1" si="73"/>
        <v>3.4569733367876193E-2</v>
      </c>
      <c r="R61" s="3">
        <f t="shared" ca="1" si="73"/>
        <v>3.0576129199714076E-2</v>
      </c>
      <c r="S61" s="3">
        <f t="shared" ca="1" si="73"/>
        <v>3.5540739523052103E-2</v>
      </c>
      <c r="T61" s="3">
        <f t="shared" ca="1" si="73"/>
        <v>3.354868344701685E-2</v>
      </c>
      <c r="U61" s="3">
        <f t="shared" ca="1" si="73"/>
        <v>3.7009804975175337E-2</v>
      </c>
      <c r="V61" s="3">
        <f t="shared" ca="1" si="73"/>
        <v>3.4950087490942867E-2</v>
      </c>
      <c r="W61" s="3">
        <f t="shared" ca="1" si="73"/>
        <v>4.0118232677885626E-2</v>
      </c>
      <c r="X61" s="3">
        <f t="shared" ca="1" si="73"/>
        <v>3.5405612871754442E-2</v>
      </c>
      <c r="Y61" s="3">
        <f t="shared" ca="1" si="73"/>
        <v>5.3324381851075346E-2</v>
      </c>
      <c r="Z61" s="3">
        <f t="shared" ca="1" si="73"/>
        <v>4.4431863695245183E-2</v>
      </c>
      <c r="AA61" s="3">
        <f t="shared" ca="1" si="73"/>
        <v>5.513862304246727E-2</v>
      </c>
      <c r="AB61" s="3">
        <f t="shared" ca="1" si="73"/>
        <v>5.9919633726327449E-2</v>
      </c>
      <c r="AC61" s="3">
        <f t="shared" ca="1" si="73"/>
        <v>5.9245991404705531E-2</v>
      </c>
      <c r="AD61" s="3">
        <f t="shared" ca="1" si="73"/>
        <v>7.0975947900684427E-2</v>
      </c>
      <c r="AE61" s="3">
        <f t="shared" ca="1" si="73"/>
        <v>6.0740836097137534E-2</v>
      </c>
      <c r="AF61" s="3">
        <f t="shared" ca="1" si="73"/>
        <v>8.5369333103120795E-2</v>
      </c>
      <c r="AG61" s="3">
        <f t="shared" ca="1" si="73"/>
        <v>6.7340509896130232E-2</v>
      </c>
      <c r="AH61" s="3">
        <f t="shared" ca="1" si="73"/>
        <v>0.10641928479232041</v>
      </c>
      <c r="AI61" s="3">
        <f t="shared" ca="1" si="73"/>
        <v>9.7184890554395956E-2</v>
      </c>
      <c r="AJ61" s="3">
        <f t="shared" ca="1" si="73"/>
        <v>0.14148251845596493</v>
      </c>
    </row>
    <row r="62" spans="1:36" x14ac:dyDescent="0.35">
      <c r="A62" t="s">
        <v>72</v>
      </c>
      <c r="B62" t="s">
        <v>71</v>
      </c>
      <c r="C62" s="4" t="s">
        <v>84</v>
      </c>
      <c r="D62" s="3">
        <f t="shared" ref="D62:AJ62" ca="1" si="74">MIN(0.99,D43+$D$3)</f>
        <v>2.0166562334712586E-2</v>
      </c>
      <c r="E62" s="3">
        <f t="shared" ca="1" si="74"/>
        <v>2.0590553464073114E-2</v>
      </c>
      <c r="F62" s="3">
        <f t="shared" ca="1" si="74"/>
        <v>2.0901849508042351E-2</v>
      </c>
      <c r="G62" s="3">
        <f t="shared" ca="1" si="74"/>
        <v>2.3564174319794278E-2</v>
      </c>
      <c r="H62" s="3">
        <f t="shared" ca="1" si="74"/>
        <v>2.3243459502794654E-2</v>
      </c>
      <c r="I62" s="3">
        <f t="shared" ca="1" si="74"/>
        <v>2.4069930142503252E-2</v>
      </c>
      <c r="J62" s="3">
        <f t="shared" ca="1" si="74"/>
        <v>2.5726024963811073E-2</v>
      </c>
      <c r="K62" s="3">
        <f t="shared" ca="1" si="74"/>
        <v>2.6088037481514063E-2</v>
      </c>
      <c r="L62" s="3">
        <f t="shared" ca="1" si="74"/>
        <v>2.6882835718398231E-2</v>
      </c>
      <c r="M62" s="3">
        <f t="shared" ca="1" si="74"/>
        <v>2.9982289432040992E-2</v>
      </c>
      <c r="N62" s="3">
        <f t="shared" ca="1" si="74"/>
        <v>2.8540296229596418E-2</v>
      </c>
      <c r="O62" s="3">
        <f t="shared" ca="1" si="74"/>
        <v>3.2221587420155816E-2</v>
      </c>
      <c r="P62" s="3">
        <f t="shared" ca="1" si="74"/>
        <v>2.9595541411957926E-2</v>
      </c>
      <c r="Q62" s="3">
        <f t="shared" ca="1" si="74"/>
        <v>3.5536050711690657E-2</v>
      </c>
      <c r="R62" s="3">
        <f t="shared" ca="1" si="74"/>
        <v>3.1547172878563713E-2</v>
      </c>
      <c r="S62" s="3">
        <f t="shared" ca="1" si="74"/>
        <v>3.6509246908124134E-2</v>
      </c>
      <c r="T62" s="3">
        <f t="shared" ca="1" si="74"/>
        <v>3.4461461138448869E-2</v>
      </c>
      <c r="U62" s="3">
        <f t="shared" ca="1" si="74"/>
        <v>3.7964158194139744E-2</v>
      </c>
      <c r="V62" s="3">
        <f t="shared" ca="1" si="74"/>
        <v>3.5913496729225836E-2</v>
      </c>
      <c r="W62" s="3">
        <f t="shared" ca="1" si="74"/>
        <v>4.1083039935777207E-2</v>
      </c>
      <c r="X62" s="3">
        <f t="shared" ca="1" si="74"/>
        <v>3.640205732522947E-2</v>
      </c>
      <c r="Y62" s="3">
        <f t="shared" ca="1" si="74"/>
        <v>5.4278663424839176E-2</v>
      </c>
      <c r="Z62" s="3">
        <f t="shared" ca="1" si="74"/>
        <v>4.5383456054049989E-2</v>
      </c>
      <c r="AA62" s="3">
        <f t="shared" ca="1" si="74"/>
        <v>5.612986581758956E-2</v>
      </c>
      <c r="AB62" s="3">
        <f t="shared" ca="1" si="74"/>
        <v>6.0841084079429571E-2</v>
      </c>
      <c r="AC62" s="3">
        <f t="shared" ca="1" si="74"/>
        <v>6.018745718595496E-2</v>
      </c>
      <c r="AD62" s="3">
        <f t="shared" ca="1" si="74"/>
        <v>7.1909162955906838E-2</v>
      </c>
      <c r="AE62" s="3">
        <f t="shared" ca="1" si="74"/>
        <v>6.168894228185165E-2</v>
      </c>
      <c r="AF62" s="3">
        <f t="shared" ca="1" si="74"/>
        <v>8.6359529071026037E-2</v>
      </c>
      <c r="AG62" s="3">
        <f t="shared" ca="1" si="74"/>
        <v>6.8326130414968669E-2</v>
      </c>
      <c r="AH62" s="3">
        <f t="shared" ca="1" si="74"/>
        <v>0.10739825560777447</v>
      </c>
      <c r="AI62" s="3">
        <f t="shared" ca="1" si="74"/>
        <v>9.81115620901514E-2</v>
      </c>
      <c r="AJ62" s="3">
        <f t="shared" ca="1" si="74"/>
        <v>0.14238586655357663</v>
      </c>
    </row>
    <row r="63" spans="1:36" x14ac:dyDescent="0.35">
      <c r="A63" t="s">
        <v>86</v>
      </c>
      <c r="B63" t="s">
        <v>85</v>
      </c>
      <c r="C63" s="4">
        <v>1</v>
      </c>
      <c r="D63" s="3">
        <f ca="1">MIN(0.99,D6+$O$3)</f>
        <v>2.3948915556580824E-2</v>
      </c>
      <c r="E63" s="3">
        <f t="shared" ref="E63:AA74" ca="1" si="75">MIN(0.99,E6+$O$3)</f>
        <v>2.4491420718664194E-2</v>
      </c>
      <c r="F63" s="3">
        <f t="shared" ca="1" si="75"/>
        <v>2.4828636466375509E-2</v>
      </c>
      <c r="G63" s="3">
        <f t="shared" ca="1" si="75"/>
        <v>2.7416183211137056E-2</v>
      </c>
      <c r="H63" s="3">
        <f t="shared" ca="1" si="75"/>
        <v>2.7005024141501757E-2</v>
      </c>
      <c r="I63" s="3">
        <f t="shared" ca="1" si="75"/>
        <v>2.8101024429384426E-2</v>
      </c>
      <c r="J63" s="3">
        <f t="shared" ca="1" si="75"/>
        <v>2.9816314808947128E-2</v>
      </c>
      <c r="K63" s="3">
        <f t="shared" ca="1" si="75"/>
        <v>3.0214994584677898E-2</v>
      </c>
      <c r="L63" s="3">
        <f t="shared" ca="1" si="75"/>
        <v>3.0822022760135858E-2</v>
      </c>
      <c r="M63" s="3">
        <f t="shared" ca="1" si="75"/>
        <v>3.3907570382466168E-2</v>
      </c>
      <c r="N63" s="3">
        <f t="shared" ca="1" si="75"/>
        <v>3.2251118007418311E-2</v>
      </c>
      <c r="O63" s="3">
        <f t="shared" ca="1" si="75"/>
        <v>3.6209652031731598E-2</v>
      </c>
      <c r="P63" s="3">
        <f t="shared" ca="1" si="75"/>
        <v>3.3555720538694614E-2</v>
      </c>
      <c r="Q63" s="3">
        <f t="shared" ca="1" si="75"/>
        <v>3.9274408014531928E-2</v>
      </c>
      <c r="R63" s="3">
        <f t="shared" ca="1" si="75"/>
        <v>3.5278056269551883E-2</v>
      </c>
      <c r="S63" s="3">
        <f t="shared" ca="1" si="75"/>
        <v>4.031919929223772E-2</v>
      </c>
      <c r="T63" s="3">
        <f t="shared" ca="1" si="75"/>
        <v>3.8320357003587976E-2</v>
      </c>
      <c r="U63" s="3">
        <f t="shared" ca="1" si="75"/>
        <v>4.2050714254284402E-2</v>
      </c>
      <c r="V63" s="3">
        <f t="shared" ca="1" si="75"/>
        <v>3.9685101092689731E-2</v>
      </c>
      <c r="W63" s="3">
        <f t="shared" ca="1" si="75"/>
        <v>4.4909280107846644E-2</v>
      </c>
      <c r="X63" s="3">
        <f t="shared" ca="1" si="75"/>
        <v>4.0360103972379407E-2</v>
      </c>
      <c r="Y63" s="3">
        <f t="shared" ca="1" si="75"/>
        <v>5.8049654115689873E-2</v>
      </c>
      <c r="Z63" s="3">
        <f t="shared" ca="1" si="75"/>
        <v>4.9263312099614875E-2</v>
      </c>
      <c r="AA63" s="3">
        <f t="shared" ca="1" si="75"/>
        <v>5.9895172202255473E-2</v>
      </c>
      <c r="AB63" s="3">
        <f ca="1">MIN(0.99,AB6+$O$3)</f>
        <v>6.5036696389291548E-2</v>
      </c>
      <c r="AC63" s="3">
        <f t="shared" ref="AC63:AJ78" ca="1" si="76">MIN(0.99,AC6+$O$3)</f>
        <v>6.4005313707715769E-2</v>
      </c>
      <c r="AD63" s="3">
        <f t="shared" ca="1" si="76"/>
        <v>7.5784244355589642E-2</v>
      </c>
      <c r="AE63" s="3">
        <f t="shared" ca="1" si="76"/>
        <v>6.5381758517328178E-2</v>
      </c>
      <c r="AF63" s="3">
        <f t="shared" ca="1" si="76"/>
        <v>9.0107199728716336E-2</v>
      </c>
      <c r="AG63" s="3">
        <f t="shared" ca="1" si="76"/>
        <v>7.2165330697988472E-2</v>
      </c>
      <c r="AH63" s="3">
        <f t="shared" ca="1" si="76"/>
        <v>0.11146503354934928</v>
      </c>
      <c r="AI63" s="3">
        <f t="shared" ca="1" si="76"/>
        <v>0.10187410798111177</v>
      </c>
      <c r="AJ63" s="3">
        <f t="shared" ca="1" si="76"/>
        <v>0.14633653162521984</v>
      </c>
    </row>
    <row r="64" spans="1:36" x14ac:dyDescent="0.35">
      <c r="A64" t="s">
        <v>86</v>
      </c>
      <c r="B64" t="s">
        <v>85</v>
      </c>
      <c r="C64" s="4" t="s">
        <v>73</v>
      </c>
      <c r="D64" s="3">
        <f t="shared" ref="D64:S119" ca="1" si="77">MIN(0.99,D7+$O$3)</f>
        <v>2.4926561052789193E-2</v>
      </c>
      <c r="E64" s="3">
        <f t="shared" ca="1" si="77"/>
        <v>2.5448231212810091E-2</v>
      </c>
      <c r="F64" s="3">
        <f t="shared" ca="1" si="77"/>
        <v>2.5764957510307711E-2</v>
      </c>
      <c r="G64" s="3">
        <f t="shared" ca="1" si="77"/>
        <v>2.8322692601680369E-2</v>
      </c>
      <c r="H64" s="3">
        <f t="shared" ca="1" si="77"/>
        <v>2.7988020581014978E-2</v>
      </c>
      <c r="I64" s="3">
        <f t="shared" ca="1" si="77"/>
        <v>2.9069378063951164E-2</v>
      </c>
      <c r="J64" s="3">
        <f t="shared" ca="1" si="77"/>
        <v>3.0793115714279881E-2</v>
      </c>
      <c r="K64" s="3">
        <f t="shared" ca="1" si="77"/>
        <v>3.1189774349119744E-2</v>
      </c>
      <c r="L64" s="3">
        <f t="shared" ca="1" si="77"/>
        <v>3.1740998641631095E-2</v>
      </c>
      <c r="M64" s="3">
        <f t="shared" ca="1" si="77"/>
        <v>3.4875218593734547E-2</v>
      </c>
      <c r="N64" s="3">
        <f t="shared" ca="1" si="77"/>
        <v>3.3191787313370053E-2</v>
      </c>
      <c r="O64" s="3">
        <f t="shared" ca="1" si="77"/>
        <v>3.7111750155094873E-2</v>
      </c>
      <c r="P64" s="3">
        <f t="shared" ca="1" si="77"/>
        <v>3.453083154921862E-2</v>
      </c>
      <c r="Q64" s="3">
        <f t="shared" ca="1" si="77"/>
        <v>4.0229543020589675E-2</v>
      </c>
      <c r="R64" s="3">
        <f t="shared" ca="1" si="77"/>
        <v>3.6270533130590629E-2</v>
      </c>
      <c r="S64" s="3">
        <f t="shared" ca="1" si="77"/>
        <v>4.1295220226228037E-2</v>
      </c>
      <c r="T64" s="3">
        <f t="shared" ca="1" si="75"/>
        <v>3.9220438034372862E-2</v>
      </c>
      <c r="U64" s="3">
        <f t="shared" ca="1" si="75"/>
        <v>4.2986514159243677E-2</v>
      </c>
      <c r="V64" s="3">
        <f t="shared" ca="1" si="75"/>
        <v>4.0619064739089064E-2</v>
      </c>
      <c r="W64" s="3">
        <f t="shared" ca="1" si="75"/>
        <v>4.5825500223234755E-2</v>
      </c>
      <c r="X64" s="3">
        <f t="shared" ca="1" si="75"/>
        <v>4.133445049553202E-2</v>
      </c>
      <c r="Y64" s="3">
        <f t="shared" ca="1" si="75"/>
        <v>5.9001448457920484E-2</v>
      </c>
      <c r="Z64" s="3">
        <f t="shared" ca="1" si="75"/>
        <v>5.0164199185525934E-2</v>
      </c>
      <c r="AA64" s="3">
        <f t="shared" ca="1" si="75"/>
        <v>6.0849487744943163E-2</v>
      </c>
      <c r="AB64" s="3">
        <f t="shared" ref="AB64:AJ64" ca="1" si="78">MIN(0.99,AB7+$O$3)</f>
        <v>6.5962058348978059E-2</v>
      </c>
      <c r="AC64" s="3">
        <f t="shared" ca="1" si="78"/>
        <v>6.4984195355870938E-2</v>
      </c>
      <c r="AD64" s="3">
        <f t="shared" ca="1" si="78"/>
        <v>7.6726163407026718E-2</v>
      </c>
      <c r="AE64" s="3">
        <f t="shared" ca="1" si="78"/>
        <v>6.6336346951160308E-2</v>
      </c>
      <c r="AF64" s="3">
        <f t="shared" ca="1" si="78"/>
        <v>9.1105964875773632E-2</v>
      </c>
      <c r="AG64" s="3">
        <f t="shared" ca="1" si="78"/>
        <v>7.3132993889453879E-2</v>
      </c>
      <c r="AH64" s="3">
        <f t="shared" ca="1" si="78"/>
        <v>0.11239075979987495</v>
      </c>
      <c r="AI64" s="3">
        <f t="shared" ca="1" si="78"/>
        <v>0.10280226495699923</v>
      </c>
      <c r="AJ64" s="3">
        <f t="shared" ca="1" si="78"/>
        <v>0.14727164443119317</v>
      </c>
    </row>
    <row r="65" spans="1:36" x14ac:dyDescent="0.35">
      <c r="A65" t="s">
        <v>86</v>
      </c>
      <c r="B65" t="s">
        <v>85</v>
      </c>
      <c r="C65" s="4">
        <v>2</v>
      </c>
      <c r="D65" s="3">
        <f t="shared" ca="1" si="77"/>
        <v>2.5915555131409158E-2</v>
      </c>
      <c r="E65" s="3">
        <f t="shared" ca="1" si="75"/>
        <v>2.6361907030520403E-2</v>
      </c>
      <c r="F65" s="3">
        <f t="shared" ca="1" si="75"/>
        <v>2.6711247968436335E-2</v>
      </c>
      <c r="G65" s="3">
        <f t="shared" ca="1" si="75"/>
        <v>2.927213133248082E-2</v>
      </c>
      <c r="H65" s="3">
        <f t="shared" ca="1" si="75"/>
        <v>2.894959991041756E-2</v>
      </c>
      <c r="I65" s="3">
        <f t="shared" ca="1" si="75"/>
        <v>2.9984039596910664E-2</v>
      </c>
      <c r="J65" s="3">
        <f t="shared" ca="1" si="75"/>
        <v>3.1736190025123068E-2</v>
      </c>
      <c r="K65" s="3">
        <f t="shared" ca="1" si="75"/>
        <v>3.2164580242559838E-2</v>
      </c>
      <c r="L65" s="3">
        <f t="shared" ca="1" si="75"/>
        <v>3.2716628937796324E-2</v>
      </c>
      <c r="M65" s="3">
        <f t="shared" ca="1" si="75"/>
        <v>3.5790871662646884E-2</v>
      </c>
      <c r="N65" s="3">
        <f t="shared" ca="1" si="75"/>
        <v>3.4160299362651733E-2</v>
      </c>
      <c r="O65" s="3">
        <f t="shared" ca="1" si="75"/>
        <v>3.8078729794210314E-2</v>
      </c>
      <c r="P65" s="3">
        <f t="shared" ca="1" si="75"/>
        <v>3.546516878649552E-2</v>
      </c>
      <c r="Q65" s="3">
        <f t="shared" ca="1" si="75"/>
        <v>4.1197746753663188E-2</v>
      </c>
      <c r="R65" s="3">
        <f t="shared" ca="1" si="75"/>
        <v>3.7223471060640848E-2</v>
      </c>
      <c r="S65" s="3">
        <f t="shared" ca="1" si="75"/>
        <v>4.2290807760214336E-2</v>
      </c>
      <c r="T65" s="3">
        <f t="shared" ca="1" si="75"/>
        <v>4.0141829837937404E-2</v>
      </c>
      <c r="U65" s="3">
        <f t="shared" ca="1" si="75"/>
        <v>4.3897869179906367E-2</v>
      </c>
      <c r="V65" s="3">
        <f t="shared" ca="1" si="75"/>
        <v>4.1535389428510025E-2</v>
      </c>
      <c r="W65" s="3">
        <f t="shared" ca="1" si="75"/>
        <v>4.6782090388894332E-2</v>
      </c>
      <c r="X65" s="3">
        <f t="shared" ca="1" si="75"/>
        <v>4.2299327429793573E-2</v>
      </c>
      <c r="Y65" s="3">
        <f t="shared" ca="1" si="75"/>
        <v>5.9919152225019173E-2</v>
      </c>
      <c r="Z65" s="3">
        <f t="shared" ca="1" si="75"/>
        <v>5.1109094697391153E-2</v>
      </c>
      <c r="AA65" s="3">
        <f t="shared" ca="1" si="75"/>
        <v>6.177746804410629E-2</v>
      </c>
      <c r="AB65" s="3">
        <f t="shared" ref="AB65:AJ65" ca="1" si="79">MIN(0.99,AB8+$O$3)</f>
        <v>6.6941221833536013E-2</v>
      </c>
      <c r="AC65" s="3">
        <f t="shared" ca="1" si="76"/>
        <v>6.5932100050676873E-2</v>
      </c>
      <c r="AD65" s="3">
        <f t="shared" ca="1" si="76"/>
        <v>7.7678896872499181E-2</v>
      </c>
      <c r="AE65" s="3">
        <f t="shared" ca="1" si="76"/>
        <v>6.7292526408805869E-2</v>
      </c>
      <c r="AF65" s="3">
        <f t="shared" ca="1" si="76"/>
        <v>9.2041601340319884E-2</v>
      </c>
      <c r="AG65" s="3">
        <f t="shared" ca="1" si="76"/>
        <v>7.4093354852914767E-2</v>
      </c>
      <c r="AH65" s="3">
        <f t="shared" ca="1" si="76"/>
        <v>0.11333771199568979</v>
      </c>
      <c r="AI65" s="3">
        <f t="shared" ca="1" si="76"/>
        <v>0.10372782181721199</v>
      </c>
      <c r="AJ65" s="3">
        <f t="shared" ca="1" si="76"/>
        <v>0.14822568101836736</v>
      </c>
    </row>
    <row r="66" spans="1:36" x14ac:dyDescent="0.35">
      <c r="A66" t="s">
        <v>86</v>
      </c>
      <c r="B66" t="s">
        <v>85</v>
      </c>
      <c r="C66" s="4" t="s">
        <v>74</v>
      </c>
      <c r="D66" s="3">
        <f t="shared" ca="1" si="77"/>
        <v>2.6853072735884533E-2</v>
      </c>
      <c r="E66" s="3">
        <f t="shared" ca="1" si="75"/>
        <v>2.7263974047170264E-2</v>
      </c>
      <c r="F66" s="3">
        <f t="shared" ca="1" si="75"/>
        <v>2.7707945167498006E-2</v>
      </c>
      <c r="G66" s="3">
        <f t="shared" ca="1" si="75"/>
        <v>3.018584416792346E-2</v>
      </c>
      <c r="H66" s="3">
        <f t="shared" ca="1" si="75"/>
        <v>2.9941932531472971E-2</v>
      </c>
      <c r="I66" s="3">
        <f t="shared" ca="1" si="75"/>
        <v>3.0975020089305767E-2</v>
      </c>
      <c r="J66" s="3">
        <f t="shared" ca="1" si="75"/>
        <v>3.2655755650458446E-2</v>
      </c>
      <c r="K66" s="3">
        <f t="shared" ca="1" si="75"/>
        <v>3.3090890925793259E-2</v>
      </c>
      <c r="L66" s="3">
        <f t="shared" ca="1" si="75"/>
        <v>3.3617536264291023E-2</v>
      </c>
      <c r="M66" s="3">
        <f t="shared" ca="1" si="75"/>
        <v>3.6744769200465315E-2</v>
      </c>
      <c r="N66" s="3">
        <f t="shared" ca="1" si="75"/>
        <v>3.5121278324172708E-2</v>
      </c>
      <c r="O66" s="3">
        <f t="shared" ca="1" si="75"/>
        <v>3.9017396269211899E-2</v>
      </c>
      <c r="P66" s="3">
        <f t="shared" ca="1" si="75"/>
        <v>3.6432569556060335E-2</v>
      </c>
      <c r="Q66" s="3">
        <f t="shared" ca="1" si="75"/>
        <v>4.2163598048254203E-2</v>
      </c>
      <c r="R66" s="3">
        <f t="shared" ca="1" si="75"/>
        <v>3.8142868322664711E-2</v>
      </c>
      <c r="S66" s="3">
        <f t="shared" ca="1" si="75"/>
        <v>4.3204488812754793E-2</v>
      </c>
      <c r="T66" s="3">
        <f t="shared" ca="1" si="75"/>
        <v>4.1095527025254097E-2</v>
      </c>
      <c r="U66" s="3">
        <f t="shared" ca="1" si="75"/>
        <v>4.4819526327158125E-2</v>
      </c>
      <c r="V66" s="3">
        <f t="shared" ca="1" si="75"/>
        <v>4.2507113025819762E-2</v>
      </c>
      <c r="W66" s="3">
        <f t="shared" ca="1" si="75"/>
        <v>4.7745684783351991E-2</v>
      </c>
      <c r="X66" s="3">
        <f t="shared" ca="1" si="75"/>
        <v>4.3297575803327527E-2</v>
      </c>
      <c r="Y66" s="3">
        <f t="shared" ca="1" si="75"/>
        <v>6.0879117449648149E-2</v>
      </c>
      <c r="Z66" s="3">
        <f t="shared" ca="1" si="75"/>
        <v>5.2030179531530413E-2</v>
      </c>
      <c r="AA66" s="3">
        <f t="shared" ca="1" si="75"/>
        <v>6.2771216731477564E-2</v>
      </c>
      <c r="AB66" s="3">
        <f t="shared" ref="AB66:AJ66" ca="1" si="80">MIN(0.99,AB9+$O$3)</f>
        <v>6.7857843771874815E-2</v>
      </c>
      <c r="AC66" s="3">
        <f t="shared" ca="1" si="76"/>
        <v>6.6855260449475332E-2</v>
      </c>
      <c r="AD66" s="3">
        <f t="shared" ca="1" si="76"/>
        <v>7.8619261401731588E-2</v>
      </c>
      <c r="AE66" s="3">
        <f t="shared" ca="1" si="76"/>
        <v>6.8227405635410229E-2</v>
      </c>
      <c r="AF66" s="3">
        <f t="shared" ca="1" si="76"/>
        <v>9.2993348440701284E-2</v>
      </c>
      <c r="AG66" s="3">
        <f t="shared" ca="1" si="76"/>
        <v>7.5072295316915533E-2</v>
      </c>
      <c r="AH66" s="3">
        <f t="shared" ca="1" si="76"/>
        <v>0.11426114251753597</v>
      </c>
      <c r="AI66" s="3">
        <f t="shared" ca="1" si="76"/>
        <v>0.10471342767060021</v>
      </c>
      <c r="AJ66" s="3">
        <f t="shared" ca="1" si="76"/>
        <v>0.14921058482442284</v>
      </c>
    </row>
    <row r="67" spans="1:36" x14ac:dyDescent="0.35">
      <c r="A67" t="s">
        <v>86</v>
      </c>
      <c r="B67" t="s">
        <v>85</v>
      </c>
      <c r="C67" s="4" t="s">
        <v>75</v>
      </c>
      <c r="D67" s="3">
        <f t="shared" ca="1" si="77"/>
        <v>2.7811881367312982E-2</v>
      </c>
      <c r="E67" s="3">
        <f t="shared" ca="1" si="75"/>
        <v>2.8173218425938257E-2</v>
      </c>
      <c r="F67" s="3">
        <f t="shared" ca="1" si="75"/>
        <v>2.8632914282016225E-2</v>
      </c>
      <c r="G67" s="3">
        <f t="shared" ca="1" si="75"/>
        <v>3.1110217412048335E-2</v>
      </c>
      <c r="H67" s="3">
        <f t="shared" ca="1" si="75"/>
        <v>3.0914296218866794E-2</v>
      </c>
      <c r="I67" s="3">
        <f t="shared" ca="1" si="75"/>
        <v>3.1881791163850065E-2</v>
      </c>
      <c r="J67" s="3">
        <f t="shared" ca="1" si="75"/>
        <v>3.3577984132529132E-2</v>
      </c>
      <c r="K67" s="3">
        <f t="shared" ca="1" si="75"/>
        <v>3.4023667006421003E-2</v>
      </c>
      <c r="L67" s="3">
        <f t="shared" ca="1" si="75"/>
        <v>3.457988088511163E-2</v>
      </c>
      <c r="M67" s="3">
        <f t="shared" ca="1" si="75"/>
        <v>3.771471152540827E-2</v>
      </c>
      <c r="N67" s="3">
        <f t="shared" ca="1" si="75"/>
        <v>3.6116144264971964E-2</v>
      </c>
      <c r="O67" s="3">
        <f t="shared" ca="1" si="75"/>
        <v>3.9925346902876441E-2</v>
      </c>
      <c r="P67" s="3">
        <f t="shared" ca="1" si="75"/>
        <v>3.7421583505713278E-2</v>
      </c>
      <c r="Q67" s="3">
        <f t="shared" ca="1" si="75"/>
        <v>4.3152830615865695E-2</v>
      </c>
      <c r="R67" s="3">
        <f t="shared" ca="1" si="75"/>
        <v>3.9075514123889141E-2</v>
      </c>
      <c r="S67" s="3">
        <f t="shared" ca="1" si="75"/>
        <v>4.4151489823565988E-2</v>
      </c>
      <c r="T67" s="3">
        <f t="shared" ca="1" si="75"/>
        <v>4.2055844913414991E-2</v>
      </c>
      <c r="U67" s="3">
        <f t="shared" ca="1" si="75"/>
        <v>4.572733064866133E-2</v>
      </c>
      <c r="V67" s="3">
        <f t="shared" ca="1" si="75"/>
        <v>4.3463783568424161E-2</v>
      </c>
      <c r="W67" s="3">
        <f t="shared" ca="1" si="75"/>
        <v>4.8730685173035526E-2</v>
      </c>
      <c r="X67" s="3">
        <f t="shared" ca="1" si="75"/>
        <v>4.4214718075766879E-2</v>
      </c>
      <c r="Y67" s="3">
        <f t="shared" ca="1" si="75"/>
        <v>6.187056116455087E-2</v>
      </c>
      <c r="Z67" s="3">
        <f t="shared" ca="1" si="75"/>
        <v>5.3029153658424012E-2</v>
      </c>
      <c r="AA67" s="3">
        <f t="shared" ca="1" si="75"/>
        <v>6.3767930196132E-2</v>
      </c>
      <c r="AB67" s="3">
        <f t="shared" ref="AB67:AJ67" ca="1" si="81">MIN(0.99,AB10+$O$3)</f>
        <v>6.8833785089747496E-2</v>
      </c>
      <c r="AC67" s="3">
        <f t="shared" ca="1" si="76"/>
        <v>6.7766750262098302E-2</v>
      </c>
      <c r="AD67" s="3">
        <f t="shared" ca="1" si="76"/>
        <v>7.9578466135489412E-2</v>
      </c>
      <c r="AE67" s="3">
        <f t="shared" ca="1" si="76"/>
        <v>6.9143394366889335E-2</v>
      </c>
      <c r="AF67" s="3">
        <f t="shared" ca="1" si="76"/>
        <v>9.3935708701547688E-2</v>
      </c>
      <c r="AG67" s="3">
        <f t="shared" ca="1" si="76"/>
        <v>7.6068294168998324E-2</v>
      </c>
      <c r="AH67" s="3">
        <f t="shared" ca="1" si="76"/>
        <v>0.11524487764383068</v>
      </c>
      <c r="AI67" s="3">
        <f t="shared" ca="1" si="76"/>
        <v>0.10569954474210674</v>
      </c>
      <c r="AJ67" s="3">
        <f t="shared" ca="1" si="76"/>
        <v>0.15013056681972145</v>
      </c>
    </row>
    <row r="68" spans="1:36" x14ac:dyDescent="0.35">
      <c r="A68" t="s">
        <v>86</v>
      </c>
      <c r="B68" t="s">
        <v>85</v>
      </c>
      <c r="C68" s="4">
        <v>3</v>
      </c>
      <c r="D68" s="3">
        <f t="shared" ca="1" si="77"/>
        <v>2.8788652346396798E-2</v>
      </c>
      <c r="E68" s="3">
        <f t="shared" ca="1" si="75"/>
        <v>2.9155513667297156E-2</v>
      </c>
      <c r="F68" s="3">
        <f t="shared" ca="1" si="75"/>
        <v>2.9620405218115452E-2</v>
      </c>
      <c r="G68" s="3">
        <f t="shared" ca="1" si="75"/>
        <v>3.2092262365820787E-2</v>
      </c>
      <c r="H68" s="3">
        <f t="shared" ca="1" si="75"/>
        <v>3.1902976380191628E-2</v>
      </c>
      <c r="I68" s="3">
        <f t="shared" ca="1" si="75"/>
        <v>3.2836488530944112E-2</v>
      </c>
      <c r="J68" s="3">
        <f t="shared" ca="1" si="75"/>
        <v>3.4522859396776982E-2</v>
      </c>
      <c r="K68" s="3">
        <f t="shared" ca="1" si="75"/>
        <v>3.4930670703096182E-2</v>
      </c>
      <c r="L68" s="3">
        <f t="shared" ca="1" si="75"/>
        <v>3.5488636661348577E-2</v>
      </c>
      <c r="M68" s="3">
        <f t="shared" ca="1" si="75"/>
        <v>3.8640169781659517E-2</v>
      </c>
      <c r="N68" s="3">
        <f t="shared" ca="1" si="75"/>
        <v>3.7107000459238003E-2</v>
      </c>
      <c r="O68" s="3">
        <f t="shared" ca="1" si="75"/>
        <v>4.0858763972480901E-2</v>
      </c>
      <c r="P68" s="3">
        <f t="shared" ca="1" si="75"/>
        <v>3.8376584897729181E-2</v>
      </c>
      <c r="Q68" s="3">
        <f t="shared" ca="1" si="75"/>
        <v>4.4144170504824914E-2</v>
      </c>
      <c r="R68" s="3">
        <f t="shared" ca="1" si="75"/>
        <v>4.0058586035117916E-2</v>
      </c>
      <c r="S68" s="3">
        <f t="shared" ca="1" si="75"/>
        <v>4.5062094629530536E-2</v>
      </c>
      <c r="T68" s="3">
        <f t="shared" ca="1" si="75"/>
        <v>4.3053117025208643E-2</v>
      </c>
      <c r="U68" s="3">
        <f t="shared" ca="1" si="75"/>
        <v>4.6639623010977543E-2</v>
      </c>
      <c r="V68" s="3">
        <f t="shared" ca="1" si="75"/>
        <v>4.4443995582985535E-2</v>
      </c>
      <c r="W68" s="3">
        <f t="shared" ca="1" si="75"/>
        <v>4.964466410726194E-2</v>
      </c>
      <c r="X68" s="3">
        <f t="shared" ca="1" si="75"/>
        <v>4.5140568388507496E-2</v>
      </c>
      <c r="Y68" s="3">
        <f t="shared" ca="1" si="75"/>
        <v>6.2818063795888224E-2</v>
      </c>
      <c r="Z68" s="3">
        <f t="shared" ca="1" si="75"/>
        <v>5.3933456731320779E-2</v>
      </c>
      <c r="AA68" s="3">
        <f t="shared" ca="1" si="75"/>
        <v>6.4726607334240779E-2</v>
      </c>
      <c r="AB68" s="3">
        <f t="shared" ref="AB68:AJ68" ca="1" si="82">MIN(0.99,AB11+$O$3)</f>
        <v>6.9742303324936292E-2</v>
      </c>
      <c r="AC68" s="3">
        <f t="shared" ca="1" si="76"/>
        <v>6.8758227003092059E-2</v>
      </c>
      <c r="AD68" s="3">
        <f t="shared" ca="1" si="76"/>
        <v>8.0517015350131893E-2</v>
      </c>
      <c r="AE68" s="3">
        <f t="shared" ca="1" si="76"/>
        <v>7.0123515461376795E-2</v>
      </c>
      <c r="AF68" s="3">
        <f t="shared" ca="1" si="76"/>
        <v>9.4852491790268528E-2</v>
      </c>
      <c r="AG68" s="3">
        <f t="shared" ca="1" si="76"/>
        <v>7.7037766219236664E-2</v>
      </c>
      <c r="AH68" s="3">
        <f t="shared" ca="1" si="76"/>
        <v>0.11615655694599647</v>
      </c>
      <c r="AI68" s="3">
        <f t="shared" ca="1" si="76"/>
        <v>0.10668811615134216</v>
      </c>
      <c r="AJ68" s="3">
        <f t="shared" ca="1" si="76"/>
        <v>0.1510723293375521</v>
      </c>
    </row>
    <row r="69" spans="1:36" x14ac:dyDescent="0.35">
      <c r="A69" t="s">
        <v>86</v>
      </c>
      <c r="B69" t="s">
        <v>85</v>
      </c>
      <c r="C69" s="4" t="s">
        <v>76</v>
      </c>
      <c r="D69" s="3">
        <f t="shared" ca="1" si="77"/>
        <v>2.9776251109671602E-2</v>
      </c>
      <c r="E69" s="3">
        <f t="shared" ca="1" si="75"/>
        <v>3.0151077381650772E-2</v>
      </c>
      <c r="F69" s="3">
        <f t="shared" ca="1" si="75"/>
        <v>3.0595809171449748E-2</v>
      </c>
      <c r="G69" s="3">
        <f t="shared" ca="1" si="75"/>
        <v>3.3074261518537693E-2</v>
      </c>
      <c r="H69" s="3">
        <f t="shared" ca="1" si="75"/>
        <v>3.2821512226979425E-2</v>
      </c>
      <c r="I69" s="3">
        <f t="shared" ca="1" si="75"/>
        <v>3.3804170372596143E-2</v>
      </c>
      <c r="J69" s="3">
        <f t="shared" ca="1" si="75"/>
        <v>3.548821213808926E-2</v>
      </c>
      <c r="K69" s="3">
        <f t="shared" ca="1" si="75"/>
        <v>3.5881568179392011E-2</v>
      </c>
      <c r="L69" s="3">
        <f t="shared" ca="1" si="75"/>
        <v>3.6397381245480608E-2</v>
      </c>
      <c r="M69" s="3">
        <f t="shared" ca="1" si="75"/>
        <v>3.9610779202201102E-2</v>
      </c>
      <c r="N69" s="3">
        <f t="shared" ca="1" si="75"/>
        <v>3.8047244559356416E-2</v>
      </c>
      <c r="O69" s="3">
        <f t="shared" ca="1" si="75"/>
        <v>4.1814762628783211E-2</v>
      </c>
      <c r="P69" s="3">
        <f t="shared" ca="1" si="75"/>
        <v>3.9287973270612647E-2</v>
      </c>
      <c r="Q69" s="3">
        <f t="shared" ca="1" si="75"/>
        <v>4.5046520596414279E-2</v>
      </c>
      <c r="R69" s="3">
        <f t="shared" ca="1" si="75"/>
        <v>4.1004617208249952E-2</v>
      </c>
      <c r="S69" s="3">
        <f t="shared" ca="1" si="75"/>
        <v>4.5967238380345748E-2</v>
      </c>
      <c r="T69" s="3">
        <f t="shared" ca="1" si="75"/>
        <v>4.4015452894143381E-2</v>
      </c>
      <c r="U69" s="3">
        <f t="shared" ca="1" si="75"/>
        <v>4.7602581040958131E-2</v>
      </c>
      <c r="V69" s="3">
        <f t="shared" ca="1" si="75"/>
        <v>4.5416736332290708E-2</v>
      </c>
      <c r="W69" s="3">
        <f t="shared" ca="1" si="75"/>
        <v>5.0546156592723837E-2</v>
      </c>
      <c r="X69" s="3">
        <f t="shared" ca="1" si="75"/>
        <v>4.610038514047346E-2</v>
      </c>
      <c r="Y69" s="3">
        <f t="shared" ca="1" si="75"/>
        <v>6.3789588549811066E-2</v>
      </c>
      <c r="Z69" s="3">
        <f t="shared" ca="1" si="75"/>
        <v>5.4915513920353612E-2</v>
      </c>
      <c r="AA69" s="3">
        <f t="shared" ca="1" si="75"/>
        <v>6.5723765279509239E-2</v>
      </c>
      <c r="AB69" s="3">
        <f t="shared" ref="AB69:AJ69" ca="1" si="83">MIN(0.99,AB12+$O$3)</f>
        <v>7.0651755496886459E-2</v>
      </c>
      <c r="AC69" s="3">
        <f t="shared" ca="1" si="76"/>
        <v>6.9745931381610143E-2</v>
      </c>
      <c r="AD69" s="3">
        <f t="shared" ca="1" si="76"/>
        <v>8.1511094075146978E-2</v>
      </c>
      <c r="AE69" s="3">
        <f t="shared" ca="1" si="76"/>
        <v>7.1061115154313514E-2</v>
      </c>
      <c r="AF69" s="3">
        <f t="shared" ca="1" si="76"/>
        <v>9.585222592284634E-2</v>
      </c>
      <c r="AG69" s="3">
        <f t="shared" ca="1" si="76"/>
        <v>7.8037425795230431E-2</v>
      </c>
      <c r="AH69" s="3">
        <f t="shared" ca="1" si="76"/>
        <v>0.1170855656392023</v>
      </c>
      <c r="AI69" s="3">
        <f t="shared" ca="1" si="76"/>
        <v>0.1076628054621088</v>
      </c>
      <c r="AJ69" s="3">
        <f t="shared" ca="1" si="76"/>
        <v>0.15201021655933628</v>
      </c>
    </row>
    <row r="70" spans="1:36" x14ac:dyDescent="0.35">
      <c r="A70" t="s">
        <v>86</v>
      </c>
      <c r="B70" t="s">
        <v>85</v>
      </c>
      <c r="C70" s="4" t="s">
        <v>77</v>
      </c>
      <c r="D70" s="3">
        <f t="shared" ca="1" si="77"/>
        <v>3.0688568943266322E-2</v>
      </c>
      <c r="E70" s="3">
        <f t="shared" ca="1" si="75"/>
        <v>3.1122430343678557E-2</v>
      </c>
      <c r="F70" s="3">
        <f t="shared" ca="1" si="75"/>
        <v>3.1511013718300909E-2</v>
      </c>
      <c r="G70" s="3">
        <f t="shared" ca="1" si="75"/>
        <v>3.4065350807683664E-2</v>
      </c>
      <c r="H70" s="3">
        <f t="shared" ca="1" si="75"/>
        <v>3.3724371076488131E-2</v>
      </c>
      <c r="I70" s="3">
        <f t="shared" ca="1" si="75"/>
        <v>3.4776308500671281E-2</v>
      </c>
      <c r="J70" s="3">
        <f t="shared" ca="1" si="75"/>
        <v>3.6393631963013102E-2</v>
      </c>
      <c r="K70" s="3">
        <f t="shared" ca="1" si="75"/>
        <v>3.6796517227292463E-2</v>
      </c>
      <c r="L70" s="3">
        <f t="shared" ca="1" si="75"/>
        <v>3.7302665447680822E-2</v>
      </c>
      <c r="M70" s="3">
        <f t="shared" ca="1" si="75"/>
        <v>4.0562022653458291E-2</v>
      </c>
      <c r="N70" s="3">
        <f t="shared" ca="1" si="75"/>
        <v>3.8957362730000653E-2</v>
      </c>
      <c r="O70" s="3">
        <f t="shared" ca="1" si="75"/>
        <v>4.2795664983059659E-2</v>
      </c>
      <c r="P70" s="3">
        <f t="shared" ca="1" si="75"/>
        <v>4.0241144831225914E-2</v>
      </c>
      <c r="Q70" s="3">
        <f t="shared" ca="1" si="75"/>
        <v>4.6024294956264818E-2</v>
      </c>
      <c r="R70" s="3">
        <f t="shared" ca="1" si="75"/>
        <v>4.191166828764227E-2</v>
      </c>
      <c r="S70" s="3">
        <f t="shared" ca="1" si="75"/>
        <v>4.6873847772028923E-2</v>
      </c>
      <c r="T70" s="3">
        <f t="shared" ca="1" si="75"/>
        <v>4.4959304674914533E-2</v>
      </c>
      <c r="U70" s="3">
        <f t="shared" ca="1" si="75"/>
        <v>4.855990929066361E-2</v>
      </c>
      <c r="V70" s="3">
        <f t="shared" ca="1" si="75"/>
        <v>4.6338324384988444E-2</v>
      </c>
      <c r="W70" s="3">
        <f t="shared" ca="1" si="75"/>
        <v>5.1468205126993835E-2</v>
      </c>
      <c r="X70" s="3">
        <f t="shared" ca="1" si="75"/>
        <v>4.7057726883486639E-2</v>
      </c>
      <c r="Y70" s="3">
        <f t="shared" ca="1" si="75"/>
        <v>6.4779739090490063E-2</v>
      </c>
      <c r="Z70" s="3">
        <f t="shared" ca="1" si="75"/>
        <v>5.5872088863854953E-2</v>
      </c>
      <c r="AA70" s="3">
        <f t="shared" ca="1" si="75"/>
        <v>6.6680037263150027E-2</v>
      </c>
      <c r="AB70" s="3">
        <f t="shared" ref="AB70:AJ70" ca="1" si="84">MIN(0.99,AB13+$O$3)</f>
        <v>7.1572915731996561E-2</v>
      </c>
      <c r="AC70" s="3">
        <f t="shared" ca="1" si="76"/>
        <v>7.073975527038924E-2</v>
      </c>
      <c r="AD70" s="3">
        <f t="shared" ca="1" si="76"/>
        <v>8.2425180076383719E-2</v>
      </c>
      <c r="AE70" s="3">
        <f t="shared" ca="1" si="76"/>
        <v>7.2044383971809012E-2</v>
      </c>
      <c r="AF70" s="3">
        <f t="shared" ca="1" si="76"/>
        <v>9.6754139627984154E-2</v>
      </c>
      <c r="AG70" s="3">
        <f t="shared" ca="1" si="76"/>
        <v>7.8947626053339104E-2</v>
      </c>
      <c r="AH70" s="3">
        <f t="shared" ca="1" si="76"/>
        <v>0.11807559477383098</v>
      </c>
      <c r="AI70" s="3">
        <f t="shared" ca="1" si="76"/>
        <v>0.10863095914956197</v>
      </c>
      <c r="AJ70" s="3">
        <f t="shared" ca="1" si="76"/>
        <v>0.15298028422176521</v>
      </c>
    </row>
    <row r="71" spans="1:36" x14ac:dyDescent="0.35">
      <c r="A71" t="s">
        <v>86</v>
      </c>
      <c r="B71" t="s">
        <v>85</v>
      </c>
      <c r="C71" s="4">
        <v>4</v>
      </c>
      <c r="D71" s="3">
        <f t="shared" ca="1" si="77"/>
        <v>3.162961724896652E-2</v>
      </c>
      <c r="E71" s="3">
        <f t="shared" ca="1" si="75"/>
        <v>3.2066987547093681E-2</v>
      </c>
      <c r="F71" s="3">
        <f t="shared" ca="1" si="75"/>
        <v>3.2498572391044547E-2</v>
      </c>
      <c r="G71" s="3">
        <f t="shared" ca="1" si="75"/>
        <v>3.5052628416014989E-2</v>
      </c>
      <c r="H71" s="3">
        <f t="shared" ca="1" si="75"/>
        <v>3.4662373760410259E-2</v>
      </c>
      <c r="I71" s="3">
        <f t="shared" ca="1" si="75"/>
        <v>3.5686265189988062E-2</v>
      </c>
      <c r="J71" s="3">
        <f t="shared" ca="1" si="75"/>
        <v>3.7300377415806309E-2</v>
      </c>
      <c r="K71" s="3">
        <f t="shared" ca="1" si="75"/>
        <v>3.7715561210282932E-2</v>
      </c>
      <c r="L71" s="3">
        <f t="shared" ca="1" si="75"/>
        <v>3.8292834985149522E-2</v>
      </c>
      <c r="M71" s="3">
        <f t="shared" ca="1" si="75"/>
        <v>4.1519098356778097E-2</v>
      </c>
      <c r="N71" s="3">
        <f t="shared" ca="1" si="75"/>
        <v>3.9902148702828627E-2</v>
      </c>
      <c r="O71" s="3">
        <f t="shared" ca="1" si="75"/>
        <v>4.3732080658822454E-2</v>
      </c>
      <c r="P71" s="3">
        <f t="shared" ca="1" si="75"/>
        <v>4.1161031645641825E-2</v>
      </c>
      <c r="Q71" s="3">
        <f t="shared" ca="1" si="75"/>
        <v>4.6989267201643183E-2</v>
      </c>
      <c r="R71" s="3">
        <f t="shared" ca="1" si="75"/>
        <v>4.2886865206893394E-2</v>
      </c>
      <c r="S71" s="3">
        <f t="shared" ca="1" si="75"/>
        <v>4.7861370506906364E-2</v>
      </c>
      <c r="T71" s="3">
        <f t="shared" ca="1" si="75"/>
        <v>4.5897254666511678E-2</v>
      </c>
      <c r="U71" s="3">
        <f t="shared" ca="1" si="75"/>
        <v>4.9501120818672514E-2</v>
      </c>
      <c r="V71" s="3">
        <f t="shared" ca="1" si="75"/>
        <v>4.7285162054747525E-2</v>
      </c>
      <c r="W71" s="3">
        <f t="shared" ca="1" si="75"/>
        <v>5.2458735040868634E-2</v>
      </c>
      <c r="X71" s="3">
        <f t="shared" ca="1" si="75"/>
        <v>4.7964780194530668E-2</v>
      </c>
      <c r="Y71" s="3">
        <f t="shared" ca="1" si="75"/>
        <v>6.576945445585905E-2</v>
      </c>
      <c r="Z71" s="3">
        <f t="shared" ca="1" si="75"/>
        <v>5.6820884973025815E-2</v>
      </c>
      <c r="AA71" s="3">
        <f t="shared" ca="1" si="75"/>
        <v>6.7631986965630192E-2</v>
      </c>
      <c r="AB71" s="3">
        <f t="shared" ref="AB71:AJ71" ca="1" si="85">MIN(0.99,AB14+$O$3)</f>
        <v>7.2507048359358978E-2</v>
      </c>
      <c r="AC71" s="3">
        <f t="shared" ca="1" si="76"/>
        <v>7.1708665027764462E-2</v>
      </c>
      <c r="AD71" s="3">
        <f t="shared" ca="1" si="76"/>
        <v>8.3377039166776412E-2</v>
      </c>
      <c r="AE71" s="3">
        <f t="shared" ca="1" si="76"/>
        <v>7.3020614491085212E-2</v>
      </c>
      <c r="AF71" s="3">
        <f t="shared" ca="1" si="76"/>
        <v>9.76593706878153E-2</v>
      </c>
      <c r="AG71" s="3">
        <f t="shared" ca="1" si="76"/>
        <v>7.993784813824556E-2</v>
      </c>
      <c r="AH71" s="3">
        <f t="shared" ca="1" si="76"/>
        <v>0.11902239334711281</v>
      </c>
      <c r="AI71" s="3">
        <f t="shared" ca="1" si="76"/>
        <v>0.10954326671066045</v>
      </c>
      <c r="AJ71" s="3">
        <f t="shared" ca="1" si="76"/>
        <v>0.15389787378258291</v>
      </c>
    </row>
    <row r="72" spans="1:36" x14ac:dyDescent="0.35">
      <c r="A72" t="s">
        <v>86</v>
      </c>
      <c r="B72" t="s">
        <v>85</v>
      </c>
      <c r="C72" s="4" t="s">
        <v>78</v>
      </c>
      <c r="D72" s="3">
        <f t="shared" ca="1" si="77"/>
        <v>3.2531213221513734E-2</v>
      </c>
      <c r="E72" s="3">
        <f t="shared" ca="1" si="75"/>
        <v>3.2997611022994949E-2</v>
      </c>
      <c r="F72" s="3">
        <f t="shared" ca="1" si="75"/>
        <v>3.3496744524062393E-2</v>
      </c>
      <c r="G72" s="3">
        <f t="shared" ca="1" si="75"/>
        <v>3.6019224114878977E-2</v>
      </c>
      <c r="H72" s="3">
        <f t="shared" ca="1" si="75"/>
        <v>3.563128811654858E-2</v>
      </c>
      <c r="I72" s="3">
        <f t="shared" ca="1" si="75"/>
        <v>3.6665740226050764E-2</v>
      </c>
      <c r="J72" s="3">
        <f t="shared" ca="1" si="75"/>
        <v>3.8202152794404691E-2</v>
      </c>
      <c r="K72" s="3">
        <f t="shared" ca="1" si="75"/>
        <v>3.8669982648700772E-2</v>
      </c>
      <c r="L72" s="3">
        <f t="shared" ca="1" si="75"/>
        <v>3.9197182920790247E-2</v>
      </c>
      <c r="M72" s="3">
        <f t="shared" ca="1" si="75"/>
        <v>4.2485422828634212E-2</v>
      </c>
      <c r="N72" s="3">
        <f t="shared" ca="1" si="75"/>
        <v>4.0868580070522437E-2</v>
      </c>
      <c r="O72" s="3">
        <f t="shared" ca="1" si="75"/>
        <v>4.4707282060964512E-2</v>
      </c>
      <c r="P72" s="3">
        <f t="shared" ca="1" si="75"/>
        <v>4.2077362858435857E-2</v>
      </c>
      <c r="Q72" s="3">
        <f t="shared" ca="1" si="75"/>
        <v>4.7899106940116329E-2</v>
      </c>
      <c r="R72" s="3">
        <f t="shared" ca="1" si="75"/>
        <v>4.3882914682574339E-2</v>
      </c>
      <c r="S72" s="3">
        <f t="shared" ca="1" si="75"/>
        <v>4.8771198171608215E-2</v>
      </c>
      <c r="T72" s="3">
        <f t="shared" ca="1" si="75"/>
        <v>4.6816352792149449E-2</v>
      </c>
      <c r="U72" s="3">
        <f t="shared" ca="1" si="75"/>
        <v>5.0440820995306918E-2</v>
      </c>
      <c r="V72" s="3">
        <f t="shared" ca="1" si="75"/>
        <v>4.8275518346809737E-2</v>
      </c>
      <c r="W72" s="3">
        <f t="shared" ca="1" si="75"/>
        <v>5.339361219537344E-2</v>
      </c>
      <c r="X72" s="3">
        <f t="shared" ca="1" si="75"/>
        <v>4.8874787933610782E-2</v>
      </c>
      <c r="Y72" s="3">
        <f t="shared" ca="1" si="75"/>
        <v>6.6765790904436628E-2</v>
      </c>
      <c r="Z72" s="3">
        <f t="shared" ca="1" si="75"/>
        <v>5.7807567047909091E-2</v>
      </c>
      <c r="AA72" s="3">
        <f t="shared" ca="1" si="75"/>
        <v>6.8561627783767065E-2</v>
      </c>
      <c r="AB72" s="3">
        <f t="shared" ref="AB72:AJ72" ca="1" si="86">MIN(0.99,AB15+$O$3)</f>
        <v>7.3444957635489319E-2</v>
      </c>
      <c r="AC72" s="3">
        <f t="shared" ca="1" si="76"/>
        <v>7.2682605945987605E-2</v>
      </c>
      <c r="AD72" s="3">
        <f t="shared" ca="1" si="76"/>
        <v>8.4298189879144905E-2</v>
      </c>
      <c r="AE72" s="3">
        <f t="shared" ca="1" si="76"/>
        <v>7.3949329867163099E-2</v>
      </c>
      <c r="AF72" s="3">
        <f t="shared" ca="1" si="76"/>
        <v>9.864483441434066E-2</v>
      </c>
      <c r="AG72" s="3">
        <f t="shared" ca="1" si="76"/>
        <v>8.0887356182455905E-2</v>
      </c>
      <c r="AH72" s="3">
        <f t="shared" ca="1" si="76"/>
        <v>0.11996222503549345</v>
      </c>
      <c r="AI72" s="3">
        <f t="shared" ca="1" si="76"/>
        <v>0.11054274690801694</v>
      </c>
      <c r="AJ72" s="3">
        <f t="shared" ca="1" si="76"/>
        <v>0.1548135406444561</v>
      </c>
    </row>
    <row r="73" spans="1:36" x14ac:dyDescent="0.35">
      <c r="A73" t="s">
        <v>86</v>
      </c>
      <c r="B73" t="s">
        <v>85</v>
      </c>
      <c r="C73" s="4" t="s">
        <v>79</v>
      </c>
      <c r="D73" s="3">
        <f t="shared" ca="1" si="77"/>
        <v>3.3451617813966494E-2</v>
      </c>
      <c r="E73" s="3">
        <f t="shared" ca="1" si="75"/>
        <v>3.3949161925832166E-2</v>
      </c>
      <c r="F73" s="3">
        <f t="shared" ca="1" si="75"/>
        <v>3.4405604302188204E-2</v>
      </c>
      <c r="G73" s="3">
        <f t="shared" ca="1" si="75"/>
        <v>3.693761684736737E-2</v>
      </c>
      <c r="H73" s="3">
        <f t="shared" ca="1" si="75"/>
        <v>3.660674446766049E-2</v>
      </c>
      <c r="I73" s="3">
        <f t="shared" ca="1" si="75"/>
        <v>3.7575321846165771E-2</v>
      </c>
      <c r="J73" s="3">
        <f t="shared" ca="1" si="75"/>
        <v>3.9129360825451105E-2</v>
      </c>
      <c r="K73" s="3">
        <f t="shared" ca="1" si="75"/>
        <v>3.9583272880607881E-2</v>
      </c>
      <c r="L73" s="3">
        <f t="shared" ca="1" si="75"/>
        <v>4.0155632246308803E-2</v>
      </c>
      <c r="M73" s="3">
        <f t="shared" ca="1" si="75"/>
        <v>4.3405105799961277E-2</v>
      </c>
      <c r="N73" s="3">
        <f t="shared" ca="1" si="75"/>
        <v>4.1831130033528584E-2</v>
      </c>
      <c r="O73" s="3">
        <f t="shared" ca="1" si="75"/>
        <v>4.5617186110869512E-2</v>
      </c>
      <c r="P73" s="3">
        <f t="shared" ca="1" si="75"/>
        <v>4.3015998394096901E-2</v>
      </c>
      <c r="Q73" s="3">
        <f t="shared" ca="1" si="75"/>
        <v>4.8837520580387442E-2</v>
      </c>
      <c r="R73" s="3">
        <f t="shared" ca="1" si="75"/>
        <v>4.4829409898740222E-2</v>
      </c>
      <c r="S73" s="3">
        <f t="shared" ca="1" si="75"/>
        <v>4.9674425258230875E-2</v>
      </c>
      <c r="T73" s="3">
        <f t="shared" ca="1" si="75"/>
        <v>4.7770262819655518E-2</v>
      </c>
      <c r="U73" s="3">
        <f t="shared" ca="1" si="75"/>
        <v>5.1365568603319159E-2</v>
      </c>
      <c r="V73" s="3">
        <f t="shared" ca="1" si="75"/>
        <v>4.9233939266302963E-2</v>
      </c>
      <c r="W73" s="3">
        <f t="shared" ca="1" si="75"/>
        <v>5.4352864300879454E-2</v>
      </c>
      <c r="X73" s="3">
        <f t="shared" ca="1" si="75"/>
        <v>4.9776916964802721E-2</v>
      </c>
      <c r="Y73" s="3">
        <f t="shared" ca="1" si="75"/>
        <v>6.7750018148063001E-2</v>
      </c>
      <c r="Z73" s="3">
        <f t="shared" ca="1" si="75"/>
        <v>5.8769052170168819E-2</v>
      </c>
      <c r="AA73" s="3">
        <f t="shared" ca="1" si="75"/>
        <v>6.9512453544164327E-2</v>
      </c>
      <c r="AB73" s="3">
        <f t="shared" ref="AB73:AJ73" ca="1" si="87">MIN(0.99,AB16+$O$3)</f>
        <v>7.4380416040655456E-2</v>
      </c>
      <c r="AC73" s="3">
        <f t="shared" ca="1" si="76"/>
        <v>7.3602822818956651E-2</v>
      </c>
      <c r="AD73" s="3">
        <f t="shared" ca="1" si="76"/>
        <v>8.5211153828906774E-2</v>
      </c>
      <c r="AE73" s="3">
        <f t="shared" ca="1" si="76"/>
        <v>7.4934261140456759E-2</v>
      </c>
      <c r="AF73" s="3">
        <f t="shared" ca="1" si="76"/>
        <v>9.9599118693413174E-2</v>
      </c>
      <c r="AG73" s="3">
        <f t="shared" ca="1" si="76"/>
        <v>8.1814936402397981E-2</v>
      </c>
      <c r="AH73" s="3">
        <f t="shared" ca="1" si="76"/>
        <v>0.12088073576340794</v>
      </c>
      <c r="AI73" s="3">
        <f t="shared" ca="1" si="76"/>
        <v>0.11151758843080442</v>
      </c>
      <c r="AJ73" s="3">
        <f t="shared" ca="1" si="76"/>
        <v>0.15579316604940943</v>
      </c>
    </row>
    <row r="74" spans="1:36" x14ac:dyDescent="0.35">
      <c r="A74" t="s">
        <v>86</v>
      </c>
      <c r="B74" t="s">
        <v>85</v>
      </c>
      <c r="C74" s="4">
        <v>5</v>
      </c>
      <c r="D74" s="3">
        <f t="shared" ca="1" si="77"/>
        <v>3.4392694656479636E-2</v>
      </c>
      <c r="E74" s="3">
        <f t="shared" ca="1" si="75"/>
        <v>3.4890518099244185E-2</v>
      </c>
      <c r="F74" s="3">
        <f t="shared" ca="1" si="75"/>
        <v>3.5330031950532637E-2</v>
      </c>
      <c r="G74" s="3">
        <f t="shared" ca="1" si="75"/>
        <v>3.7921741872031775E-2</v>
      </c>
      <c r="H74" s="3">
        <f t="shared" ca="1" si="75"/>
        <v>3.7572820702404419E-2</v>
      </c>
      <c r="I74" s="3">
        <f t="shared" ca="1" si="75"/>
        <v>3.8517930173264846E-2</v>
      </c>
      <c r="J74" s="3">
        <f t="shared" ca="1" si="75"/>
        <v>4.0120403365020818E-2</v>
      </c>
      <c r="K74" s="3">
        <f t="shared" ca="1" si="75"/>
        <v>4.0506460942454796E-2</v>
      </c>
      <c r="L74" s="3">
        <f t="shared" ca="1" si="75"/>
        <v>4.1061713356723976E-2</v>
      </c>
      <c r="M74" s="3">
        <f t="shared" ca="1" si="75"/>
        <v>4.4386825280524317E-2</v>
      </c>
      <c r="N74" s="3">
        <f t="shared" ca="1" si="75"/>
        <v>4.2803101826870943E-2</v>
      </c>
      <c r="O74" s="3">
        <f t="shared" ca="1" si="75"/>
        <v>4.6605050246765138E-2</v>
      </c>
      <c r="P74" s="3">
        <f t="shared" ca="1" si="75"/>
        <v>4.3941456427646977E-2</v>
      </c>
      <c r="Q74" s="3">
        <f t="shared" ca="1" si="75"/>
        <v>4.9818847169140673E-2</v>
      </c>
      <c r="R74" s="3">
        <f t="shared" ca="1" si="75"/>
        <v>4.5815171369449834E-2</v>
      </c>
      <c r="S74" s="3">
        <f t="shared" ca="1" si="75"/>
        <v>5.0669135115923539E-2</v>
      </c>
      <c r="T74" s="3">
        <f t="shared" ca="1" si="75"/>
        <v>4.8755571928044111E-2</v>
      </c>
      <c r="U74" s="3">
        <f t="shared" ca="1" si="75"/>
        <v>5.2355343013375778E-2</v>
      </c>
      <c r="V74" s="3">
        <f t="shared" ref="E74:AA85" ca="1" si="88">MIN(0.99,V17+$O$3)</f>
        <v>5.0215501567028295E-2</v>
      </c>
      <c r="W74" s="3">
        <f t="shared" ca="1" si="88"/>
        <v>5.5334012476256585E-2</v>
      </c>
      <c r="X74" s="3">
        <f t="shared" ca="1" si="88"/>
        <v>5.0751737019282143E-2</v>
      </c>
      <c r="Y74" s="3">
        <f t="shared" ca="1" si="88"/>
        <v>6.8690879165381927E-2</v>
      </c>
      <c r="Z74" s="3">
        <f t="shared" ca="1" si="88"/>
        <v>5.9741004079169775E-2</v>
      </c>
      <c r="AA74" s="3">
        <f t="shared" ca="1" si="88"/>
        <v>7.0444374800700663E-2</v>
      </c>
      <c r="AB74" s="3">
        <f t="shared" ref="AB74:AJ74" ca="1" si="89">MIN(0.99,AB17+$O$3)</f>
        <v>7.5310104584581969E-2</v>
      </c>
      <c r="AC74" s="3">
        <f t="shared" ca="1" si="76"/>
        <v>7.4572412537637758E-2</v>
      </c>
      <c r="AD74" s="3">
        <f t="shared" ca="1" si="76"/>
        <v>8.6156608441624677E-2</v>
      </c>
      <c r="AE74" s="3">
        <f t="shared" ca="1" si="76"/>
        <v>7.5927266887639538E-2</v>
      </c>
      <c r="AF74" s="3">
        <f t="shared" ca="1" si="76"/>
        <v>0.10057524610198981</v>
      </c>
      <c r="AG74" s="3">
        <f t="shared" ca="1" si="76"/>
        <v>8.2774147890367994E-2</v>
      </c>
      <c r="AH74" s="3">
        <f t="shared" ca="1" si="76"/>
        <v>0.1217987642405747</v>
      </c>
      <c r="AI74" s="3">
        <f t="shared" ca="1" si="76"/>
        <v>0.11250637948360417</v>
      </c>
      <c r="AJ74" s="3">
        <f t="shared" ca="1" si="76"/>
        <v>0.15670343261216016</v>
      </c>
    </row>
    <row r="75" spans="1:36" x14ac:dyDescent="0.35">
      <c r="A75" t="s">
        <v>86</v>
      </c>
      <c r="B75" t="s">
        <v>85</v>
      </c>
      <c r="C75" s="4" t="s">
        <v>80</v>
      </c>
      <c r="D75" s="3">
        <f t="shared" ca="1" si="77"/>
        <v>3.5351773931649969E-2</v>
      </c>
      <c r="E75" s="3">
        <f t="shared" ca="1" si="88"/>
        <v>3.5801848053367349E-2</v>
      </c>
      <c r="F75" s="3">
        <f t="shared" ca="1" si="88"/>
        <v>3.6247465381353719E-2</v>
      </c>
      <c r="G75" s="3">
        <f t="shared" ca="1" si="88"/>
        <v>3.8848825586554989E-2</v>
      </c>
      <c r="H75" s="3">
        <f t="shared" ca="1" si="88"/>
        <v>3.8504000585793771E-2</v>
      </c>
      <c r="I75" s="3">
        <f t="shared" ca="1" si="88"/>
        <v>3.9430748797970497E-2</v>
      </c>
      <c r="J75" s="3">
        <f t="shared" ca="1" si="88"/>
        <v>4.1031801178841948E-2</v>
      </c>
      <c r="K75" s="3">
        <f t="shared" ca="1" si="88"/>
        <v>4.1424873757696545E-2</v>
      </c>
      <c r="L75" s="3">
        <f t="shared" ca="1" si="88"/>
        <v>4.2042143848580779E-2</v>
      </c>
      <c r="M75" s="3">
        <f t="shared" ca="1" si="88"/>
        <v>4.5314487648356508E-2</v>
      </c>
      <c r="N75" s="3">
        <f t="shared" ca="1" si="88"/>
        <v>4.3735174762869394E-2</v>
      </c>
      <c r="O75" s="3">
        <f t="shared" ca="1" si="88"/>
        <v>4.7557614029780079E-2</v>
      </c>
      <c r="P75" s="3">
        <f t="shared" ca="1" si="88"/>
        <v>4.484694908048481E-2</v>
      </c>
      <c r="Q75" s="3">
        <f t="shared" ca="1" si="88"/>
        <v>5.0798008213529269E-2</v>
      </c>
      <c r="R75" s="3">
        <f t="shared" ca="1" si="88"/>
        <v>4.6739080216049889E-2</v>
      </c>
      <c r="S75" s="3">
        <f t="shared" ca="1" si="88"/>
        <v>5.1632501724534263E-2</v>
      </c>
      <c r="T75" s="3">
        <f t="shared" ca="1" si="88"/>
        <v>4.973572370477717E-2</v>
      </c>
      <c r="U75" s="3">
        <f t="shared" ca="1" si="88"/>
        <v>5.3344737384149299E-2</v>
      </c>
      <c r="V75" s="3">
        <f t="shared" ca="1" si="88"/>
        <v>5.1137387459350647E-2</v>
      </c>
      <c r="W75" s="3">
        <f t="shared" ca="1" si="88"/>
        <v>5.6330402039918126E-2</v>
      </c>
      <c r="X75" s="3">
        <f t="shared" ca="1" si="88"/>
        <v>5.1723931911511714E-2</v>
      </c>
      <c r="Y75" s="3">
        <f t="shared" ca="1" si="88"/>
        <v>6.9674554177941495E-2</v>
      </c>
      <c r="Z75" s="3">
        <f t="shared" ca="1" si="88"/>
        <v>6.0661601632961228E-2</v>
      </c>
      <c r="AA75" s="3">
        <f t="shared" ca="1" si="88"/>
        <v>7.1355555041510629E-2</v>
      </c>
      <c r="AB75" s="3">
        <f t="shared" ref="AB75:AJ75" ca="1" si="90">MIN(0.99,AB18+$O$3)</f>
        <v>7.627925136558214E-2</v>
      </c>
      <c r="AC75" s="3">
        <f t="shared" ca="1" si="76"/>
        <v>7.5512363326338483E-2</v>
      </c>
      <c r="AD75" s="3">
        <f t="shared" ca="1" si="76"/>
        <v>8.7153533548577633E-2</v>
      </c>
      <c r="AE75" s="3">
        <f t="shared" ca="1" si="76"/>
        <v>7.6919234787426738E-2</v>
      </c>
      <c r="AF75" s="3">
        <f t="shared" ca="1" si="76"/>
        <v>0.1015566190787677</v>
      </c>
      <c r="AG75" s="3">
        <f t="shared" ca="1" si="76"/>
        <v>8.3679119417618866E-2</v>
      </c>
      <c r="AH75" s="3">
        <f t="shared" ca="1" si="76"/>
        <v>0.12279724441090237</v>
      </c>
      <c r="AI75" s="3">
        <f t="shared" ca="1" si="76"/>
        <v>0.11347737915528408</v>
      </c>
      <c r="AJ75" s="3">
        <f t="shared" ca="1" si="76"/>
        <v>0.15763130220388544</v>
      </c>
    </row>
    <row r="76" spans="1:36" x14ac:dyDescent="0.35">
      <c r="A76" t="s">
        <v>86</v>
      </c>
      <c r="B76" t="s">
        <v>85</v>
      </c>
      <c r="C76" s="4" t="s">
        <v>81</v>
      </c>
      <c r="D76" s="3">
        <f t="shared" ca="1" si="77"/>
        <v>3.6287467546807048E-2</v>
      </c>
      <c r="E76" s="3">
        <f t="shared" ca="1" si="88"/>
        <v>3.6799439716605167E-2</v>
      </c>
      <c r="F76" s="3">
        <f t="shared" ca="1" si="88"/>
        <v>3.7168110591174267E-2</v>
      </c>
      <c r="G76" s="3">
        <f t="shared" ca="1" si="88"/>
        <v>3.9830304448688694E-2</v>
      </c>
      <c r="H76" s="3">
        <f t="shared" ca="1" si="88"/>
        <v>3.9460081563107888E-2</v>
      </c>
      <c r="I76" s="3">
        <f t="shared" ca="1" si="88"/>
        <v>4.0378305616512566E-2</v>
      </c>
      <c r="J76" s="3">
        <f t="shared" ca="1" si="88"/>
        <v>4.2031129452598542E-2</v>
      </c>
      <c r="K76" s="3">
        <f t="shared" ca="1" si="88"/>
        <v>4.2355012176682923E-2</v>
      </c>
      <c r="L76" s="3">
        <f t="shared" ca="1" si="88"/>
        <v>4.3035584942616376E-2</v>
      </c>
      <c r="M76" s="3">
        <f t="shared" ca="1" si="88"/>
        <v>4.6236126873448288E-2</v>
      </c>
      <c r="N76" s="3">
        <f t="shared" ca="1" si="88"/>
        <v>4.4725530448257174E-2</v>
      </c>
      <c r="O76" s="3">
        <f t="shared" ca="1" si="88"/>
        <v>4.8508461601667677E-2</v>
      </c>
      <c r="P76" s="3">
        <f t="shared" ca="1" si="88"/>
        <v>4.5843279472699033E-2</v>
      </c>
      <c r="Q76" s="3">
        <f t="shared" ca="1" si="88"/>
        <v>5.174307717582239E-2</v>
      </c>
      <c r="R76" s="3">
        <f t="shared" ca="1" si="88"/>
        <v>4.7726764650881839E-2</v>
      </c>
      <c r="S76" s="3">
        <f t="shared" ca="1" si="88"/>
        <v>5.2608698272936169E-2</v>
      </c>
      <c r="T76" s="3">
        <f t="shared" ca="1" si="88"/>
        <v>5.0682733470650762E-2</v>
      </c>
      <c r="U76" s="3">
        <f t="shared" ca="1" si="88"/>
        <v>5.4273490945163039E-2</v>
      </c>
      <c r="V76" s="3">
        <f t="shared" ca="1" si="88"/>
        <v>5.2093872015896069E-2</v>
      </c>
      <c r="W76" s="3">
        <f t="shared" ca="1" si="88"/>
        <v>5.7260792071493247E-2</v>
      </c>
      <c r="X76" s="3">
        <f t="shared" ca="1" si="88"/>
        <v>5.2630145676290721E-2</v>
      </c>
      <c r="Y76" s="3">
        <f t="shared" ca="1" si="88"/>
        <v>7.0587819182334977E-2</v>
      </c>
      <c r="Z76" s="3">
        <f t="shared" ca="1" si="88"/>
        <v>6.1581680407734221E-2</v>
      </c>
      <c r="AA76" s="3">
        <f t="shared" ca="1" si="88"/>
        <v>7.2256913604067774E-2</v>
      </c>
      <c r="AB76" s="3">
        <f t="shared" ref="AB76:AJ76" ca="1" si="91">MIN(0.99,AB19+$O$3)</f>
        <v>7.7180148342159027E-2</v>
      </c>
      <c r="AC76" s="3">
        <f t="shared" ca="1" si="76"/>
        <v>7.6430344217926077E-2</v>
      </c>
      <c r="AD76" s="3">
        <f t="shared" ca="1" si="76"/>
        <v>8.8139908860749405E-2</v>
      </c>
      <c r="AE76" s="3">
        <f t="shared" ca="1" si="76"/>
        <v>7.7914172312061936E-2</v>
      </c>
      <c r="AF76" s="3">
        <f t="shared" ca="1" si="76"/>
        <v>0.10246407925043716</v>
      </c>
      <c r="AG76" s="3">
        <f t="shared" ca="1" si="76"/>
        <v>8.463783469405825E-2</v>
      </c>
      <c r="AH76" s="3">
        <f t="shared" ca="1" si="76"/>
        <v>0.12373356308585565</v>
      </c>
      <c r="AI76" s="3">
        <f t="shared" ca="1" si="76"/>
        <v>0.11442309894741104</v>
      </c>
      <c r="AJ76" s="3">
        <f t="shared" ca="1" si="76"/>
        <v>0.15861544768541896</v>
      </c>
    </row>
    <row r="77" spans="1:36" x14ac:dyDescent="0.35">
      <c r="A77" t="s">
        <v>86</v>
      </c>
      <c r="B77" t="s">
        <v>85</v>
      </c>
      <c r="C77" s="4">
        <v>6</v>
      </c>
      <c r="D77" s="3">
        <f t="shared" ca="1" si="77"/>
        <v>3.7272096852670487E-2</v>
      </c>
      <c r="E77" s="3">
        <f t="shared" ca="1" si="88"/>
        <v>3.7741952086140264E-2</v>
      </c>
      <c r="F77" s="3">
        <f t="shared" ca="1" si="88"/>
        <v>3.8141622006834172E-2</v>
      </c>
      <c r="G77" s="3">
        <f t="shared" ca="1" si="88"/>
        <v>4.0733324978217786E-2</v>
      </c>
      <c r="H77" s="3">
        <f t="shared" ca="1" si="88"/>
        <v>4.0405038231334907E-2</v>
      </c>
      <c r="I77" s="3">
        <f t="shared" ca="1" si="88"/>
        <v>4.1308435495173157E-2</v>
      </c>
      <c r="J77" s="3">
        <f t="shared" ca="1" si="88"/>
        <v>4.3002617153295356E-2</v>
      </c>
      <c r="K77" s="3">
        <f t="shared" ca="1" si="88"/>
        <v>4.3289595095036756E-2</v>
      </c>
      <c r="L77" s="3">
        <f t="shared" ca="1" si="88"/>
        <v>4.4010167922998389E-2</v>
      </c>
      <c r="M77" s="3">
        <f t="shared" ca="1" si="88"/>
        <v>4.7203776790779584E-2</v>
      </c>
      <c r="N77" s="3">
        <f t="shared" ca="1" si="88"/>
        <v>4.5657836556008052E-2</v>
      </c>
      <c r="O77" s="3">
        <f t="shared" ca="1" si="88"/>
        <v>4.9435235537850314E-2</v>
      </c>
      <c r="P77" s="3">
        <f t="shared" ca="1" si="88"/>
        <v>4.6813163056806439E-2</v>
      </c>
      <c r="Q77" s="3">
        <f t="shared" ca="1" si="88"/>
        <v>5.2659670682821499E-2</v>
      </c>
      <c r="R77" s="3">
        <f t="shared" ca="1" si="88"/>
        <v>4.865827432891931E-2</v>
      </c>
      <c r="S77" s="3">
        <f t="shared" ca="1" si="88"/>
        <v>5.3582825819937438E-2</v>
      </c>
      <c r="T77" s="3">
        <f t="shared" ca="1" si="88"/>
        <v>5.1645195841634704E-2</v>
      </c>
      <c r="U77" s="3">
        <f t="shared" ca="1" si="88"/>
        <v>5.5247389925240961E-2</v>
      </c>
      <c r="V77" s="3">
        <f t="shared" ca="1" si="88"/>
        <v>5.3003528479935919E-2</v>
      </c>
      <c r="W77" s="3">
        <f t="shared" ca="1" si="88"/>
        <v>5.8260272557253703E-2</v>
      </c>
      <c r="X77" s="3">
        <f t="shared" ca="1" si="88"/>
        <v>5.3569085329601952E-2</v>
      </c>
      <c r="Y77" s="3">
        <f t="shared" ca="1" si="88"/>
        <v>7.1571635228697597E-2</v>
      </c>
      <c r="Z77" s="3">
        <f t="shared" ca="1" si="88"/>
        <v>6.2484260763572275E-2</v>
      </c>
      <c r="AA77" s="3">
        <f t="shared" ca="1" si="88"/>
        <v>7.3180256795380899E-2</v>
      </c>
      <c r="AB77" s="3">
        <f t="shared" ref="AB77:AJ77" ca="1" si="92">MIN(0.99,AB20+$O$3)</f>
        <v>7.8178930688432596E-2</v>
      </c>
      <c r="AC77" s="3">
        <f t="shared" ca="1" si="76"/>
        <v>7.7407387831742974E-2</v>
      </c>
      <c r="AD77" s="3">
        <f t="shared" ca="1" si="76"/>
        <v>8.9075849411550306E-2</v>
      </c>
      <c r="AE77" s="3">
        <f t="shared" ca="1" si="76"/>
        <v>7.8859833678554869E-2</v>
      </c>
      <c r="AF77" s="3">
        <f t="shared" ca="1" si="76"/>
        <v>0.10344283807891705</v>
      </c>
      <c r="AG77" s="3">
        <f t="shared" ca="1" si="76"/>
        <v>8.5554387249112268E-2</v>
      </c>
      <c r="AH77" s="3">
        <f t="shared" ca="1" si="76"/>
        <v>0.12465919973432635</v>
      </c>
      <c r="AI77" s="3">
        <f t="shared" ca="1" si="76"/>
        <v>0.11537869099694401</v>
      </c>
      <c r="AJ77" s="3">
        <f t="shared" ca="1" si="76"/>
        <v>0.15960720677105211</v>
      </c>
    </row>
    <row r="78" spans="1:36" x14ac:dyDescent="0.35">
      <c r="A78" t="s">
        <v>86</v>
      </c>
      <c r="B78" t="s">
        <v>85</v>
      </c>
      <c r="C78" s="4" t="s">
        <v>82</v>
      </c>
      <c r="D78" s="3">
        <f t="shared" ca="1" si="77"/>
        <v>3.8263812266776789E-2</v>
      </c>
      <c r="E78" s="3">
        <f t="shared" ca="1" si="88"/>
        <v>3.8732909303191058E-2</v>
      </c>
      <c r="F78" s="3">
        <f t="shared" ca="1" si="88"/>
        <v>3.9098791819076356E-2</v>
      </c>
      <c r="G78" s="3">
        <f t="shared" ca="1" si="88"/>
        <v>4.1657787312976535E-2</v>
      </c>
      <c r="H78" s="3">
        <f t="shared" ca="1" si="88"/>
        <v>4.1359137822923206E-2</v>
      </c>
      <c r="I78" s="3">
        <f t="shared" ca="1" si="88"/>
        <v>4.2220938576534299E-2</v>
      </c>
      <c r="J78" s="3">
        <f t="shared" ca="1" si="88"/>
        <v>4.3913804826462677E-2</v>
      </c>
      <c r="K78" s="3">
        <f t="shared" ca="1" si="88"/>
        <v>4.4230739249146847E-2</v>
      </c>
      <c r="L78" s="3">
        <f t="shared" ca="1" si="88"/>
        <v>4.4932939413809311E-2</v>
      </c>
      <c r="M78" s="3">
        <f t="shared" ca="1" si="88"/>
        <v>4.8145788593844711E-2</v>
      </c>
      <c r="N78" s="3">
        <f t="shared" ca="1" si="88"/>
        <v>4.6626853432754356E-2</v>
      </c>
      <c r="O78" s="3">
        <f t="shared" ca="1" si="88"/>
        <v>5.0411956162055474E-2</v>
      </c>
      <c r="P78" s="3">
        <f t="shared" ca="1" si="88"/>
        <v>4.7797656562763594E-2</v>
      </c>
      <c r="Q78" s="3">
        <f t="shared" ca="1" si="88"/>
        <v>5.3646484395261068E-2</v>
      </c>
      <c r="R78" s="3">
        <f t="shared" ca="1" si="88"/>
        <v>4.9641147430560376E-2</v>
      </c>
      <c r="S78" s="3">
        <f t="shared" ca="1" si="88"/>
        <v>5.4581708473058703E-2</v>
      </c>
      <c r="T78" s="3">
        <f t="shared" ca="1" si="88"/>
        <v>5.263243872449537E-2</v>
      </c>
      <c r="U78" s="3">
        <f t="shared" ca="1" si="88"/>
        <v>5.6160840021064085E-2</v>
      </c>
      <c r="V78" s="3">
        <f t="shared" ca="1" si="88"/>
        <v>5.3983365819813091E-2</v>
      </c>
      <c r="W78" s="3">
        <f t="shared" ca="1" si="88"/>
        <v>5.9189326402891207E-2</v>
      </c>
      <c r="X78" s="3">
        <f t="shared" ca="1" si="88"/>
        <v>5.4503971177556544E-2</v>
      </c>
      <c r="Y78" s="3">
        <f t="shared" ca="1" si="88"/>
        <v>7.2492419819020659E-2</v>
      </c>
      <c r="Z78" s="3">
        <f t="shared" ca="1" si="88"/>
        <v>6.3469083705149115E-2</v>
      </c>
      <c r="AA78" s="3">
        <f t="shared" ca="1" si="88"/>
        <v>7.4161684148165791E-2</v>
      </c>
      <c r="AB78" s="3">
        <f t="shared" ref="AB78:AJ78" ca="1" si="93">MIN(0.99,AB21+$O$3)</f>
        <v>7.908098469907672E-2</v>
      </c>
      <c r="AC78" s="3">
        <f t="shared" ca="1" si="76"/>
        <v>7.8324685025339028E-2</v>
      </c>
      <c r="AD78" s="3">
        <f t="shared" ca="1" si="76"/>
        <v>9.0025249828346171E-2</v>
      </c>
      <c r="AE78" s="3">
        <f t="shared" ca="1" si="76"/>
        <v>7.9855786329794259E-2</v>
      </c>
      <c r="AF78" s="3">
        <f t="shared" ca="1" si="76"/>
        <v>0.10444241168967833</v>
      </c>
      <c r="AG78" s="3">
        <f t="shared" ca="1" si="76"/>
        <v>8.6454474720507685E-2</v>
      </c>
      <c r="AH78" s="3">
        <f t="shared" ca="1" si="76"/>
        <v>0.1255718690412003</v>
      </c>
      <c r="AI78" s="3">
        <f t="shared" ca="1" si="76"/>
        <v>0.11633357844031292</v>
      </c>
      <c r="AJ78" s="3">
        <f t="shared" ca="1" si="76"/>
        <v>0.16056039003403713</v>
      </c>
    </row>
    <row r="79" spans="1:36" x14ac:dyDescent="0.35">
      <c r="A79" t="s">
        <v>86</v>
      </c>
      <c r="B79" t="s">
        <v>85</v>
      </c>
      <c r="C79" s="4" t="s">
        <v>83</v>
      </c>
      <c r="D79" s="3">
        <f t="shared" ca="1" si="77"/>
        <v>3.9258313325835098E-2</v>
      </c>
      <c r="E79" s="3">
        <f t="shared" ca="1" si="88"/>
        <v>3.9664422751371525E-2</v>
      </c>
      <c r="F79" s="3">
        <f t="shared" ca="1" si="88"/>
        <v>4.0044139420366401E-2</v>
      </c>
      <c r="G79" s="3">
        <f t="shared" ca="1" si="88"/>
        <v>4.265418337591359E-2</v>
      </c>
      <c r="H79" s="3">
        <f t="shared" ca="1" si="88"/>
        <v>4.2342934195328724E-2</v>
      </c>
      <c r="I79" s="3">
        <f t="shared" ca="1" si="88"/>
        <v>4.3208570208275683E-2</v>
      </c>
      <c r="J79" s="3">
        <f t="shared" ca="1" si="88"/>
        <v>4.4820944924715458E-2</v>
      </c>
      <c r="K79" s="3">
        <f t="shared" ca="1" si="88"/>
        <v>4.5211150414129264E-2</v>
      </c>
      <c r="L79" s="3">
        <f t="shared" ca="1" si="88"/>
        <v>4.5900842615034625E-2</v>
      </c>
      <c r="M79" s="3">
        <f t="shared" ca="1" si="88"/>
        <v>4.9089982830518256E-2</v>
      </c>
      <c r="N79" s="3">
        <f t="shared" ca="1" si="88"/>
        <v>4.7589694759775092E-2</v>
      </c>
      <c r="O79" s="3">
        <f t="shared" ca="1" si="88"/>
        <v>5.1340255688448494E-2</v>
      </c>
      <c r="P79" s="3">
        <f t="shared" ca="1" si="88"/>
        <v>4.8724828456456787E-2</v>
      </c>
      <c r="Q79" s="3">
        <f t="shared" ca="1" si="88"/>
        <v>5.4590752891357605E-2</v>
      </c>
      <c r="R79" s="3">
        <f t="shared" ca="1" si="88"/>
        <v>5.0587469340213118E-2</v>
      </c>
      <c r="S79" s="3">
        <f t="shared" ca="1" si="88"/>
        <v>5.5567772570547104E-2</v>
      </c>
      <c r="T79" s="3">
        <f t="shared" ca="1" si="88"/>
        <v>5.3597731180103449E-2</v>
      </c>
      <c r="U79" s="3">
        <f t="shared" ca="1" si="88"/>
        <v>5.7066878048339501E-2</v>
      </c>
      <c r="V79" s="3">
        <f t="shared" ca="1" si="88"/>
        <v>5.4965582589996904E-2</v>
      </c>
      <c r="W79" s="3">
        <f t="shared" ca="1" si="88"/>
        <v>6.0152745560524315E-2</v>
      </c>
      <c r="X79" s="3">
        <f t="shared" ca="1" si="88"/>
        <v>5.5411965868464981E-2</v>
      </c>
      <c r="Y79" s="3">
        <f t="shared" ca="1" si="88"/>
        <v>7.3405199454347675E-2</v>
      </c>
      <c r="Z79" s="3">
        <f t="shared" ca="1" si="88"/>
        <v>6.4446613190632829E-2</v>
      </c>
      <c r="AA79" s="3">
        <f t="shared" ca="1" si="88"/>
        <v>7.5147798083036135E-2</v>
      </c>
      <c r="AB79" s="3">
        <f t="shared" ref="AB79:AJ94" ca="1" si="94">MIN(0.99,AB22+$O$3)</f>
        <v>8.0012391787465179E-2</v>
      </c>
      <c r="AC79" s="3">
        <f t="shared" ca="1" si="94"/>
        <v>7.9249058594318758E-2</v>
      </c>
      <c r="AD79" s="3">
        <f t="shared" ca="1" si="94"/>
        <v>9.101270394870381E-2</v>
      </c>
      <c r="AE79" s="3">
        <f t="shared" ca="1" si="94"/>
        <v>8.076209949410762E-2</v>
      </c>
      <c r="AF79" s="3">
        <f t="shared" ca="1" si="94"/>
        <v>0.10540834006645985</v>
      </c>
      <c r="AG79" s="3">
        <f t="shared" ca="1" si="94"/>
        <v>8.7383140432970963E-2</v>
      </c>
      <c r="AH79" s="3">
        <f t="shared" ca="1" si="94"/>
        <v>0.12649350671209306</v>
      </c>
      <c r="AI79" s="3">
        <f t="shared" ca="1" si="94"/>
        <v>0.1172405897273513</v>
      </c>
      <c r="AJ79" s="3">
        <f t="shared" ca="1" si="94"/>
        <v>0.16152565964640186</v>
      </c>
    </row>
    <row r="80" spans="1:36" x14ac:dyDescent="0.35">
      <c r="A80" t="s">
        <v>86</v>
      </c>
      <c r="B80" t="s">
        <v>85</v>
      </c>
      <c r="C80" s="4">
        <v>7</v>
      </c>
      <c r="D80" s="3">
        <f t="shared" ca="1" si="77"/>
        <v>4.0200661918787045E-2</v>
      </c>
      <c r="E80" s="3">
        <f t="shared" ca="1" si="88"/>
        <v>4.059905084817899E-2</v>
      </c>
      <c r="F80" s="3">
        <f t="shared" ca="1" si="88"/>
        <v>4.0999908112302821E-2</v>
      </c>
      <c r="G80" s="3">
        <f t="shared" ca="1" si="88"/>
        <v>4.3602747294023927E-2</v>
      </c>
      <c r="H80" s="3">
        <f t="shared" ca="1" si="88"/>
        <v>4.3340927736579153E-2</v>
      </c>
      <c r="I80" s="3">
        <f t="shared" ca="1" si="88"/>
        <v>4.4160013680824957E-2</v>
      </c>
      <c r="J80" s="3">
        <f t="shared" ca="1" si="88"/>
        <v>4.5798636055544517E-2</v>
      </c>
      <c r="K80" s="3">
        <f t="shared" ca="1" si="88"/>
        <v>4.6147417078684756E-2</v>
      </c>
      <c r="L80" s="3">
        <f t="shared" ca="1" si="88"/>
        <v>4.6884361362201254E-2</v>
      </c>
      <c r="M80" s="3">
        <f t="shared" ca="1" si="88"/>
        <v>5.0066011617063047E-2</v>
      </c>
      <c r="N80" s="3">
        <f t="shared" ca="1" si="88"/>
        <v>4.8574935817173065E-2</v>
      </c>
      <c r="O80" s="3">
        <f t="shared" ca="1" si="88"/>
        <v>5.2243120872214832E-2</v>
      </c>
      <c r="P80" s="3">
        <f t="shared" ca="1" si="88"/>
        <v>4.9652615848860215E-2</v>
      </c>
      <c r="Q80" s="3">
        <f t="shared" ca="1" si="88"/>
        <v>5.5569733367876191E-2</v>
      </c>
      <c r="R80" s="3">
        <f t="shared" ca="1" si="88"/>
        <v>5.1576129199714077E-2</v>
      </c>
      <c r="S80" s="3">
        <f t="shared" ca="1" si="88"/>
        <v>5.6540739523052101E-2</v>
      </c>
      <c r="T80" s="3">
        <f t="shared" ca="1" si="88"/>
        <v>5.4548683447016848E-2</v>
      </c>
      <c r="U80" s="3">
        <f t="shared" ca="1" si="88"/>
        <v>5.8009804975175334E-2</v>
      </c>
      <c r="V80" s="3">
        <f t="shared" ca="1" si="88"/>
        <v>5.5950087490942865E-2</v>
      </c>
      <c r="W80" s="3">
        <f t="shared" ca="1" si="88"/>
        <v>6.1118232677885624E-2</v>
      </c>
      <c r="X80" s="3">
        <f t="shared" ca="1" si="88"/>
        <v>5.640561287175444E-2</v>
      </c>
      <c r="Y80" s="3">
        <f t="shared" ca="1" si="88"/>
        <v>7.4324381851075344E-2</v>
      </c>
      <c r="Z80" s="3">
        <f t="shared" ca="1" si="88"/>
        <v>6.5431863695245174E-2</v>
      </c>
      <c r="AA80" s="3">
        <f t="shared" ca="1" si="88"/>
        <v>7.6138623042467268E-2</v>
      </c>
      <c r="AB80" s="3">
        <f t="shared" ref="AB80:AJ80" ca="1" si="95">MIN(0.99,AB23+$O$3)</f>
        <v>8.0919633726327447E-2</v>
      </c>
      <c r="AC80" s="3">
        <f t="shared" ca="1" si="94"/>
        <v>8.0245991404705536E-2</v>
      </c>
      <c r="AD80" s="3">
        <f t="shared" ca="1" si="94"/>
        <v>9.1975947900684418E-2</v>
      </c>
      <c r="AE80" s="3">
        <f t="shared" ca="1" si="94"/>
        <v>8.1740836097137531E-2</v>
      </c>
      <c r="AF80" s="3">
        <f t="shared" ca="1" si="94"/>
        <v>0.1063693331031208</v>
      </c>
      <c r="AG80" s="3">
        <f t="shared" ca="1" si="94"/>
        <v>8.8340509896130237E-2</v>
      </c>
      <c r="AH80" s="3">
        <f t="shared" ca="1" si="94"/>
        <v>0.1274192847923204</v>
      </c>
      <c r="AI80" s="3">
        <f t="shared" ca="1" si="94"/>
        <v>0.11818489055439596</v>
      </c>
      <c r="AJ80" s="3">
        <f t="shared" ca="1" si="94"/>
        <v>0.16248251845596492</v>
      </c>
    </row>
    <row r="81" spans="1:36" x14ac:dyDescent="0.35">
      <c r="A81" t="s">
        <v>86</v>
      </c>
      <c r="B81" t="s">
        <v>85</v>
      </c>
      <c r="C81" s="4" t="s">
        <v>84</v>
      </c>
      <c r="D81" s="3">
        <f t="shared" ca="1" si="77"/>
        <v>4.1166562334712581E-2</v>
      </c>
      <c r="E81" s="3">
        <f t="shared" ca="1" si="88"/>
        <v>4.1590553464073116E-2</v>
      </c>
      <c r="F81" s="3">
        <f t="shared" ca="1" si="88"/>
        <v>4.1901849508042349E-2</v>
      </c>
      <c r="G81" s="3">
        <f t="shared" ca="1" si="88"/>
        <v>4.4564174319794272E-2</v>
      </c>
      <c r="H81" s="3">
        <f t="shared" ca="1" si="88"/>
        <v>4.4243459502794652E-2</v>
      </c>
      <c r="I81" s="3">
        <f t="shared" ca="1" si="88"/>
        <v>4.5069930142503253E-2</v>
      </c>
      <c r="J81" s="3">
        <f t="shared" ca="1" si="88"/>
        <v>4.6726024963811071E-2</v>
      </c>
      <c r="K81" s="3">
        <f t="shared" ca="1" si="88"/>
        <v>4.7088037481514064E-2</v>
      </c>
      <c r="L81" s="3">
        <f t="shared" ca="1" si="88"/>
        <v>4.7882835718398228E-2</v>
      </c>
      <c r="M81" s="3">
        <f t="shared" ca="1" si="88"/>
        <v>5.0982289432040986E-2</v>
      </c>
      <c r="N81" s="3">
        <f t="shared" ca="1" si="88"/>
        <v>4.9540296229596416E-2</v>
      </c>
      <c r="O81" s="3">
        <f t="shared" ca="1" si="88"/>
        <v>5.3221587420155814E-2</v>
      </c>
      <c r="P81" s="3">
        <f t="shared" ca="1" si="88"/>
        <v>5.059554141195792E-2</v>
      </c>
      <c r="Q81" s="3">
        <f t="shared" ca="1" si="88"/>
        <v>5.6536050711690655E-2</v>
      </c>
      <c r="R81" s="3">
        <f t="shared" ca="1" si="88"/>
        <v>5.2547172878563711E-2</v>
      </c>
      <c r="S81" s="3">
        <f t="shared" ca="1" si="88"/>
        <v>5.7509246908124131E-2</v>
      </c>
      <c r="T81" s="3">
        <f t="shared" ca="1" si="88"/>
        <v>5.5461461138448867E-2</v>
      </c>
      <c r="U81" s="3">
        <f t="shared" ca="1" si="88"/>
        <v>5.8964158194139742E-2</v>
      </c>
      <c r="V81" s="3">
        <f t="shared" ca="1" si="88"/>
        <v>5.6913496729225833E-2</v>
      </c>
      <c r="W81" s="3">
        <f t="shared" ca="1" si="88"/>
        <v>6.2083039935777205E-2</v>
      </c>
      <c r="X81" s="3">
        <f t="shared" ca="1" si="88"/>
        <v>5.7402057325229468E-2</v>
      </c>
      <c r="Y81" s="3">
        <f t="shared" ca="1" si="88"/>
        <v>7.5278663424839173E-2</v>
      </c>
      <c r="Z81" s="3">
        <f t="shared" ca="1" si="88"/>
        <v>6.6383456054049994E-2</v>
      </c>
      <c r="AA81" s="3">
        <f t="shared" ca="1" si="88"/>
        <v>7.7129865817589557E-2</v>
      </c>
      <c r="AB81" s="3">
        <f t="shared" ref="AB81:AJ81" ca="1" si="96">MIN(0.99,AB24+$O$3)</f>
        <v>8.1841084079429569E-2</v>
      </c>
      <c r="AC81" s="3">
        <f t="shared" ca="1" si="94"/>
        <v>8.1187457185954964E-2</v>
      </c>
      <c r="AD81" s="3">
        <f t="shared" ca="1" si="94"/>
        <v>9.2909162955906843E-2</v>
      </c>
      <c r="AE81" s="3">
        <f t="shared" ca="1" si="94"/>
        <v>8.2688942281851641E-2</v>
      </c>
      <c r="AF81" s="3">
        <f t="shared" ca="1" si="94"/>
        <v>0.10735952907102603</v>
      </c>
      <c r="AG81" s="3">
        <f t="shared" ca="1" si="94"/>
        <v>8.9326130414968674E-2</v>
      </c>
      <c r="AH81" s="3">
        <f t="shared" ca="1" si="94"/>
        <v>0.12839825560777446</v>
      </c>
      <c r="AI81" s="3">
        <f t="shared" ca="1" si="94"/>
        <v>0.11911156209015139</v>
      </c>
      <c r="AJ81" s="3">
        <f t="shared" ca="1" si="94"/>
        <v>0.16338586655357662</v>
      </c>
    </row>
    <row r="82" spans="1:36" x14ac:dyDescent="0.35">
      <c r="A82" t="s">
        <v>86</v>
      </c>
      <c r="B82" t="s">
        <v>70</v>
      </c>
      <c r="C82" s="4">
        <v>1</v>
      </c>
      <c r="D82" s="3">
        <f t="shared" ca="1" si="77"/>
        <v>2.4948915556580825E-2</v>
      </c>
      <c r="E82" s="3">
        <f t="shared" ca="1" si="88"/>
        <v>2.5491420718664195E-2</v>
      </c>
      <c r="F82" s="3">
        <f t="shared" ca="1" si="88"/>
        <v>2.582863646637551E-2</v>
      </c>
      <c r="G82" s="3">
        <f t="shared" ca="1" si="88"/>
        <v>2.8416183211137057E-2</v>
      </c>
      <c r="H82" s="3">
        <f t="shared" ca="1" si="88"/>
        <v>2.8005024141501758E-2</v>
      </c>
      <c r="I82" s="3">
        <f t="shared" ca="1" si="88"/>
        <v>2.9101024429384423E-2</v>
      </c>
      <c r="J82" s="3">
        <f t="shared" ca="1" si="88"/>
        <v>3.0816314808947125E-2</v>
      </c>
      <c r="K82" s="3">
        <f t="shared" ca="1" si="88"/>
        <v>3.1214994584677899E-2</v>
      </c>
      <c r="L82" s="3">
        <f t="shared" ca="1" si="88"/>
        <v>3.1822022760135862E-2</v>
      </c>
      <c r="M82" s="3">
        <f t="shared" ca="1" si="88"/>
        <v>3.4907570382466169E-2</v>
      </c>
      <c r="N82" s="3">
        <f t="shared" ca="1" si="88"/>
        <v>3.3251118007418312E-2</v>
      </c>
      <c r="O82" s="3">
        <f t="shared" ca="1" si="88"/>
        <v>3.7209652031731599E-2</v>
      </c>
      <c r="P82" s="3">
        <f t="shared" ca="1" si="88"/>
        <v>3.4555720538694615E-2</v>
      </c>
      <c r="Q82" s="3">
        <f t="shared" ca="1" si="88"/>
        <v>4.0274408014531929E-2</v>
      </c>
      <c r="R82" s="3">
        <f t="shared" ca="1" si="88"/>
        <v>3.6278056269551884E-2</v>
      </c>
      <c r="S82" s="3">
        <f t="shared" ca="1" si="88"/>
        <v>4.1319199292237721E-2</v>
      </c>
      <c r="T82" s="3">
        <f t="shared" ca="1" si="88"/>
        <v>3.9320357003587977E-2</v>
      </c>
      <c r="U82" s="3">
        <f t="shared" ca="1" si="88"/>
        <v>4.3050714254284403E-2</v>
      </c>
      <c r="V82" s="3">
        <f t="shared" ca="1" si="88"/>
        <v>4.0685101092689732E-2</v>
      </c>
      <c r="W82" s="3">
        <f t="shared" ca="1" si="88"/>
        <v>4.5909280107846645E-2</v>
      </c>
      <c r="X82" s="3">
        <f t="shared" ca="1" si="88"/>
        <v>4.1360103972379408E-2</v>
      </c>
      <c r="Y82" s="3">
        <f t="shared" ca="1" si="88"/>
        <v>5.9049654115689874E-2</v>
      </c>
      <c r="Z82" s="3">
        <f t="shared" ca="1" si="88"/>
        <v>5.0263312099614876E-2</v>
      </c>
      <c r="AA82" s="3">
        <f t="shared" ca="1" si="88"/>
        <v>6.0895172202255474E-2</v>
      </c>
      <c r="AB82" s="3">
        <f t="shared" ref="AB82:AJ82" ca="1" si="97">MIN(0.99,AB25+$O$3)</f>
        <v>6.6036696389291549E-2</v>
      </c>
      <c r="AC82" s="3">
        <f t="shared" ca="1" si="94"/>
        <v>6.500531370771577E-2</v>
      </c>
      <c r="AD82" s="3">
        <f t="shared" ca="1" si="94"/>
        <v>7.6784244355589643E-2</v>
      </c>
      <c r="AE82" s="3">
        <f t="shared" ca="1" si="94"/>
        <v>6.6381758517328179E-2</v>
      </c>
      <c r="AF82" s="3">
        <f t="shared" ca="1" si="94"/>
        <v>9.1107199728716337E-2</v>
      </c>
      <c r="AG82" s="3">
        <f t="shared" ca="1" si="94"/>
        <v>7.3165330697988473E-2</v>
      </c>
      <c r="AH82" s="3">
        <f t="shared" ca="1" si="94"/>
        <v>0.11246503354934928</v>
      </c>
      <c r="AI82" s="3">
        <f t="shared" ca="1" si="94"/>
        <v>0.10287410798111177</v>
      </c>
      <c r="AJ82" s="3">
        <f t="shared" ca="1" si="94"/>
        <v>0.14733653162521984</v>
      </c>
    </row>
    <row r="83" spans="1:36" x14ac:dyDescent="0.35">
      <c r="A83" t="s">
        <v>86</v>
      </c>
      <c r="B83" t="s">
        <v>70</v>
      </c>
      <c r="C83" s="4" t="s">
        <v>73</v>
      </c>
      <c r="D83" s="3">
        <f t="shared" ca="1" si="77"/>
        <v>2.5926561052789194E-2</v>
      </c>
      <c r="E83" s="3">
        <f t="shared" ca="1" si="88"/>
        <v>2.6448231212810092E-2</v>
      </c>
      <c r="F83" s="3">
        <f t="shared" ca="1" si="88"/>
        <v>2.6764957510307712E-2</v>
      </c>
      <c r="G83" s="3">
        <f t="shared" ca="1" si="88"/>
        <v>2.9322692601680366E-2</v>
      </c>
      <c r="H83" s="3">
        <f t="shared" ca="1" si="88"/>
        <v>2.8988020581014979E-2</v>
      </c>
      <c r="I83" s="3">
        <f t="shared" ca="1" si="88"/>
        <v>3.0069378063951165E-2</v>
      </c>
      <c r="J83" s="3">
        <f t="shared" ca="1" si="88"/>
        <v>3.1793115714279882E-2</v>
      </c>
      <c r="K83" s="3">
        <f t="shared" ca="1" si="88"/>
        <v>3.2189774349119744E-2</v>
      </c>
      <c r="L83" s="3">
        <f t="shared" ca="1" si="88"/>
        <v>3.2740998641631089E-2</v>
      </c>
      <c r="M83" s="3">
        <f t="shared" ca="1" si="88"/>
        <v>3.5875218593734548E-2</v>
      </c>
      <c r="N83" s="3">
        <f t="shared" ca="1" si="88"/>
        <v>3.4191787313370053E-2</v>
      </c>
      <c r="O83" s="3">
        <f t="shared" ca="1" si="88"/>
        <v>3.8111750155094874E-2</v>
      </c>
      <c r="P83" s="3">
        <f t="shared" ca="1" si="88"/>
        <v>3.5530831549218614E-2</v>
      </c>
      <c r="Q83" s="3">
        <f t="shared" ca="1" si="88"/>
        <v>4.1229543020589676E-2</v>
      </c>
      <c r="R83" s="3">
        <f t="shared" ca="1" si="88"/>
        <v>3.727053313059063E-2</v>
      </c>
      <c r="S83" s="3">
        <f t="shared" ca="1" si="88"/>
        <v>4.2295220226228038E-2</v>
      </c>
      <c r="T83" s="3">
        <f t="shared" ca="1" si="88"/>
        <v>4.0220438034372863E-2</v>
      </c>
      <c r="U83" s="3">
        <f t="shared" ca="1" si="88"/>
        <v>4.3986514159243678E-2</v>
      </c>
      <c r="V83" s="3">
        <f t="shared" ca="1" si="88"/>
        <v>4.1619064739089065E-2</v>
      </c>
      <c r="W83" s="3">
        <f t="shared" ca="1" si="88"/>
        <v>4.6825500223234756E-2</v>
      </c>
      <c r="X83" s="3">
        <f t="shared" ca="1" si="88"/>
        <v>4.2334450495532021E-2</v>
      </c>
      <c r="Y83" s="3">
        <f t="shared" ca="1" si="88"/>
        <v>6.0001448457920485E-2</v>
      </c>
      <c r="Z83" s="3">
        <f t="shared" ca="1" si="88"/>
        <v>5.1164199185525935E-2</v>
      </c>
      <c r="AA83" s="3">
        <f t="shared" ca="1" si="88"/>
        <v>6.1849487744943164E-2</v>
      </c>
      <c r="AB83" s="3">
        <f t="shared" ref="AB83:AJ83" ca="1" si="98">MIN(0.99,AB26+$O$3)</f>
        <v>6.696205834897806E-2</v>
      </c>
      <c r="AC83" s="3">
        <f t="shared" ca="1" si="94"/>
        <v>6.5984195355870939E-2</v>
      </c>
      <c r="AD83" s="3">
        <f t="shared" ca="1" si="94"/>
        <v>7.7726163407026719E-2</v>
      </c>
      <c r="AE83" s="3">
        <f t="shared" ca="1" si="94"/>
        <v>6.7336346951160309E-2</v>
      </c>
      <c r="AF83" s="3">
        <f t="shared" ca="1" si="94"/>
        <v>9.2105964875773633E-2</v>
      </c>
      <c r="AG83" s="3">
        <f t="shared" ca="1" si="94"/>
        <v>7.413299388945388E-2</v>
      </c>
      <c r="AH83" s="3">
        <f t="shared" ca="1" si="94"/>
        <v>0.11339075979987495</v>
      </c>
      <c r="AI83" s="3">
        <f t="shared" ca="1" si="94"/>
        <v>0.10380226495699924</v>
      </c>
      <c r="AJ83" s="3">
        <f t="shared" ca="1" si="94"/>
        <v>0.14827164443119314</v>
      </c>
    </row>
    <row r="84" spans="1:36" x14ac:dyDescent="0.35">
      <c r="A84" t="s">
        <v>86</v>
      </c>
      <c r="B84" t="s">
        <v>70</v>
      </c>
      <c r="C84" s="4">
        <v>2</v>
      </c>
      <c r="D84" s="3">
        <f t="shared" ca="1" si="77"/>
        <v>2.6915555131409159E-2</v>
      </c>
      <c r="E84" s="3">
        <f t="shared" ca="1" si="88"/>
        <v>2.7361907030520403E-2</v>
      </c>
      <c r="F84" s="3">
        <f t="shared" ca="1" si="88"/>
        <v>2.7711247968436336E-2</v>
      </c>
      <c r="G84" s="3">
        <f t="shared" ca="1" si="88"/>
        <v>3.0272131332480821E-2</v>
      </c>
      <c r="H84" s="3">
        <f t="shared" ca="1" si="88"/>
        <v>2.9949599910417561E-2</v>
      </c>
      <c r="I84" s="3">
        <f t="shared" ca="1" si="88"/>
        <v>3.0984039596910665E-2</v>
      </c>
      <c r="J84" s="3">
        <f t="shared" ca="1" si="88"/>
        <v>3.2736190025123069E-2</v>
      </c>
      <c r="K84" s="3">
        <f t="shared" ca="1" si="88"/>
        <v>3.3164580242559839E-2</v>
      </c>
      <c r="L84" s="3">
        <f t="shared" ca="1" si="88"/>
        <v>3.3716628937796325E-2</v>
      </c>
      <c r="M84" s="3">
        <f t="shared" ca="1" si="88"/>
        <v>3.6790871662646885E-2</v>
      </c>
      <c r="N84" s="3">
        <f t="shared" ca="1" si="88"/>
        <v>3.5160299362651734E-2</v>
      </c>
      <c r="O84" s="3">
        <f t="shared" ca="1" si="88"/>
        <v>3.9078729794210315E-2</v>
      </c>
      <c r="P84" s="3">
        <f t="shared" ca="1" si="88"/>
        <v>3.6465168786495521E-2</v>
      </c>
      <c r="Q84" s="3">
        <f t="shared" ca="1" si="88"/>
        <v>4.2197746753663189E-2</v>
      </c>
      <c r="R84" s="3">
        <f t="shared" ca="1" si="88"/>
        <v>3.8223471060640848E-2</v>
      </c>
      <c r="S84" s="3">
        <f t="shared" ca="1" si="88"/>
        <v>4.3290807760214337E-2</v>
      </c>
      <c r="T84" s="3">
        <f t="shared" ca="1" si="88"/>
        <v>4.1141829837937405E-2</v>
      </c>
      <c r="U84" s="3">
        <f t="shared" ca="1" si="88"/>
        <v>4.4897869179906368E-2</v>
      </c>
      <c r="V84" s="3">
        <f t="shared" ca="1" si="88"/>
        <v>4.2535389428510026E-2</v>
      </c>
      <c r="W84" s="3">
        <f t="shared" ca="1" si="88"/>
        <v>4.7782090388894333E-2</v>
      </c>
      <c r="X84" s="3">
        <f t="shared" ca="1" si="88"/>
        <v>4.3299327429793574E-2</v>
      </c>
      <c r="Y84" s="3">
        <f t="shared" ca="1" si="88"/>
        <v>6.0919152225019174E-2</v>
      </c>
      <c r="Z84" s="3">
        <f t="shared" ca="1" si="88"/>
        <v>5.2109094697391153E-2</v>
      </c>
      <c r="AA84" s="3">
        <f t="shared" ca="1" si="88"/>
        <v>6.2777468044106291E-2</v>
      </c>
      <c r="AB84" s="3">
        <f t="shared" ref="AB84:AJ84" ca="1" si="99">MIN(0.99,AB27+$O$3)</f>
        <v>6.7941221833536014E-2</v>
      </c>
      <c r="AC84" s="3">
        <f t="shared" ca="1" si="94"/>
        <v>6.6932100050676874E-2</v>
      </c>
      <c r="AD84" s="3">
        <f t="shared" ca="1" si="94"/>
        <v>7.8678896872499182E-2</v>
      </c>
      <c r="AE84" s="3">
        <f t="shared" ca="1" si="94"/>
        <v>6.829252640880587E-2</v>
      </c>
      <c r="AF84" s="3">
        <f t="shared" ca="1" si="94"/>
        <v>9.3041601340319885E-2</v>
      </c>
      <c r="AG84" s="3">
        <f t="shared" ca="1" si="94"/>
        <v>7.5093354852914768E-2</v>
      </c>
      <c r="AH84" s="3">
        <f t="shared" ca="1" si="94"/>
        <v>0.11433771199568979</v>
      </c>
      <c r="AI84" s="3">
        <f t="shared" ca="1" si="94"/>
        <v>0.10472782181721199</v>
      </c>
      <c r="AJ84" s="3">
        <f t="shared" ca="1" si="94"/>
        <v>0.14922568101836736</v>
      </c>
    </row>
    <row r="85" spans="1:36" x14ac:dyDescent="0.35">
      <c r="A85" t="s">
        <v>86</v>
      </c>
      <c r="B85" t="s">
        <v>70</v>
      </c>
      <c r="C85" s="4" t="s">
        <v>74</v>
      </c>
      <c r="D85" s="3">
        <f t="shared" ca="1" si="77"/>
        <v>2.7853072735884533E-2</v>
      </c>
      <c r="E85" s="3">
        <f t="shared" ca="1" si="88"/>
        <v>2.8263974047170265E-2</v>
      </c>
      <c r="F85" s="3">
        <f t="shared" ca="1" si="88"/>
        <v>2.8707945167498007E-2</v>
      </c>
      <c r="G85" s="3">
        <f t="shared" ca="1" si="88"/>
        <v>3.1185844167923461E-2</v>
      </c>
      <c r="H85" s="3">
        <f t="shared" ca="1" si="88"/>
        <v>3.0941932531472972E-2</v>
      </c>
      <c r="I85" s="3">
        <f t="shared" ca="1" si="88"/>
        <v>3.1975020089305764E-2</v>
      </c>
      <c r="J85" s="3">
        <f t="shared" ca="1" si="88"/>
        <v>3.3655755650458447E-2</v>
      </c>
      <c r="K85" s="3">
        <f t="shared" ca="1" si="88"/>
        <v>3.409089092579326E-2</v>
      </c>
      <c r="L85" s="3">
        <f t="shared" ca="1" si="88"/>
        <v>3.4617536264291024E-2</v>
      </c>
      <c r="M85" s="3">
        <f t="shared" ca="1" si="88"/>
        <v>3.7744769200465308E-2</v>
      </c>
      <c r="N85" s="3">
        <f t="shared" ca="1" si="88"/>
        <v>3.6121278324172709E-2</v>
      </c>
      <c r="O85" s="3">
        <f t="shared" ca="1" si="88"/>
        <v>4.00173962692119E-2</v>
      </c>
      <c r="P85" s="3">
        <f t="shared" ca="1" si="88"/>
        <v>3.7432569556060336E-2</v>
      </c>
      <c r="Q85" s="3">
        <f t="shared" ca="1" si="88"/>
        <v>4.3163598048254204E-2</v>
      </c>
      <c r="R85" s="3">
        <f t="shared" ca="1" si="88"/>
        <v>3.9142868322664712E-2</v>
      </c>
      <c r="S85" s="3">
        <f t="shared" ca="1" si="88"/>
        <v>4.4204488812754794E-2</v>
      </c>
      <c r="T85" s="3">
        <f t="shared" ca="1" si="88"/>
        <v>4.2095527025254098E-2</v>
      </c>
      <c r="U85" s="3">
        <f t="shared" ca="1" si="88"/>
        <v>4.5819526327158126E-2</v>
      </c>
      <c r="V85" s="3">
        <f t="shared" ca="1" si="88"/>
        <v>4.3507113025819763E-2</v>
      </c>
      <c r="W85" s="3">
        <f t="shared" ca="1" si="88"/>
        <v>4.8745684783351992E-2</v>
      </c>
      <c r="X85" s="3">
        <f t="shared" ref="E85:AA96" ca="1" si="100">MIN(0.99,X28+$O$3)</f>
        <v>4.4297575803327528E-2</v>
      </c>
      <c r="Y85" s="3">
        <f t="shared" ca="1" si="100"/>
        <v>6.1879117449648149E-2</v>
      </c>
      <c r="Z85" s="3">
        <f t="shared" ca="1" si="100"/>
        <v>5.3030179531530414E-2</v>
      </c>
      <c r="AA85" s="3">
        <f t="shared" ca="1" si="100"/>
        <v>6.3771216731477565E-2</v>
      </c>
      <c r="AB85" s="3">
        <f t="shared" ref="AB85:AJ85" ca="1" si="101">MIN(0.99,AB28+$O$3)</f>
        <v>6.8857843771874816E-2</v>
      </c>
      <c r="AC85" s="3">
        <f t="shared" ca="1" si="94"/>
        <v>6.7855260449475333E-2</v>
      </c>
      <c r="AD85" s="3">
        <f t="shared" ca="1" si="94"/>
        <v>7.9619261401731589E-2</v>
      </c>
      <c r="AE85" s="3">
        <f t="shared" ca="1" si="94"/>
        <v>6.922740563541023E-2</v>
      </c>
      <c r="AF85" s="3">
        <f t="shared" ca="1" si="94"/>
        <v>9.3993348440701285E-2</v>
      </c>
      <c r="AG85" s="3">
        <f t="shared" ca="1" si="94"/>
        <v>7.6072295316915534E-2</v>
      </c>
      <c r="AH85" s="3">
        <f t="shared" ca="1" si="94"/>
        <v>0.11526114251753597</v>
      </c>
      <c r="AI85" s="3">
        <f t="shared" ca="1" si="94"/>
        <v>0.10571342767060021</v>
      </c>
      <c r="AJ85" s="3">
        <f t="shared" ca="1" si="94"/>
        <v>0.15021058482442284</v>
      </c>
    </row>
    <row r="86" spans="1:36" x14ac:dyDescent="0.35">
      <c r="A86" t="s">
        <v>86</v>
      </c>
      <c r="B86" t="s">
        <v>70</v>
      </c>
      <c r="C86" s="4" t="s">
        <v>75</v>
      </c>
      <c r="D86" s="3">
        <f t="shared" ca="1" si="77"/>
        <v>2.8811881367312983E-2</v>
      </c>
      <c r="E86" s="3">
        <f t="shared" ca="1" si="100"/>
        <v>2.9173218425938258E-2</v>
      </c>
      <c r="F86" s="3">
        <f t="shared" ca="1" si="100"/>
        <v>2.9632914282016226E-2</v>
      </c>
      <c r="G86" s="3">
        <f t="shared" ca="1" si="100"/>
        <v>3.2110217412048336E-2</v>
      </c>
      <c r="H86" s="3">
        <f t="shared" ca="1" si="100"/>
        <v>3.1914296218866794E-2</v>
      </c>
      <c r="I86" s="3">
        <f t="shared" ca="1" si="100"/>
        <v>3.2881791163850066E-2</v>
      </c>
      <c r="J86" s="3">
        <f t="shared" ca="1" si="100"/>
        <v>3.4577984132529133E-2</v>
      </c>
      <c r="K86" s="3">
        <f t="shared" ca="1" si="100"/>
        <v>3.5023667006420997E-2</v>
      </c>
      <c r="L86" s="3">
        <f t="shared" ca="1" si="100"/>
        <v>3.5579880885111631E-2</v>
      </c>
      <c r="M86" s="3">
        <f t="shared" ca="1" si="100"/>
        <v>3.8714711525408271E-2</v>
      </c>
      <c r="N86" s="3">
        <f t="shared" ca="1" si="100"/>
        <v>3.7116144264971965E-2</v>
      </c>
      <c r="O86" s="3">
        <f t="shared" ca="1" si="100"/>
        <v>4.0925346902876442E-2</v>
      </c>
      <c r="P86" s="3">
        <f t="shared" ca="1" si="100"/>
        <v>3.8421583505713279E-2</v>
      </c>
      <c r="Q86" s="3">
        <f t="shared" ca="1" si="100"/>
        <v>4.4152830615865696E-2</v>
      </c>
      <c r="R86" s="3">
        <f t="shared" ca="1" si="100"/>
        <v>4.0075514123889142E-2</v>
      </c>
      <c r="S86" s="3">
        <f t="shared" ca="1" si="100"/>
        <v>4.5151489823565989E-2</v>
      </c>
      <c r="T86" s="3">
        <f t="shared" ca="1" si="100"/>
        <v>4.3055844913414992E-2</v>
      </c>
      <c r="U86" s="3">
        <f t="shared" ca="1" si="100"/>
        <v>4.672733064866133E-2</v>
      </c>
      <c r="V86" s="3">
        <f t="shared" ca="1" si="100"/>
        <v>4.4463783568424162E-2</v>
      </c>
      <c r="W86" s="3">
        <f t="shared" ca="1" si="100"/>
        <v>4.9730685173035527E-2</v>
      </c>
      <c r="X86" s="3">
        <f t="shared" ca="1" si="100"/>
        <v>4.521471807576688E-2</v>
      </c>
      <c r="Y86" s="3">
        <f t="shared" ca="1" si="100"/>
        <v>6.2870561164550864E-2</v>
      </c>
      <c r="Z86" s="3">
        <f t="shared" ca="1" si="100"/>
        <v>5.4029153658424013E-2</v>
      </c>
      <c r="AA86" s="3">
        <f t="shared" ca="1" si="100"/>
        <v>6.4767930196132001E-2</v>
      </c>
      <c r="AB86" s="3">
        <f t="shared" ref="AB86:AJ86" ca="1" si="102">MIN(0.99,AB29+$O$3)</f>
        <v>6.9833785089747497E-2</v>
      </c>
      <c r="AC86" s="3">
        <f t="shared" ca="1" si="94"/>
        <v>6.8766750262098303E-2</v>
      </c>
      <c r="AD86" s="3">
        <f t="shared" ca="1" si="94"/>
        <v>8.0578466135489413E-2</v>
      </c>
      <c r="AE86" s="3">
        <f t="shared" ca="1" si="94"/>
        <v>7.0143394366889336E-2</v>
      </c>
      <c r="AF86" s="3">
        <f t="shared" ca="1" si="94"/>
        <v>9.4935708701547689E-2</v>
      </c>
      <c r="AG86" s="3">
        <f t="shared" ca="1" si="94"/>
        <v>7.7068294168998325E-2</v>
      </c>
      <c r="AH86" s="3">
        <f t="shared" ca="1" si="94"/>
        <v>0.11624487764383068</v>
      </c>
      <c r="AI86" s="3">
        <f t="shared" ca="1" si="94"/>
        <v>0.10669954474210674</v>
      </c>
      <c r="AJ86" s="3">
        <f t="shared" ca="1" si="94"/>
        <v>0.15113056681972145</v>
      </c>
    </row>
    <row r="87" spans="1:36" x14ac:dyDescent="0.35">
      <c r="A87" t="s">
        <v>86</v>
      </c>
      <c r="B87" t="s">
        <v>70</v>
      </c>
      <c r="C87" s="4">
        <v>3</v>
      </c>
      <c r="D87" s="3">
        <f t="shared" ca="1" si="77"/>
        <v>2.9788652346396799E-2</v>
      </c>
      <c r="E87" s="3">
        <f t="shared" ca="1" si="100"/>
        <v>3.0155513667297157E-2</v>
      </c>
      <c r="F87" s="3">
        <f t="shared" ca="1" si="100"/>
        <v>3.0620405218115453E-2</v>
      </c>
      <c r="G87" s="3">
        <f t="shared" ca="1" si="100"/>
        <v>3.3092262365820788E-2</v>
      </c>
      <c r="H87" s="3">
        <f t="shared" ca="1" si="100"/>
        <v>3.2902976380191629E-2</v>
      </c>
      <c r="I87" s="3">
        <f t="shared" ca="1" si="100"/>
        <v>3.3836488530944106E-2</v>
      </c>
      <c r="J87" s="3">
        <f t="shared" ca="1" si="100"/>
        <v>3.5522859396776983E-2</v>
      </c>
      <c r="K87" s="3">
        <f t="shared" ca="1" si="100"/>
        <v>3.5930670703096176E-2</v>
      </c>
      <c r="L87" s="3">
        <f t="shared" ca="1" si="100"/>
        <v>3.6488636661348578E-2</v>
      </c>
      <c r="M87" s="3">
        <f t="shared" ca="1" si="100"/>
        <v>3.9640169781659518E-2</v>
      </c>
      <c r="N87" s="3">
        <f t="shared" ca="1" si="100"/>
        <v>3.8107000459238004E-2</v>
      </c>
      <c r="O87" s="3">
        <f t="shared" ca="1" si="100"/>
        <v>4.1858763972480902E-2</v>
      </c>
      <c r="P87" s="3">
        <f t="shared" ca="1" si="100"/>
        <v>3.9376584897729182E-2</v>
      </c>
      <c r="Q87" s="3">
        <f t="shared" ca="1" si="100"/>
        <v>4.5144170504824915E-2</v>
      </c>
      <c r="R87" s="3">
        <f t="shared" ca="1" si="100"/>
        <v>4.1058586035117917E-2</v>
      </c>
      <c r="S87" s="3">
        <f t="shared" ca="1" si="100"/>
        <v>4.6062094629530537E-2</v>
      </c>
      <c r="T87" s="3">
        <f t="shared" ca="1" si="100"/>
        <v>4.4053117025208643E-2</v>
      </c>
      <c r="U87" s="3">
        <f t="shared" ca="1" si="100"/>
        <v>4.7639623010977544E-2</v>
      </c>
      <c r="V87" s="3">
        <f t="shared" ca="1" si="100"/>
        <v>4.5443995582985536E-2</v>
      </c>
      <c r="W87" s="3">
        <f t="shared" ca="1" si="100"/>
        <v>5.0644664107261941E-2</v>
      </c>
      <c r="X87" s="3">
        <f t="shared" ca="1" si="100"/>
        <v>4.6140568388507497E-2</v>
      </c>
      <c r="Y87" s="3">
        <f t="shared" ca="1" si="100"/>
        <v>6.3818063795888225E-2</v>
      </c>
      <c r="Z87" s="3">
        <f t="shared" ca="1" si="100"/>
        <v>5.493345673132078E-2</v>
      </c>
      <c r="AA87" s="3">
        <f t="shared" ca="1" si="100"/>
        <v>6.572660733424078E-2</v>
      </c>
      <c r="AB87" s="3">
        <f t="shared" ref="AB87:AJ87" ca="1" si="103">MIN(0.99,AB30+$O$3)</f>
        <v>7.0742303324936293E-2</v>
      </c>
      <c r="AC87" s="3">
        <f t="shared" ca="1" si="94"/>
        <v>6.975822700309206E-2</v>
      </c>
      <c r="AD87" s="3">
        <f t="shared" ca="1" si="94"/>
        <v>8.1517015350131894E-2</v>
      </c>
      <c r="AE87" s="3">
        <f t="shared" ca="1" si="94"/>
        <v>7.1123515461376796E-2</v>
      </c>
      <c r="AF87" s="3">
        <f t="shared" ca="1" si="94"/>
        <v>9.5852491790268529E-2</v>
      </c>
      <c r="AG87" s="3">
        <f t="shared" ca="1" si="94"/>
        <v>7.8037766219236665E-2</v>
      </c>
      <c r="AH87" s="3">
        <f t="shared" ca="1" si="94"/>
        <v>0.11715655694599647</v>
      </c>
      <c r="AI87" s="3">
        <f t="shared" ca="1" si="94"/>
        <v>0.10768811615134216</v>
      </c>
      <c r="AJ87" s="3">
        <f t="shared" ca="1" si="94"/>
        <v>0.1520723293375521</v>
      </c>
    </row>
    <row r="88" spans="1:36" x14ac:dyDescent="0.35">
      <c r="A88" t="s">
        <v>86</v>
      </c>
      <c r="B88" t="s">
        <v>70</v>
      </c>
      <c r="C88" s="4" t="s">
        <v>76</v>
      </c>
      <c r="D88" s="3">
        <f t="shared" ca="1" si="77"/>
        <v>3.0776251109671603E-2</v>
      </c>
      <c r="E88" s="3">
        <f t="shared" ca="1" si="100"/>
        <v>3.1151077381650773E-2</v>
      </c>
      <c r="F88" s="3">
        <f t="shared" ca="1" si="100"/>
        <v>3.1595809171449746E-2</v>
      </c>
      <c r="G88" s="3">
        <f t="shared" ca="1" si="100"/>
        <v>3.4074261518537693E-2</v>
      </c>
      <c r="H88" s="3">
        <f t="shared" ca="1" si="100"/>
        <v>3.3821512226979419E-2</v>
      </c>
      <c r="I88" s="3">
        <f t="shared" ca="1" si="100"/>
        <v>3.4804170372596144E-2</v>
      </c>
      <c r="J88" s="3">
        <f t="shared" ca="1" si="100"/>
        <v>3.6488212138089261E-2</v>
      </c>
      <c r="K88" s="3">
        <f t="shared" ca="1" si="100"/>
        <v>3.6881568179392005E-2</v>
      </c>
      <c r="L88" s="3">
        <f t="shared" ca="1" si="100"/>
        <v>3.7397381245480608E-2</v>
      </c>
      <c r="M88" s="3">
        <f t="shared" ca="1" si="100"/>
        <v>4.0610779202201103E-2</v>
      </c>
      <c r="N88" s="3">
        <f t="shared" ca="1" si="100"/>
        <v>3.9047244559356417E-2</v>
      </c>
      <c r="O88" s="3">
        <f t="shared" ca="1" si="100"/>
        <v>4.2814762628783212E-2</v>
      </c>
      <c r="P88" s="3">
        <f t="shared" ca="1" si="100"/>
        <v>4.0287973270612648E-2</v>
      </c>
      <c r="Q88" s="3">
        <f t="shared" ca="1" si="100"/>
        <v>4.604652059641428E-2</v>
      </c>
      <c r="R88" s="3">
        <f t="shared" ca="1" si="100"/>
        <v>4.2004617208249953E-2</v>
      </c>
      <c r="S88" s="3">
        <f t="shared" ca="1" si="100"/>
        <v>4.6967238380345749E-2</v>
      </c>
      <c r="T88" s="3">
        <f t="shared" ca="1" si="100"/>
        <v>4.5015452894143382E-2</v>
      </c>
      <c r="U88" s="3">
        <f t="shared" ca="1" si="100"/>
        <v>4.8602581040958132E-2</v>
      </c>
      <c r="V88" s="3">
        <f t="shared" ca="1" si="100"/>
        <v>4.6416736332290709E-2</v>
      </c>
      <c r="W88" s="3">
        <f t="shared" ca="1" si="100"/>
        <v>5.1546156592723838E-2</v>
      </c>
      <c r="X88" s="3">
        <f t="shared" ca="1" si="100"/>
        <v>4.7100385140473461E-2</v>
      </c>
      <c r="Y88" s="3">
        <f t="shared" ca="1" si="100"/>
        <v>6.4789588549811067E-2</v>
      </c>
      <c r="Z88" s="3">
        <f t="shared" ca="1" si="100"/>
        <v>5.5915513920353613E-2</v>
      </c>
      <c r="AA88" s="3">
        <f t="shared" ca="1" si="100"/>
        <v>6.672376527950924E-2</v>
      </c>
      <c r="AB88" s="3">
        <f t="shared" ref="AB88:AJ88" ca="1" si="104">MIN(0.99,AB31+$O$3)</f>
        <v>7.165175549688646E-2</v>
      </c>
      <c r="AC88" s="3">
        <f t="shared" ca="1" si="94"/>
        <v>7.0745931381610144E-2</v>
      </c>
      <c r="AD88" s="3">
        <f t="shared" ca="1" si="94"/>
        <v>8.2511094075146979E-2</v>
      </c>
      <c r="AE88" s="3">
        <f t="shared" ca="1" si="94"/>
        <v>7.2061115154313515E-2</v>
      </c>
      <c r="AF88" s="3">
        <f t="shared" ca="1" si="94"/>
        <v>9.6852225922846341E-2</v>
      </c>
      <c r="AG88" s="3">
        <f t="shared" ca="1" si="94"/>
        <v>7.9037425795230432E-2</v>
      </c>
      <c r="AH88" s="3">
        <f t="shared" ca="1" si="94"/>
        <v>0.11808556563920231</v>
      </c>
      <c r="AI88" s="3">
        <f t="shared" ca="1" si="94"/>
        <v>0.1086628054621088</v>
      </c>
      <c r="AJ88" s="3">
        <f t="shared" ca="1" si="94"/>
        <v>0.15301021655933628</v>
      </c>
    </row>
    <row r="89" spans="1:36" x14ac:dyDescent="0.35">
      <c r="A89" t="s">
        <v>86</v>
      </c>
      <c r="B89" t="s">
        <v>70</v>
      </c>
      <c r="C89" s="4" t="s">
        <v>77</v>
      </c>
      <c r="D89" s="3">
        <f t="shared" ca="1" si="77"/>
        <v>3.168856894326632E-2</v>
      </c>
      <c r="E89" s="3">
        <f t="shared" ca="1" si="100"/>
        <v>3.2122430343678558E-2</v>
      </c>
      <c r="F89" s="3">
        <f t="shared" ca="1" si="100"/>
        <v>3.251101371830091E-2</v>
      </c>
      <c r="G89" s="3">
        <f t="shared" ca="1" si="100"/>
        <v>3.5065350807683665E-2</v>
      </c>
      <c r="H89" s="3">
        <f t="shared" ca="1" si="100"/>
        <v>3.4724371076488132E-2</v>
      </c>
      <c r="I89" s="3">
        <f t="shared" ca="1" si="100"/>
        <v>3.5776308500671282E-2</v>
      </c>
      <c r="J89" s="3">
        <f t="shared" ca="1" si="100"/>
        <v>3.7393631963013103E-2</v>
      </c>
      <c r="K89" s="3">
        <f t="shared" ca="1" si="100"/>
        <v>3.7796517227292464E-2</v>
      </c>
      <c r="L89" s="3">
        <f t="shared" ca="1" si="100"/>
        <v>3.8302665447680823E-2</v>
      </c>
      <c r="M89" s="3">
        <f t="shared" ca="1" si="100"/>
        <v>4.1562022653458291E-2</v>
      </c>
      <c r="N89" s="3">
        <f t="shared" ca="1" si="100"/>
        <v>3.9957362730000653E-2</v>
      </c>
      <c r="O89" s="3">
        <f t="shared" ca="1" si="100"/>
        <v>4.3795664983059659E-2</v>
      </c>
      <c r="P89" s="3">
        <f t="shared" ca="1" si="100"/>
        <v>4.1241144831225915E-2</v>
      </c>
      <c r="Q89" s="3">
        <f t="shared" ca="1" si="100"/>
        <v>4.7024294956264819E-2</v>
      </c>
      <c r="R89" s="3">
        <f t="shared" ca="1" si="100"/>
        <v>4.2911668287642271E-2</v>
      </c>
      <c r="S89" s="3">
        <f t="shared" ca="1" si="100"/>
        <v>4.7873847772028924E-2</v>
      </c>
      <c r="T89" s="3">
        <f t="shared" ca="1" si="100"/>
        <v>4.5959304674914533E-2</v>
      </c>
      <c r="U89" s="3">
        <f t="shared" ca="1" si="100"/>
        <v>4.955990929066361E-2</v>
      </c>
      <c r="V89" s="3">
        <f t="shared" ca="1" si="100"/>
        <v>4.7338324384988445E-2</v>
      </c>
      <c r="W89" s="3">
        <f t="shared" ca="1" si="100"/>
        <v>5.2468205126993836E-2</v>
      </c>
      <c r="X89" s="3">
        <f t="shared" ca="1" si="100"/>
        <v>4.805772688348664E-2</v>
      </c>
      <c r="Y89" s="3">
        <f t="shared" ca="1" si="100"/>
        <v>6.5779739090490064E-2</v>
      </c>
      <c r="Z89" s="3">
        <f t="shared" ca="1" si="100"/>
        <v>5.6872088863854954E-2</v>
      </c>
      <c r="AA89" s="3">
        <f t="shared" ca="1" si="100"/>
        <v>6.7680037263150028E-2</v>
      </c>
      <c r="AB89" s="3">
        <f t="shared" ref="AB89:AJ89" ca="1" si="105">MIN(0.99,AB32+$O$3)</f>
        <v>7.2572915731996562E-2</v>
      </c>
      <c r="AC89" s="3">
        <f t="shared" ca="1" si="94"/>
        <v>7.1739755270389241E-2</v>
      </c>
      <c r="AD89" s="3">
        <f t="shared" ca="1" si="94"/>
        <v>8.342518007638372E-2</v>
      </c>
      <c r="AE89" s="3">
        <f t="shared" ca="1" si="94"/>
        <v>7.3044383971809013E-2</v>
      </c>
      <c r="AF89" s="3">
        <f t="shared" ca="1" si="94"/>
        <v>9.7754139627984155E-2</v>
      </c>
      <c r="AG89" s="3">
        <f t="shared" ca="1" si="94"/>
        <v>7.9947626053339105E-2</v>
      </c>
      <c r="AH89" s="3">
        <f t="shared" ca="1" si="94"/>
        <v>0.11907559477383098</v>
      </c>
      <c r="AI89" s="3">
        <f t="shared" ca="1" si="94"/>
        <v>0.10963095914956197</v>
      </c>
      <c r="AJ89" s="3">
        <f t="shared" ca="1" si="94"/>
        <v>0.15398028422176521</v>
      </c>
    </row>
    <row r="90" spans="1:36" x14ac:dyDescent="0.35">
      <c r="A90" t="s">
        <v>86</v>
      </c>
      <c r="B90" t="s">
        <v>70</v>
      </c>
      <c r="C90" s="4">
        <v>4</v>
      </c>
      <c r="D90" s="3">
        <f t="shared" ca="1" si="77"/>
        <v>3.2629617248966521E-2</v>
      </c>
      <c r="E90" s="3">
        <f t="shared" ca="1" si="100"/>
        <v>3.3066987547093682E-2</v>
      </c>
      <c r="F90" s="3">
        <f t="shared" ca="1" si="100"/>
        <v>3.3498572391044548E-2</v>
      </c>
      <c r="G90" s="3">
        <f t="shared" ca="1" si="100"/>
        <v>3.605262841601499E-2</v>
      </c>
      <c r="H90" s="3">
        <f t="shared" ca="1" si="100"/>
        <v>3.566237376041026E-2</v>
      </c>
      <c r="I90" s="3">
        <f t="shared" ca="1" si="100"/>
        <v>3.6686265189988063E-2</v>
      </c>
      <c r="J90" s="3">
        <f t="shared" ca="1" si="100"/>
        <v>3.830037741580631E-2</v>
      </c>
      <c r="K90" s="3">
        <f t="shared" ca="1" si="100"/>
        <v>3.8715561210282932E-2</v>
      </c>
      <c r="L90" s="3">
        <f t="shared" ca="1" si="100"/>
        <v>3.9292834985149516E-2</v>
      </c>
      <c r="M90" s="3">
        <f t="shared" ca="1" si="100"/>
        <v>4.2519098356778098E-2</v>
      </c>
      <c r="N90" s="3">
        <f t="shared" ca="1" si="100"/>
        <v>4.0902148702828628E-2</v>
      </c>
      <c r="O90" s="3">
        <f t="shared" ca="1" si="100"/>
        <v>4.4732080658822455E-2</v>
      </c>
      <c r="P90" s="3">
        <f t="shared" ca="1" si="100"/>
        <v>4.2161031645641826E-2</v>
      </c>
      <c r="Q90" s="3">
        <f t="shared" ca="1" si="100"/>
        <v>4.7989267201643183E-2</v>
      </c>
      <c r="R90" s="3">
        <f t="shared" ca="1" si="100"/>
        <v>4.3886865206893395E-2</v>
      </c>
      <c r="S90" s="3">
        <f t="shared" ca="1" si="100"/>
        <v>4.8861370506906365E-2</v>
      </c>
      <c r="T90" s="3">
        <f t="shared" ca="1" si="100"/>
        <v>4.6897254666511679E-2</v>
      </c>
      <c r="U90" s="3">
        <f t="shared" ca="1" si="100"/>
        <v>5.0501120818672515E-2</v>
      </c>
      <c r="V90" s="3">
        <f t="shared" ca="1" si="100"/>
        <v>4.8285162054747525E-2</v>
      </c>
      <c r="W90" s="3">
        <f t="shared" ca="1" si="100"/>
        <v>5.3458735040868635E-2</v>
      </c>
      <c r="X90" s="3">
        <f t="shared" ca="1" si="100"/>
        <v>4.8964780194530669E-2</v>
      </c>
      <c r="Y90" s="3">
        <f t="shared" ca="1" si="100"/>
        <v>6.6769454455859051E-2</v>
      </c>
      <c r="Z90" s="3">
        <f t="shared" ca="1" si="100"/>
        <v>5.7820884973025816E-2</v>
      </c>
      <c r="AA90" s="3">
        <f t="shared" ca="1" si="100"/>
        <v>6.8631986965630193E-2</v>
      </c>
      <c r="AB90" s="3">
        <f t="shared" ref="AB90:AJ90" ca="1" si="106">MIN(0.99,AB33+$O$3)</f>
        <v>7.3507048359358979E-2</v>
      </c>
      <c r="AC90" s="3">
        <f t="shared" ca="1" si="94"/>
        <v>7.2708665027764463E-2</v>
      </c>
      <c r="AD90" s="3">
        <f t="shared" ca="1" si="94"/>
        <v>8.4377039166776413E-2</v>
      </c>
      <c r="AE90" s="3">
        <f t="shared" ca="1" si="94"/>
        <v>7.4020614491085213E-2</v>
      </c>
      <c r="AF90" s="3">
        <f t="shared" ca="1" si="94"/>
        <v>9.8659370687815301E-2</v>
      </c>
      <c r="AG90" s="3">
        <f t="shared" ca="1" si="94"/>
        <v>8.0937848138245561E-2</v>
      </c>
      <c r="AH90" s="3">
        <f t="shared" ca="1" si="94"/>
        <v>0.12002239334711282</v>
      </c>
      <c r="AI90" s="3">
        <f t="shared" ca="1" si="94"/>
        <v>0.11054326671066045</v>
      </c>
      <c r="AJ90" s="3">
        <f t="shared" ca="1" si="94"/>
        <v>0.15489787378258291</v>
      </c>
    </row>
    <row r="91" spans="1:36" x14ac:dyDescent="0.35">
      <c r="A91" t="s">
        <v>86</v>
      </c>
      <c r="B91" t="s">
        <v>70</v>
      </c>
      <c r="C91" s="4" t="s">
        <v>78</v>
      </c>
      <c r="D91" s="3">
        <f t="shared" ca="1" si="77"/>
        <v>3.3531213221513735E-2</v>
      </c>
      <c r="E91" s="3">
        <f t="shared" ca="1" si="100"/>
        <v>3.399761102299495E-2</v>
      </c>
      <c r="F91" s="3">
        <f t="shared" ca="1" si="100"/>
        <v>3.4496744524062387E-2</v>
      </c>
      <c r="G91" s="3">
        <f t="shared" ca="1" si="100"/>
        <v>3.7019224114878971E-2</v>
      </c>
      <c r="H91" s="3">
        <f t="shared" ca="1" si="100"/>
        <v>3.6631288116548574E-2</v>
      </c>
      <c r="I91" s="3">
        <f t="shared" ca="1" si="100"/>
        <v>3.7665740226050765E-2</v>
      </c>
      <c r="J91" s="3">
        <f t="shared" ca="1" si="100"/>
        <v>3.9202152794404692E-2</v>
      </c>
      <c r="K91" s="3">
        <f t="shared" ca="1" si="100"/>
        <v>3.9669982648700773E-2</v>
      </c>
      <c r="L91" s="3">
        <f t="shared" ca="1" si="100"/>
        <v>4.0197182920790248E-2</v>
      </c>
      <c r="M91" s="3">
        <f t="shared" ca="1" si="100"/>
        <v>4.3485422828634213E-2</v>
      </c>
      <c r="N91" s="3">
        <f t="shared" ca="1" si="100"/>
        <v>4.1868580070522438E-2</v>
      </c>
      <c r="O91" s="3">
        <f t="shared" ca="1" si="100"/>
        <v>4.5707282060964513E-2</v>
      </c>
      <c r="P91" s="3">
        <f t="shared" ca="1" si="100"/>
        <v>4.3077362858435858E-2</v>
      </c>
      <c r="Q91" s="3">
        <f t="shared" ca="1" si="100"/>
        <v>4.889910694011633E-2</v>
      </c>
      <c r="R91" s="3">
        <f t="shared" ca="1" si="100"/>
        <v>4.488291468257434E-2</v>
      </c>
      <c r="S91" s="3">
        <f t="shared" ca="1" si="100"/>
        <v>4.9771198171608216E-2</v>
      </c>
      <c r="T91" s="3">
        <f t="shared" ca="1" si="100"/>
        <v>4.781635279214945E-2</v>
      </c>
      <c r="U91" s="3">
        <f t="shared" ca="1" si="100"/>
        <v>5.1440820995306918E-2</v>
      </c>
      <c r="V91" s="3">
        <f t="shared" ca="1" si="100"/>
        <v>4.9275518346809738E-2</v>
      </c>
      <c r="W91" s="3">
        <f t="shared" ca="1" si="100"/>
        <v>5.4393612195373441E-2</v>
      </c>
      <c r="X91" s="3">
        <f t="shared" ca="1" si="100"/>
        <v>4.9874787933610783E-2</v>
      </c>
      <c r="Y91" s="3">
        <f t="shared" ca="1" si="100"/>
        <v>6.7765790904436629E-2</v>
      </c>
      <c r="Z91" s="3">
        <f t="shared" ca="1" si="100"/>
        <v>5.8807567047909091E-2</v>
      </c>
      <c r="AA91" s="3">
        <f t="shared" ca="1" si="100"/>
        <v>6.9561627783767066E-2</v>
      </c>
      <c r="AB91" s="3">
        <f t="shared" ref="AB91:AJ91" ca="1" si="107">MIN(0.99,AB34+$O$3)</f>
        <v>7.444495763548932E-2</v>
      </c>
      <c r="AC91" s="3">
        <f t="shared" ca="1" si="94"/>
        <v>7.3682605945987606E-2</v>
      </c>
      <c r="AD91" s="3">
        <f t="shared" ca="1" si="94"/>
        <v>8.5298189879144906E-2</v>
      </c>
      <c r="AE91" s="3">
        <f t="shared" ca="1" si="94"/>
        <v>7.49493298671631E-2</v>
      </c>
      <c r="AF91" s="3">
        <f t="shared" ca="1" si="94"/>
        <v>9.9644834414340661E-2</v>
      </c>
      <c r="AG91" s="3">
        <f t="shared" ca="1" si="94"/>
        <v>8.1887356182455906E-2</v>
      </c>
      <c r="AH91" s="3">
        <f t="shared" ca="1" si="94"/>
        <v>0.12096222503549345</v>
      </c>
      <c r="AI91" s="3">
        <f t="shared" ca="1" si="94"/>
        <v>0.11154274690801694</v>
      </c>
      <c r="AJ91" s="3">
        <f t="shared" ca="1" si="94"/>
        <v>0.1558135406444561</v>
      </c>
    </row>
    <row r="92" spans="1:36" x14ac:dyDescent="0.35">
      <c r="A92" t="s">
        <v>86</v>
      </c>
      <c r="B92" t="s">
        <v>70</v>
      </c>
      <c r="C92" s="4" t="s">
        <v>79</v>
      </c>
      <c r="D92" s="3">
        <f t="shared" ca="1" si="77"/>
        <v>3.4451617813966495E-2</v>
      </c>
      <c r="E92" s="3">
        <f t="shared" ca="1" si="100"/>
        <v>3.4949161925832167E-2</v>
      </c>
      <c r="F92" s="3">
        <f t="shared" ca="1" si="100"/>
        <v>3.5405604302188205E-2</v>
      </c>
      <c r="G92" s="3">
        <f t="shared" ca="1" si="100"/>
        <v>3.7937616847367364E-2</v>
      </c>
      <c r="H92" s="3">
        <f t="shared" ca="1" si="100"/>
        <v>3.7606744467660491E-2</v>
      </c>
      <c r="I92" s="3">
        <f t="shared" ca="1" si="100"/>
        <v>3.8575321846165772E-2</v>
      </c>
      <c r="J92" s="3">
        <f t="shared" ca="1" si="100"/>
        <v>4.0129360825451106E-2</v>
      </c>
      <c r="K92" s="3">
        <f t="shared" ca="1" si="100"/>
        <v>4.0583272880607882E-2</v>
      </c>
      <c r="L92" s="3">
        <f t="shared" ca="1" si="100"/>
        <v>4.1155632246308804E-2</v>
      </c>
      <c r="M92" s="3">
        <f t="shared" ca="1" si="100"/>
        <v>4.4405105799961278E-2</v>
      </c>
      <c r="N92" s="3">
        <f t="shared" ca="1" si="100"/>
        <v>4.2831130033528585E-2</v>
      </c>
      <c r="O92" s="3">
        <f t="shared" ca="1" si="100"/>
        <v>4.6617186110869513E-2</v>
      </c>
      <c r="P92" s="3">
        <f t="shared" ca="1" si="100"/>
        <v>4.4015998394096902E-2</v>
      </c>
      <c r="Q92" s="3">
        <f t="shared" ca="1" si="100"/>
        <v>4.9837520580387443E-2</v>
      </c>
      <c r="R92" s="3">
        <f t="shared" ca="1" si="100"/>
        <v>4.5829409898740223E-2</v>
      </c>
      <c r="S92" s="3">
        <f t="shared" ca="1" si="100"/>
        <v>5.0674425258230876E-2</v>
      </c>
      <c r="T92" s="3">
        <f t="shared" ca="1" si="100"/>
        <v>4.8770262819655519E-2</v>
      </c>
      <c r="U92" s="3">
        <f t="shared" ca="1" si="100"/>
        <v>5.236556860331916E-2</v>
      </c>
      <c r="V92" s="3">
        <f t="shared" ca="1" si="100"/>
        <v>5.0233939266302964E-2</v>
      </c>
      <c r="W92" s="3">
        <f t="shared" ca="1" si="100"/>
        <v>5.5352864300879455E-2</v>
      </c>
      <c r="X92" s="3">
        <f t="shared" ca="1" si="100"/>
        <v>5.0776916964802722E-2</v>
      </c>
      <c r="Y92" s="3">
        <f t="shared" ca="1" si="100"/>
        <v>6.8750018148063002E-2</v>
      </c>
      <c r="Z92" s="3">
        <f t="shared" ca="1" si="100"/>
        <v>5.976905217016882E-2</v>
      </c>
      <c r="AA92" s="3">
        <f t="shared" ca="1" si="100"/>
        <v>7.0512453544164327E-2</v>
      </c>
      <c r="AB92" s="3">
        <f t="shared" ref="AB92:AJ92" ca="1" si="108">MIN(0.99,AB35+$O$3)</f>
        <v>7.5380416040655457E-2</v>
      </c>
      <c r="AC92" s="3">
        <f t="shared" ca="1" si="94"/>
        <v>7.4602822818956652E-2</v>
      </c>
      <c r="AD92" s="3">
        <f t="shared" ca="1" si="94"/>
        <v>8.6211153828906761E-2</v>
      </c>
      <c r="AE92" s="3">
        <f t="shared" ca="1" si="94"/>
        <v>7.593426114045676E-2</v>
      </c>
      <c r="AF92" s="3">
        <f t="shared" ca="1" si="94"/>
        <v>0.10059911869341318</v>
      </c>
      <c r="AG92" s="3">
        <f t="shared" ca="1" si="94"/>
        <v>8.2814936402397982E-2</v>
      </c>
      <c r="AH92" s="3">
        <f t="shared" ca="1" si="94"/>
        <v>0.12188073576340794</v>
      </c>
      <c r="AI92" s="3">
        <f t="shared" ca="1" si="94"/>
        <v>0.11251758843080442</v>
      </c>
      <c r="AJ92" s="3">
        <f t="shared" ca="1" si="94"/>
        <v>0.15679316604940943</v>
      </c>
    </row>
    <row r="93" spans="1:36" x14ac:dyDescent="0.35">
      <c r="A93" t="s">
        <v>86</v>
      </c>
      <c r="B93" t="s">
        <v>70</v>
      </c>
      <c r="C93" s="4">
        <v>5</v>
      </c>
      <c r="D93" s="3">
        <f t="shared" ca="1" si="77"/>
        <v>3.5392694656479637E-2</v>
      </c>
      <c r="E93" s="3">
        <f t="shared" ca="1" si="100"/>
        <v>3.5890518099244186E-2</v>
      </c>
      <c r="F93" s="3">
        <f t="shared" ca="1" si="100"/>
        <v>3.6330031950532637E-2</v>
      </c>
      <c r="G93" s="3">
        <f t="shared" ca="1" si="100"/>
        <v>3.8921741872031776E-2</v>
      </c>
      <c r="H93" s="3">
        <f t="shared" ca="1" si="100"/>
        <v>3.857282070240442E-2</v>
      </c>
      <c r="I93" s="3">
        <f t="shared" ca="1" si="100"/>
        <v>3.951793017326484E-2</v>
      </c>
      <c r="J93" s="3">
        <f t="shared" ca="1" si="100"/>
        <v>4.1120403365020819E-2</v>
      </c>
      <c r="K93" s="3">
        <f t="shared" ca="1" si="100"/>
        <v>4.1506460942454797E-2</v>
      </c>
      <c r="L93" s="3">
        <f t="shared" ca="1" si="100"/>
        <v>4.2061713356723977E-2</v>
      </c>
      <c r="M93" s="3">
        <f t="shared" ca="1" si="100"/>
        <v>4.5386825280524318E-2</v>
      </c>
      <c r="N93" s="3">
        <f t="shared" ca="1" si="100"/>
        <v>4.3803101826870944E-2</v>
      </c>
      <c r="O93" s="3">
        <f t="shared" ca="1" si="100"/>
        <v>4.7605050246765139E-2</v>
      </c>
      <c r="P93" s="3">
        <f t="shared" ca="1" si="100"/>
        <v>4.4941456427646978E-2</v>
      </c>
      <c r="Q93" s="3">
        <f t="shared" ca="1" si="100"/>
        <v>5.0818847169140674E-2</v>
      </c>
      <c r="R93" s="3">
        <f t="shared" ca="1" si="100"/>
        <v>4.6815171369449834E-2</v>
      </c>
      <c r="S93" s="3">
        <f t="shared" ca="1" si="100"/>
        <v>5.166913511592354E-2</v>
      </c>
      <c r="T93" s="3">
        <f t="shared" ca="1" si="100"/>
        <v>4.9755571928044112E-2</v>
      </c>
      <c r="U93" s="3">
        <f t="shared" ca="1" si="100"/>
        <v>5.3355343013375779E-2</v>
      </c>
      <c r="V93" s="3">
        <f t="shared" ca="1" si="100"/>
        <v>5.1215501567028296E-2</v>
      </c>
      <c r="W93" s="3">
        <f t="shared" ca="1" si="100"/>
        <v>5.6334012476256586E-2</v>
      </c>
      <c r="X93" s="3">
        <f t="shared" ca="1" si="100"/>
        <v>5.1751737019282144E-2</v>
      </c>
      <c r="Y93" s="3">
        <f t="shared" ca="1" si="100"/>
        <v>6.9690879165381928E-2</v>
      </c>
      <c r="Z93" s="3">
        <f t="shared" ca="1" si="100"/>
        <v>6.0741004079169776E-2</v>
      </c>
      <c r="AA93" s="3">
        <f t="shared" ca="1" si="100"/>
        <v>7.1444374800700663E-2</v>
      </c>
      <c r="AB93" s="3">
        <f t="shared" ref="AB93:AJ93" ca="1" si="109">MIN(0.99,AB36+$O$3)</f>
        <v>7.631010458458197E-2</v>
      </c>
      <c r="AC93" s="3">
        <f t="shared" ca="1" si="94"/>
        <v>7.5572412537637759E-2</v>
      </c>
      <c r="AD93" s="3">
        <f t="shared" ca="1" si="94"/>
        <v>8.7156608441624678E-2</v>
      </c>
      <c r="AE93" s="3">
        <f t="shared" ca="1" si="94"/>
        <v>7.6927266887639539E-2</v>
      </c>
      <c r="AF93" s="3">
        <f t="shared" ca="1" si="94"/>
        <v>0.10157524610198981</v>
      </c>
      <c r="AG93" s="3">
        <f t="shared" ca="1" si="94"/>
        <v>8.3774147890367995E-2</v>
      </c>
      <c r="AH93" s="3">
        <f t="shared" ca="1" si="94"/>
        <v>0.1227987642405747</v>
      </c>
      <c r="AI93" s="3">
        <f t="shared" ca="1" si="94"/>
        <v>0.11350637948360418</v>
      </c>
      <c r="AJ93" s="3">
        <f t="shared" ca="1" si="94"/>
        <v>0.15770343261216016</v>
      </c>
    </row>
    <row r="94" spans="1:36" x14ac:dyDescent="0.35">
      <c r="A94" t="s">
        <v>86</v>
      </c>
      <c r="B94" t="s">
        <v>70</v>
      </c>
      <c r="C94" s="4" t="s">
        <v>80</v>
      </c>
      <c r="D94" s="3">
        <f t="shared" ca="1" si="77"/>
        <v>3.6351773931649969E-2</v>
      </c>
      <c r="E94" s="3">
        <f t="shared" ca="1" si="100"/>
        <v>3.680184805336735E-2</v>
      </c>
      <c r="F94" s="3">
        <f t="shared" ca="1" si="100"/>
        <v>3.724746538135372E-2</v>
      </c>
      <c r="G94" s="3">
        <f t="shared" ca="1" si="100"/>
        <v>3.984882558655499E-2</v>
      </c>
      <c r="H94" s="3">
        <f t="shared" ca="1" si="100"/>
        <v>3.9504000585793772E-2</v>
      </c>
      <c r="I94" s="3">
        <f t="shared" ca="1" si="100"/>
        <v>4.0430748797970498E-2</v>
      </c>
      <c r="J94" s="3">
        <f t="shared" ca="1" si="100"/>
        <v>4.2031801178841949E-2</v>
      </c>
      <c r="K94" s="3">
        <f t="shared" ca="1" si="100"/>
        <v>4.2424873757696546E-2</v>
      </c>
      <c r="L94" s="3">
        <f t="shared" ca="1" si="100"/>
        <v>4.304214384858078E-2</v>
      </c>
      <c r="M94" s="3">
        <f t="shared" ca="1" si="100"/>
        <v>4.6314487648356509E-2</v>
      </c>
      <c r="N94" s="3">
        <f t="shared" ca="1" si="100"/>
        <v>4.4735174762869395E-2</v>
      </c>
      <c r="O94" s="3">
        <f t="shared" ca="1" si="100"/>
        <v>4.855761402978008E-2</v>
      </c>
      <c r="P94" s="3">
        <f t="shared" ca="1" si="100"/>
        <v>4.5846949080484811E-2</v>
      </c>
      <c r="Q94" s="3">
        <f t="shared" ca="1" si="100"/>
        <v>5.179800821352927E-2</v>
      </c>
      <c r="R94" s="3">
        <f t="shared" ca="1" si="100"/>
        <v>4.7739080216049889E-2</v>
      </c>
      <c r="S94" s="3">
        <f t="shared" ca="1" si="100"/>
        <v>5.2632501724534264E-2</v>
      </c>
      <c r="T94" s="3">
        <f t="shared" ca="1" si="100"/>
        <v>5.0735723704777171E-2</v>
      </c>
      <c r="U94" s="3">
        <f t="shared" ca="1" si="100"/>
        <v>5.43447373841493E-2</v>
      </c>
      <c r="V94" s="3">
        <f t="shared" ca="1" si="100"/>
        <v>5.2137387459350648E-2</v>
      </c>
      <c r="W94" s="3">
        <f t="shared" ca="1" si="100"/>
        <v>5.7330402039918127E-2</v>
      </c>
      <c r="X94" s="3">
        <f t="shared" ca="1" si="100"/>
        <v>5.2723931911511715E-2</v>
      </c>
      <c r="Y94" s="3">
        <f t="shared" ca="1" si="100"/>
        <v>7.0674554177941495E-2</v>
      </c>
      <c r="Z94" s="3">
        <f t="shared" ca="1" si="100"/>
        <v>6.1661601632961228E-2</v>
      </c>
      <c r="AA94" s="3">
        <f t="shared" ca="1" si="100"/>
        <v>7.235555504151063E-2</v>
      </c>
      <c r="AB94" s="3">
        <f t="shared" ref="AB94:AJ94" ca="1" si="110">MIN(0.99,AB37+$O$3)</f>
        <v>7.7279251365582141E-2</v>
      </c>
      <c r="AC94" s="3">
        <f t="shared" ca="1" si="94"/>
        <v>7.6512363326338484E-2</v>
      </c>
      <c r="AD94" s="3">
        <f t="shared" ca="1" si="94"/>
        <v>8.8153533548577634E-2</v>
      </c>
      <c r="AE94" s="3">
        <f t="shared" ca="1" si="94"/>
        <v>7.7919234787426739E-2</v>
      </c>
      <c r="AF94" s="3">
        <f t="shared" ca="1" si="94"/>
        <v>0.1025566190787677</v>
      </c>
      <c r="AG94" s="3">
        <f t="shared" ca="1" si="94"/>
        <v>8.4679119417618867E-2</v>
      </c>
      <c r="AH94" s="3">
        <f t="shared" ca="1" si="94"/>
        <v>0.12379724441090237</v>
      </c>
      <c r="AI94" s="3">
        <f t="shared" ca="1" si="94"/>
        <v>0.11447737915528408</v>
      </c>
      <c r="AJ94" s="3">
        <f t="shared" ca="1" si="94"/>
        <v>0.15863130220388544</v>
      </c>
    </row>
    <row r="95" spans="1:36" x14ac:dyDescent="0.35">
      <c r="A95" t="s">
        <v>86</v>
      </c>
      <c r="B95" t="s">
        <v>70</v>
      </c>
      <c r="C95" s="4" t="s">
        <v>81</v>
      </c>
      <c r="D95" s="3">
        <f t="shared" ca="1" si="77"/>
        <v>3.7287467546807049E-2</v>
      </c>
      <c r="E95" s="3">
        <f t="shared" ca="1" si="100"/>
        <v>3.7799439716605168E-2</v>
      </c>
      <c r="F95" s="3">
        <f t="shared" ca="1" si="100"/>
        <v>3.8168110591174267E-2</v>
      </c>
      <c r="G95" s="3">
        <f t="shared" ca="1" si="100"/>
        <v>4.0830304448688695E-2</v>
      </c>
      <c r="H95" s="3">
        <f t="shared" ca="1" si="100"/>
        <v>4.0460081563107889E-2</v>
      </c>
      <c r="I95" s="3">
        <f t="shared" ca="1" si="100"/>
        <v>4.1378305616512567E-2</v>
      </c>
      <c r="J95" s="3">
        <f t="shared" ca="1" si="100"/>
        <v>4.3031129452598543E-2</v>
      </c>
      <c r="K95" s="3">
        <f t="shared" ca="1" si="100"/>
        <v>4.3355012176682924E-2</v>
      </c>
      <c r="L95" s="3">
        <f t="shared" ca="1" si="100"/>
        <v>4.4035584942616376E-2</v>
      </c>
      <c r="M95" s="3">
        <f t="shared" ca="1" si="100"/>
        <v>4.7236126873448289E-2</v>
      </c>
      <c r="N95" s="3">
        <f t="shared" ca="1" si="100"/>
        <v>4.5725530448257175E-2</v>
      </c>
      <c r="O95" s="3">
        <f t="shared" ca="1" si="100"/>
        <v>4.9508461601667678E-2</v>
      </c>
      <c r="P95" s="3">
        <f t="shared" ca="1" si="100"/>
        <v>4.6843279472699034E-2</v>
      </c>
      <c r="Q95" s="3">
        <f t="shared" ca="1" si="100"/>
        <v>5.2743077175822391E-2</v>
      </c>
      <c r="R95" s="3">
        <f t="shared" ca="1" si="100"/>
        <v>4.872676465088184E-2</v>
      </c>
      <c r="S95" s="3">
        <f t="shared" ca="1" si="100"/>
        <v>5.360869827293617E-2</v>
      </c>
      <c r="T95" s="3">
        <f t="shared" ca="1" si="100"/>
        <v>5.1682733470650763E-2</v>
      </c>
      <c r="U95" s="3">
        <f t="shared" ca="1" si="100"/>
        <v>5.527349094516304E-2</v>
      </c>
      <c r="V95" s="3">
        <f t="shared" ca="1" si="100"/>
        <v>5.3093872015896069E-2</v>
      </c>
      <c r="W95" s="3">
        <f t="shared" ca="1" si="100"/>
        <v>5.8260792071493248E-2</v>
      </c>
      <c r="X95" s="3">
        <f t="shared" ca="1" si="100"/>
        <v>5.3630145676290722E-2</v>
      </c>
      <c r="Y95" s="3">
        <f t="shared" ca="1" si="100"/>
        <v>7.1587819182334977E-2</v>
      </c>
      <c r="Z95" s="3">
        <f t="shared" ca="1" si="100"/>
        <v>6.2581680407734222E-2</v>
      </c>
      <c r="AA95" s="3">
        <f t="shared" ca="1" si="100"/>
        <v>7.3256913604067775E-2</v>
      </c>
      <c r="AB95" s="3">
        <f t="shared" ref="AB95:AJ110" ca="1" si="111">MIN(0.99,AB38+$O$3)</f>
        <v>7.8180148342159028E-2</v>
      </c>
      <c r="AC95" s="3">
        <f t="shared" ca="1" si="111"/>
        <v>7.7430344217926078E-2</v>
      </c>
      <c r="AD95" s="3">
        <f t="shared" ca="1" si="111"/>
        <v>8.9139908860749406E-2</v>
      </c>
      <c r="AE95" s="3">
        <f t="shared" ca="1" si="111"/>
        <v>7.8914172312061936E-2</v>
      </c>
      <c r="AF95" s="3">
        <f t="shared" ca="1" si="111"/>
        <v>0.10346407925043716</v>
      </c>
      <c r="AG95" s="3">
        <f t="shared" ca="1" si="111"/>
        <v>8.5637834694058251E-2</v>
      </c>
      <c r="AH95" s="3">
        <f t="shared" ca="1" si="111"/>
        <v>0.12473356308585565</v>
      </c>
      <c r="AI95" s="3">
        <f t="shared" ca="1" si="111"/>
        <v>0.11542309894741104</v>
      </c>
      <c r="AJ95" s="3">
        <f t="shared" ca="1" si="111"/>
        <v>0.15961544768541897</v>
      </c>
    </row>
    <row r="96" spans="1:36" x14ac:dyDescent="0.35">
      <c r="A96" t="s">
        <v>86</v>
      </c>
      <c r="B96" t="s">
        <v>70</v>
      </c>
      <c r="C96" s="4">
        <v>6</v>
      </c>
      <c r="D96" s="3">
        <f t="shared" ca="1" si="77"/>
        <v>3.8272096852670488E-2</v>
      </c>
      <c r="E96" s="3">
        <f t="shared" ca="1" si="100"/>
        <v>3.8741952086140265E-2</v>
      </c>
      <c r="F96" s="3">
        <f t="shared" ca="1" si="100"/>
        <v>3.9141622006834173E-2</v>
      </c>
      <c r="G96" s="3">
        <f t="shared" ca="1" si="100"/>
        <v>4.1733324978217787E-2</v>
      </c>
      <c r="H96" s="3">
        <f t="shared" ca="1" si="100"/>
        <v>4.1405038231334908E-2</v>
      </c>
      <c r="I96" s="3">
        <f t="shared" ca="1" si="100"/>
        <v>4.2308435495173158E-2</v>
      </c>
      <c r="J96" s="3">
        <f t="shared" ca="1" si="100"/>
        <v>4.4002617153295356E-2</v>
      </c>
      <c r="K96" s="3">
        <f t="shared" ca="1" si="100"/>
        <v>4.4289595095036757E-2</v>
      </c>
      <c r="L96" s="3">
        <f t="shared" ca="1" si="100"/>
        <v>4.501016792299839E-2</v>
      </c>
      <c r="M96" s="3">
        <f t="shared" ca="1" si="100"/>
        <v>4.8203776790779584E-2</v>
      </c>
      <c r="N96" s="3">
        <f t="shared" ca="1" si="100"/>
        <v>4.6657836556008053E-2</v>
      </c>
      <c r="O96" s="3">
        <f t="shared" ca="1" si="100"/>
        <v>5.0435235537850315E-2</v>
      </c>
      <c r="P96" s="3">
        <f t="shared" ca="1" si="100"/>
        <v>4.781316305680644E-2</v>
      </c>
      <c r="Q96" s="3">
        <f t="shared" ca="1" si="100"/>
        <v>5.36596706828215E-2</v>
      </c>
      <c r="R96" s="3">
        <f t="shared" ca="1" si="100"/>
        <v>4.9658274328919311E-2</v>
      </c>
      <c r="S96" s="3">
        <f t="shared" ca="1" si="100"/>
        <v>5.4582825819937439E-2</v>
      </c>
      <c r="T96" s="3">
        <f t="shared" ca="1" si="100"/>
        <v>5.2645195841634705E-2</v>
      </c>
      <c r="U96" s="3">
        <f t="shared" ca="1" si="100"/>
        <v>5.6247389925240962E-2</v>
      </c>
      <c r="V96" s="3">
        <f t="shared" ca="1" si="100"/>
        <v>5.4003528479935919E-2</v>
      </c>
      <c r="W96" s="3">
        <f t="shared" ca="1" si="100"/>
        <v>5.9260272557253704E-2</v>
      </c>
      <c r="X96" s="3">
        <f t="shared" ca="1" si="100"/>
        <v>5.4569085329601953E-2</v>
      </c>
      <c r="Y96" s="3">
        <f t="shared" ca="1" si="100"/>
        <v>7.2571635228697598E-2</v>
      </c>
      <c r="Z96" s="3">
        <f t="shared" ref="E96:AA107" ca="1" si="112">MIN(0.99,Z39+$O$3)</f>
        <v>6.3484260763572276E-2</v>
      </c>
      <c r="AA96" s="3">
        <f t="shared" ca="1" si="112"/>
        <v>7.41802567953809E-2</v>
      </c>
      <c r="AB96" s="3">
        <f t="shared" ref="AB96:AJ96" ca="1" si="113">MIN(0.99,AB39+$O$3)</f>
        <v>7.9178930688432597E-2</v>
      </c>
      <c r="AC96" s="3">
        <f t="shared" ca="1" si="111"/>
        <v>7.8407387831742975E-2</v>
      </c>
      <c r="AD96" s="3">
        <f t="shared" ca="1" si="111"/>
        <v>9.0075849411550307E-2</v>
      </c>
      <c r="AE96" s="3">
        <f t="shared" ca="1" si="111"/>
        <v>7.985983367855487E-2</v>
      </c>
      <c r="AF96" s="3">
        <f t="shared" ca="1" si="111"/>
        <v>0.10444283807891705</v>
      </c>
      <c r="AG96" s="3">
        <f t="shared" ca="1" si="111"/>
        <v>8.6554387249112269E-2</v>
      </c>
      <c r="AH96" s="3">
        <f t="shared" ca="1" si="111"/>
        <v>0.12565919973432635</v>
      </c>
      <c r="AI96" s="3">
        <f t="shared" ca="1" si="111"/>
        <v>0.11637869099694401</v>
      </c>
      <c r="AJ96" s="3">
        <f t="shared" ca="1" si="111"/>
        <v>0.16060720677105211</v>
      </c>
    </row>
    <row r="97" spans="1:36" x14ac:dyDescent="0.35">
      <c r="A97" t="s">
        <v>86</v>
      </c>
      <c r="B97" t="s">
        <v>70</v>
      </c>
      <c r="C97" s="4" t="s">
        <v>82</v>
      </c>
      <c r="D97" s="3">
        <f t="shared" ca="1" si="77"/>
        <v>3.926381226677679E-2</v>
      </c>
      <c r="E97" s="3">
        <f t="shared" ca="1" si="112"/>
        <v>3.9732909303191059E-2</v>
      </c>
      <c r="F97" s="3">
        <f t="shared" ca="1" si="112"/>
        <v>4.0098791819076357E-2</v>
      </c>
      <c r="G97" s="3">
        <f t="shared" ca="1" si="112"/>
        <v>4.2657787312976536E-2</v>
      </c>
      <c r="H97" s="3">
        <f t="shared" ca="1" si="112"/>
        <v>4.2359137822923207E-2</v>
      </c>
      <c r="I97" s="3">
        <f t="shared" ca="1" si="112"/>
        <v>4.32209385765343E-2</v>
      </c>
      <c r="J97" s="3">
        <f t="shared" ca="1" si="112"/>
        <v>4.4913804826462678E-2</v>
      </c>
      <c r="K97" s="3">
        <f t="shared" ca="1" si="112"/>
        <v>4.5230739249146848E-2</v>
      </c>
      <c r="L97" s="3">
        <f t="shared" ca="1" si="112"/>
        <v>4.5932939413809312E-2</v>
      </c>
      <c r="M97" s="3">
        <f t="shared" ca="1" si="112"/>
        <v>4.9145788593844712E-2</v>
      </c>
      <c r="N97" s="3">
        <f t="shared" ca="1" si="112"/>
        <v>4.7626853432754357E-2</v>
      </c>
      <c r="O97" s="3">
        <f t="shared" ca="1" si="112"/>
        <v>5.1411956162055475E-2</v>
      </c>
      <c r="P97" s="3">
        <f t="shared" ca="1" si="112"/>
        <v>4.8797656562763594E-2</v>
      </c>
      <c r="Q97" s="3">
        <f t="shared" ca="1" si="112"/>
        <v>5.4646484395261069E-2</v>
      </c>
      <c r="R97" s="3">
        <f t="shared" ca="1" si="112"/>
        <v>5.0641147430560376E-2</v>
      </c>
      <c r="S97" s="3">
        <f t="shared" ca="1" si="112"/>
        <v>5.5581708473058704E-2</v>
      </c>
      <c r="T97" s="3">
        <f t="shared" ca="1" si="112"/>
        <v>5.3632438724495371E-2</v>
      </c>
      <c r="U97" s="3">
        <f t="shared" ca="1" si="112"/>
        <v>5.7160840021064085E-2</v>
      </c>
      <c r="V97" s="3">
        <f t="shared" ca="1" si="112"/>
        <v>5.4983365819813092E-2</v>
      </c>
      <c r="W97" s="3">
        <f t="shared" ca="1" si="112"/>
        <v>6.0189326402891208E-2</v>
      </c>
      <c r="X97" s="3">
        <f t="shared" ca="1" si="112"/>
        <v>5.5503971177556545E-2</v>
      </c>
      <c r="Y97" s="3">
        <f t="shared" ca="1" si="112"/>
        <v>7.349241981902066E-2</v>
      </c>
      <c r="Z97" s="3">
        <f t="shared" ca="1" si="112"/>
        <v>6.4469083705149116E-2</v>
      </c>
      <c r="AA97" s="3">
        <f t="shared" ca="1" si="112"/>
        <v>7.5161684148165792E-2</v>
      </c>
      <c r="AB97" s="3">
        <f t="shared" ref="AB97:AJ97" ca="1" si="114">MIN(0.99,AB40+$O$3)</f>
        <v>8.0080984699076721E-2</v>
      </c>
      <c r="AC97" s="3">
        <f t="shared" ca="1" si="111"/>
        <v>7.9324685025339028E-2</v>
      </c>
      <c r="AD97" s="3">
        <f t="shared" ca="1" si="111"/>
        <v>9.1025249828346172E-2</v>
      </c>
      <c r="AE97" s="3">
        <f t="shared" ca="1" si="111"/>
        <v>8.085578632979426E-2</v>
      </c>
      <c r="AF97" s="3">
        <f t="shared" ca="1" si="111"/>
        <v>0.10544241168967833</v>
      </c>
      <c r="AG97" s="3">
        <f t="shared" ca="1" si="111"/>
        <v>8.7454474720507686E-2</v>
      </c>
      <c r="AH97" s="3">
        <f t="shared" ca="1" si="111"/>
        <v>0.1265718690412003</v>
      </c>
      <c r="AI97" s="3">
        <f t="shared" ca="1" si="111"/>
        <v>0.11733357844031292</v>
      </c>
      <c r="AJ97" s="3">
        <f t="shared" ca="1" si="111"/>
        <v>0.16156039003403713</v>
      </c>
    </row>
    <row r="98" spans="1:36" x14ac:dyDescent="0.35">
      <c r="A98" t="s">
        <v>86</v>
      </c>
      <c r="B98" t="s">
        <v>70</v>
      </c>
      <c r="C98" s="4" t="s">
        <v>83</v>
      </c>
      <c r="D98" s="3">
        <f t="shared" ca="1" si="77"/>
        <v>4.0258313325835099E-2</v>
      </c>
      <c r="E98" s="3">
        <f t="shared" ca="1" si="112"/>
        <v>4.0664422751371526E-2</v>
      </c>
      <c r="F98" s="3">
        <f t="shared" ca="1" si="112"/>
        <v>4.1044139420366402E-2</v>
      </c>
      <c r="G98" s="3">
        <f t="shared" ca="1" si="112"/>
        <v>4.3654183375913591E-2</v>
      </c>
      <c r="H98" s="3">
        <f t="shared" ca="1" si="112"/>
        <v>4.3342934195328725E-2</v>
      </c>
      <c r="I98" s="3">
        <f t="shared" ca="1" si="112"/>
        <v>4.4208570208275684E-2</v>
      </c>
      <c r="J98" s="3">
        <f t="shared" ca="1" si="112"/>
        <v>4.5820944924715459E-2</v>
      </c>
      <c r="K98" s="3">
        <f t="shared" ca="1" si="112"/>
        <v>4.6211150414129265E-2</v>
      </c>
      <c r="L98" s="3">
        <f t="shared" ca="1" si="112"/>
        <v>4.6900842615034626E-2</v>
      </c>
      <c r="M98" s="3">
        <f t="shared" ca="1" si="112"/>
        <v>5.0089982830518257E-2</v>
      </c>
      <c r="N98" s="3">
        <f t="shared" ca="1" si="112"/>
        <v>4.8589694759775093E-2</v>
      </c>
      <c r="O98" s="3">
        <f t="shared" ca="1" si="112"/>
        <v>5.2340255688448495E-2</v>
      </c>
      <c r="P98" s="3">
        <f t="shared" ca="1" si="112"/>
        <v>4.9724828456456788E-2</v>
      </c>
      <c r="Q98" s="3">
        <f t="shared" ca="1" si="112"/>
        <v>5.5590752891357606E-2</v>
      </c>
      <c r="R98" s="3">
        <f t="shared" ca="1" si="112"/>
        <v>5.1587469340213118E-2</v>
      </c>
      <c r="S98" s="3">
        <f t="shared" ca="1" si="112"/>
        <v>5.6567772570547105E-2</v>
      </c>
      <c r="T98" s="3">
        <f t="shared" ca="1" si="112"/>
        <v>5.459773118010345E-2</v>
      </c>
      <c r="U98" s="3">
        <f t="shared" ca="1" si="112"/>
        <v>5.8066878048339501E-2</v>
      </c>
      <c r="V98" s="3">
        <f t="shared" ca="1" si="112"/>
        <v>5.5965582589996905E-2</v>
      </c>
      <c r="W98" s="3">
        <f t="shared" ca="1" si="112"/>
        <v>6.1152745560524316E-2</v>
      </c>
      <c r="X98" s="3">
        <f t="shared" ca="1" si="112"/>
        <v>5.6411965868464982E-2</v>
      </c>
      <c r="Y98" s="3">
        <f t="shared" ca="1" si="112"/>
        <v>7.4405199454347676E-2</v>
      </c>
      <c r="Z98" s="3">
        <f t="shared" ca="1" si="112"/>
        <v>6.544661319063283E-2</v>
      </c>
      <c r="AA98" s="3">
        <f t="shared" ca="1" si="112"/>
        <v>7.6147798083036136E-2</v>
      </c>
      <c r="AB98" s="3">
        <f t="shared" ref="AB98:AJ98" ca="1" si="115">MIN(0.99,AB41+$O$3)</f>
        <v>8.1012391787465179E-2</v>
      </c>
      <c r="AC98" s="3">
        <f t="shared" ca="1" si="111"/>
        <v>8.0249058594318759E-2</v>
      </c>
      <c r="AD98" s="3">
        <f t="shared" ca="1" si="111"/>
        <v>9.2012703948703811E-2</v>
      </c>
      <c r="AE98" s="3">
        <f t="shared" ca="1" si="111"/>
        <v>8.1762099494107621E-2</v>
      </c>
      <c r="AF98" s="3">
        <f t="shared" ca="1" si="111"/>
        <v>0.10640834006645986</v>
      </c>
      <c r="AG98" s="3">
        <f t="shared" ca="1" si="111"/>
        <v>8.8383140432970964E-2</v>
      </c>
      <c r="AH98" s="3">
        <f t="shared" ca="1" si="111"/>
        <v>0.12749350671209306</v>
      </c>
      <c r="AI98" s="3">
        <f t="shared" ca="1" si="111"/>
        <v>0.1182405897273513</v>
      </c>
      <c r="AJ98" s="3">
        <f t="shared" ca="1" si="111"/>
        <v>0.16252565964640187</v>
      </c>
    </row>
    <row r="99" spans="1:36" x14ac:dyDescent="0.35">
      <c r="A99" t="s">
        <v>86</v>
      </c>
      <c r="B99" t="s">
        <v>70</v>
      </c>
      <c r="C99" s="4">
        <v>7</v>
      </c>
      <c r="D99" s="3">
        <f t="shared" ca="1" si="77"/>
        <v>4.1200661918787046E-2</v>
      </c>
      <c r="E99" s="3">
        <f t="shared" ca="1" si="112"/>
        <v>4.1599050848178991E-2</v>
      </c>
      <c r="F99" s="3">
        <f t="shared" ca="1" si="112"/>
        <v>4.1999908112302822E-2</v>
      </c>
      <c r="G99" s="3">
        <f t="shared" ca="1" si="112"/>
        <v>4.4602747294023928E-2</v>
      </c>
      <c r="H99" s="3">
        <f t="shared" ca="1" si="112"/>
        <v>4.4340927736579154E-2</v>
      </c>
      <c r="I99" s="3">
        <f t="shared" ca="1" si="112"/>
        <v>4.5160013680824958E-2</v>
      </c>
      <c r="J99" s="3">
        <f t="shared" ca="1" si="112"/>
        <v>4.6798636055544518E-2</v>
      </c>
      <c r="K99" s="3">
        <f t="shared" ca="1" si="112"/>
        <v>4.7147417078684757E-2</v>
      </c>
      <c r="L99" s="3">
        <f t="shared" ca="1" si="112"/>
        <v>4.7884361362201255E-2</v>
      </c>
      <c r="M99" s="3">
        <f t="shared" ca="1" si="112"/>
        <v>5.1066011617063048E-2</v>
      </c>
      <c r="N99" s="3">
        <f t="shared" ca="1" si="112"/>
        <v>4.9574935817173066E-2</v>
      </c>
      <c r="O99" s="3">
        <f t="shared" ca="1" si="112"/>
        <v>5.3243120872214833E-2</v>
      </c>
      <c r="P99" s="3">
        <f t="shared" ca="1" si="112"/>
        <v>5.0652615848860216E-2</v>
      </c>
      <c r="Q99" s="3">
        <f t="shared" ca="1" si="112"/>
        <v>5.6569733367876192E-2</v>
      </c>
      <c r="R99" s="3">
        <f t="shared" ca="1" si="112"/>
        <v>5.2576129199714078E-2</v>
      </c>
      <c r="S99" s="3">
        <f t="shared" ca="1" si="112"/>
        <v>5.7540739523052102E-2</v>
      </c>
      <c r="T99" s="3">
        <f t="shared" ca="1" si="112"/>
        <v>5.5548683447016849E-2</v>
      </c>
      <c r="U99" s="3">
        <f t="shared" ca="1" si="112"/>
        <v>5.9009804975175335E-2</v>
      </c>
      <c r="V99" s="3">
        <f t="shared" ca="1" si="112"/>
        <v>5.6950087490942866E-2</v>
      </c>
      <c r="W99" s="3">
        <f t="shared" ca="1" si="112"/>
        <v>6.2118232677885625E-2</v>
      </c>
      <c r="X99" s="3">
        <f t="shared" ca="1" si="112"/>
        <v>5.7405612871754441E-2</v>
      </c>
      <c r="Y99" s="3">
        <f t="shared" ca="1" si="112"/>
        <v>7.5324381851075345E-2</v>
      </c>
      <c r="Z99" s="3">
        <f t="shared" ca="1" si="112"/>
        <v>6.6431863695245175E-2</v>
      </c>
      <c r="AA99" s="3">
        <f t="shared" ca="1" si="112"/>
        <v>7.7138623042467269E-2</v>
      </c>
      <c r="AB99" s="3">
        <f t="shared" ref="AB99:AJ99" ca="1" si="116">MIN(0.99,AB42+$O$3)</f>
        <v>8.1919633726327448E-2</v>
      </c>
      <c r="AC99" s="3">
        <f t="shared" ca="1" si="111"/>
        <v>8.1245991404705536E-2</v>
      </c>
      <c r="AD99" s="3">
        <f t="shared" ca="1" si="111"/>
        <v>9.2975947900684419E-2</v>
      </c>
      <c r="AE99" s="3">
        <f t="shared" ca="1" si="111"/>
        <v>8.2740836097137532E-2</v>
      </c>
      <c r="AF99" s="3">
        <f t="shared" ca="1" si="111"/>
        <v>0.1073693331031208</v>
      </c>
      <c r="AG99" s="3">
        <f t="shared" ca="1" si="111"/>
        <v>8.9340509896130238E-2</v>
      </c>
      <c r="AH99" s="3">
        <f t="shared" ca="1" si="111"/>
        <v>0.1284192847923204</v>
      </c>
      <c r="AI99" s="3">
        <f t="shared" ca="1" si="111"/>
        <v>0.11918489055439596</v>
      </c>
      <c r="AJ99" s="3">
        <f t="shared" ca="1" si="111"/>
        <v>0.16348251845596493</v>
      </c>
    </row>
    <row r="100" spans="1:36" x14ac:dyDescent="0.35">
      <c r="A100" t="s">
        <v>86</v>
      </c>
      <c r="B100" t="s">
        <v>70</v>
      </c>
      <c r="C100" s="4" t="s">
        <v>84</v>
      </c>
      <c r="D100" s="3">
        <f t="shared" ca="1" si="77"/>
        <v>4.2166562334712582E-2</v>
      </c>
      <c r="E100" s="3">
        <f t="shared" ca="1" si="112"/>
        <v>4.2590553464073116E-2</v>
      </c>
      <c r="F100" s="3">
        <f t="shared" ca="1" si="112"/>
        <v>4.290184950804235E-2</v>
      </c>
      <c r="G100" s="3">
        <f t="shared" ca="1" si="112"/>
        <v>4.5564174319794273E-2</v>
      </c>
      <c r="H100" s="3">
        <f t="shared" ca="1" si="112"/>
        <v>4.5243459502794653E-2</v>
      </c>
      <c r="I100" s="3">
        <f t="shared" ca="1" si="112"/>
        <v>4.6069930142503254E-2</v>
      </c>
      <c r="J100" s="3">
        <f t="shared" ca="1" si="112"/>
        <v>4.7726024963811071E-2</v>
      </c>
      <c r="K100" s="3">
        <f t="shared" ca="1" si="112"/>
        <v>4.8088037481514065E-2</v>
      </c>
      <c r="L100" s="3">
        <f t="shared" ca="1" si="112"/>
        <v>4.8882835718398229E-2</v>
      </c>
      <c r="M100" s="3">
        <f t="shared" ca="1" si="112"/>
        <v>5.1982289432040987E-2</v>
      </c>
      <c r="N100" s="3">
        <f t="shared" ca="1" si="112"/>
        <v>5.0540296229596417E-2</v>
      </c>
      <c r="O100" s="3">
        <f t="shared" ca="1" si="112"/>
        <v>5.4221587420155815E-2</v>
      </c>
      <c r="P100" s="3">
        <f t="shared" ca="1" si="112"/>
        <v>5.1595541411957921E-2</v>
      </c>
      <c r="Q100" s="3">
        <f t="shared" ca="1" si="112"/>
        <v>5.7536050711690656E-2</v>
      </c>
      <c r="R100" s="3">
        <f t="shared" ca="1" si="112"/>
        <v>5.3547172878563712E-2</v>
      </c>
      <c r="S100" s="3">
        <f t="shared" ca="1" si="112"/>
        <v>5.8509246908124132E-2</v>
      </c>
      <c r="T100" s="3">
        <f t="shared" ca="1" si="112"/>
        <v>5.6461461138448868E-2</v>
      </c>
      <c r="U100" s="3">
        <f t="shared" ca="1" si="112"/>
        <v>5.9964158194139743E-2</v>
      </c>
      <c r="V100" s="3">
        <f t="shared" ca="1" si="112"/>
        <v>5.7913496729225834E-2</v>
      </c>
      <c r="W100" s="3">
        <f t="shared" ca="1" si="112"/>
        <v>6.3083039935777213E-2</v>
      </c>
      <c r="X100" s="3">
        <f t="shared" ca="1" si="112"/>
        <v>5.8402057325229469E-2</v>
      </c>
      <c r="Y100" s="3">
        <f t="shared" ca="1" si="112"/>
        <v>7.6278663424839174E-2</v>
      </c>
      <c r="Z100" s="3">
        <f t="shared" ca="1" si="112"/>
        <v>6.7383456054049995E-2</v>
      </c>
      <c r="AA100" s="3">
        <f t="shared" ca="1" si="112"/>
        <v>7.8129865817589558E-2</v>
      </c>
      <c r="AB100" s="3">
        <f t="shared" ref="AB100:AJ100" ca="1" si="117">MIN(0.99,AB43+$O$3)</f>
        <v>8.2841084079429569E-2</v>
      </c>
      <c r="AC100" s="3">
        <f t="shared" ca="1" si="111"/>
        <v>8.2187457185954965E-2</v>
      </c>
      <c r="AD100" s="3">
        <f t="shared" ca="1" si="111"/>
        <v>9.3909162955906844E-2</v>
      </c>
      <c r="AE100" s="3">
        <f t="shared" ca="1" si="111"/>
        <v>8.3688942281851642E-2</v>
      </c>
      <c r="AF100" s="3">
        <f t="shared" ca="1" si="111"/>
        <v>0.10835952907102603</v>
      </c>
      <c r="AG100" s="3">
        <f t="shared" ca="1" si="111"/>
        <v>9.0326130414968675E-2</v>
      </c>
      <c r="AH100" s="3">
        <f t="shared" ca="1" si="111"/>
        <v>0.12939825560777446</v>
      </c>
      <c r="AI100" s="3">
        <f t="shared" ca="1" si="111"/>
        <v>0.12011156209015139</v>
      </c>
      <c r="AJ100" s="3">
        <f t="shared" ca="1" si="111"/>
        <v>0.16438586655357662</v>
      </c>
    </row>
    <row r="101" spans="1:36" x14ac:dyDescent="0.35">
      <c r="A101" t="s">
        <v>86</v>
      </c>
      <c r="B101" t="s">
        <v>71</v>
      </c>
      <c r="C101" s="4">
        <v>1</v>
      </c>
      <c r="D101" s="3">
        <f t="shared" ca="1" si="77"/>
        <v>2.5948915556580826E-2</v>
      </c>
      <c r="E101" s="3">
        <f t="shared" ca="1" si="112"/>
        <v>2.6491420718664192E-2</v>
      </c>
      <c r="F101" s="3">
        <f t="shared" ca="1" si="112"/>
        <v>2.6828636466375507E-2</v>
      </c>
      <c r="G101" s="3">
        <f t="shared" ca="1" si="112"/>
        <v>2.9416183211137058E-2</v>
      </c>
      <c r="H101" s="3">
        <f t="shared" ca="1" si="112"/>
        <v>2.9005024141501759E-2</v>
      </c>
      <c r="I101" s="3">
        <f t="shared" ca="1" si="112"/>
        <v>3.0101024429384424E-2</v>
      </c>
      <c r="J101" s="3">
        <f t="shared" ca="1" si="112"/>
        <v>3.181631480894713E-2</v>
      </c>
      <c r="K101" s="3">
        <f t="shared" ca="1" si="112"/>
        <v>3.22149945846779E-2</v>
      </c>
      <c r="L101" s="3">
        <f t="shared" ca="1" si="112"/>
        <v>3.2822022760135863E-2</v>
      </c>
      <c r="M101" s="3">
        <f t="shared" ca="1" si="112"/>
        <v>3.590757038246617E-2</v>
      </c>
      <c r="N101" s="3">
        <f t="shared" ca="1" si="112"/>
        <v>3.4251118007418313E-2</v>
      </c>
      <c r="O101" s="3">
        <f t="shared" ca="1" si="112"/>
        <v>3.82096520317316E-2</v>
      </c>
      <c r="P101" s="3">
        <f t="shared" ca="1" si="112"/>
        <v>3.5555720538694616E-2</v>
      </c>
      <c r="Q101" s="3">
        <f t="shared" ca="1" si="112"/>
        <v>4.127440801453193E-2</v>
      </c>
      <c r="R101" s="3">
        <f t="shared" ca="1" si="112"/>
        <v>3.7278056269551885E-2</v>
      </c>
      <c r="S101" s="3">
        <f t="shared" ca="1" si="112"/>
        <v>4.2319199292237722E-2</v>
      </c>
      <c r="T101" s="3">
        <f t="shared" ca="1" si="112"/>
        <v>4.0320357003587978E-2</v>
      </c>
      <c r="U101" s="3">
        <f t="shared" ca="1" si="112"/>
        <v>4.4050714254284404E-2</v>
      </c>
      <c r="V101" s="3">
        <f t="shared" ca="1" si="112"/>
        <v>4.1685101092689733E-2</v>
      </c>
      <c r="W101" s="3">
        <f t="shared" ca="1" si="112"/>
        <v>4.6909280107846646E-2</v>
      </c>
      <c r="X101" s="3">
        <f t="shared" ca="1" si="112"/>
        <v>4.2360103972379409E-2</v>
      </c>
      <c r="Y101" s="3">
        <f t="shared" ca="1" si="112"/>
        <v>6.0049654115689875E-2</v>
      </c>
      <c r="Z101" s="3">
        <f t="shared" ca="1" si="112"/>
        <v>5.1263312099614877E-2</v>
      </c>
      <c r="AA101" s="3">
        <f t="shared" ca="1" si="112"/>
        <v>6.1895172202255475E-2</v>
      </c>
      <c r="AB101" s="3">
        <f t="shared" ref="AB101:AJ101" ca="1" si="118">MIN(0.99,AB44+$O$3)</f>
        <v>6.703669638929155E-2</v>
      </c>
      <c r="AC101" s="3">
        <f t="shared" ca="1" si="111"/>
        <v>6.6005313707715771E-2</v>
      </c>
      <c r="AD101" s="3">
        <f t="shared" ca="1" si="111"/>
        <v>7.7784244355589643E-2</v>
      </c>
      <c r="AE101" s="3">
        <f t="shared" ca="1" si="111"/>
        <v>6.738175851732818E-2</v>
      </c>
      <c r="AF101" s="3">
        <f t="shared" ca="1" si="111"/>
        <v>9.2107199728716338E-2</v>
      </c>
      <c r="AG101" s="3">
        <f t="shared" ca="1" si="111"/>
        <v>7.4165330697988474E-2</v>
      </c>
      <c r="AH101" s="3">
        <f t="shared" ca="1" si="111"/>
        <v>0.11346503354934928</v>
      </c>
      <c r="AI101" s="3">
        <f t="shared" ca="1" si="111"/>
        <v>0.10387410798111177</v>
      </c>
      <c r="AJ101" s="3">
        <f t="shared" ca="1" si="111"/>
        <v>0.14833653162521981</v>
      </c>
    </row>
    <row r="102" spans="1:36" x14ac:dyDescent="0.35">
      <c r="A102" t="s">
        <v>86</v>
      </c>
      <c r="B102" t="s">
        <v>71</v>
      </c>
      <c r="C102" s="4" t="s">
        <v>73</v>
      </c>
      <c r="D102" s="3">
        <f t="shared" ca="1" si="77"/>
        <v>2.6926561052789195E-2</v>
      </c>
      <c r="E102" s="3">
        <f t="shared" ca="1" si="112"/>
        <v>2.7448231212810092E-2</v>
      </c>
      <c r="F102" s="3">
        <f t="shared" ca="1" si="112"/>
        <v>2.7764957510307713E-2</v>
      </c>
      <c r="G102" s="3">
        <f t="shared" ca="1" si="112"/>
        <v>3.0322692601680367E-2</v>
      </c>
      <c r="H102" s="3">
        <f t="shared" ca="1" si="112"/>
        <v>2.9988020581014976E-2</v>
      </c>
      <c r="I102" s="3">
        <f t="shared" ca="1" si="112"/>
        <v>3.1069378063951162E-2</v>
      </c>
      <c r="J102" s="3">
        <f t="shared" ca="1" si="112"/>
        <v>3.2793115714279883E-2</v>
      </c>
      <c r="K102" s="3">
        <f t="shared" ca="1" si="112"/>
        <v>3.3189774349119745E-2</v>
      </c>
      <c r="L102" s="3">
        <f t="shared" ca="1" si="112"/>
        <v>3.374099864163109E-2</v>
      </c>
      <c r="M102" s="3">
        <f t="shared" ca="1" si="112"/>
        <v>3.6875218593734549E-2</v>
      </c>
      <c r="N102" s="3">
        <f t="shared" ca="1" si="112"/>
        <v>3.5191787313370054E-2</v>
      </c>
      <c r="O102" s="3">
        <f t="shared" ca="1" si="112"/>
        <v>3.9111750155094875E-2</v>
      </c>
      <c r="P102" s="3">
        <f t="shared" ca="1" si="112"/>
        <v>3.6530831549218615E-2</v>
      </c>
      <c r="Q102" s="3">
        <f t="shared" ca="1" si="112"/>
        <v>4.2229543020589677E-2</v>
      </c>
      <c r="R102" s="3">
        <f t="shared" ca="1" si="112"/>
        <v>3.8270533130590631E-2</v>
      </c>
      <c r="S102" s="3">
        <f t="shared" ca="1" si="112"/>
        <v>4.3295220226228039E-2</v>
      </c>
      <c r="T102" s="3">
        <f t="shared" ca="1" si="112"/>
        <v>4.1220438034372864E-2</v>
      </c>
      <c r="U102" s="3">
        <f t="shared" ca="1" si="112"/>
        <v>4.4986514159243679E-2</v>
      </c>
      <c r="V102" s="3">
        <f t="shared" ca="1" si="112"/>
        <v>4.2619064739089066E-2</v>
      </c>
      <c r="W102" s="3">
        <f t="shared" ca="1" si="112"/>
        <v>4.7825500223234757E-2</v>
      </c>
      <c r="X102" s="3">
        <f t="shared" ca="1" si="112"/>
        <v>4.3334450495532022E-2</v>
      </c>
      <c r="Y102" s="3">
        <f t="shared" ca="1" si="112"/>
        <v>6.1001448457920486E-2</v>
      </c>
      <c r="Z102" s="3">
        <f t="shared" ca="1" si="112"/>
        <v>5.2164199185525936E-2</v>
      </c>
      <c r="AA102" s="3">
        <f t="shared" ca="1" si="112"/>
        <v>6.2849487744943172E-2</v>
      </c>
      <c r="AB102" s="3">
        <f t="shared" ref="AB102:AJ102" ca="1" si="119">MIN(0.99,AB45+$O$3)</f>
        <v>6.7962058348978061E-2</v>
      </c>
      <c r="AC102" s="3">
        <f t="shared" ca="1" si="111"/>
        <v>6.698419535587094E-2</v>
      </c>
      <c r="AD102" s="3">
        <f t="shared" ca="1" si="111"/>
        <v>7.872616340702672E-2</v>
      </c>
      <c r="AE102" s="3">
        <f t="shared" ca="1" si="111"/>
        <v>6.8336346951160309E-2</v>
      </c>
      <c r="AF102" s="3">
        <f t="shared" ca="1" si="111"/>
        <v>9.3105964875773634E-2</v>
      </c>
      <c r="AG102" s="3">
        <f t="shared" ca="1" si="111"/>
        <v>7.5132993889453881E-2</v>
      </c>
      <c r="AH102" s="3">
        <f t="shared" ca="1" si="111"/>
        <v>0.11439075979987495</v>
      </c>
      <c r="AI102" s="3">
        <f t="shared" ca="1" si="111"/>
        <v>0.10480226495699924</v>
      </c>
      <c r="AJ102" s="3">
        <f t="shared" ca="1" si="111"/>
        <v>0.14927164443119315</v>
      </c>
    </row>
    <row r="103" spans="1:36" x14ac:dyDescent="0.35">
      <c r="A103" t="s">
        <v>86</v>
      </c>
      <c r="B103" t="s">
        <v>71</v>
      </c>
      <c r="C103" s="4">
        <v>2</v>
      </c>
      <c r="D103" s="3">
        <f t="shared" ca="1" si="77"/>
        <v>2.7915555131409159E-2</v>
      </c>
      <c r="E103" s="3">
        <f t="shared" ca="1" si="112"/>
        <v>2.8361907030520404E-2</v>
      </c>
      <c r="F103" s="3">
        <f t="shared" ca="1" si="112"/>
        <v>2.8711247968436337E-2</v>
      </c>
      <c r="G103" s="3">
        <f t="shared" ca="1" si="112"/>
        <v>3.1272131332480822E-2</v>
      </c>
      <c r="H103" s="3">
        <f t="shared" ca="1" si="112"/>
        <v>3.0949599910417562E-2</v>
      </c>
      <c r="I103" s="3">
        <f t="shared" ca="1" si="112"/>
        <v>3.1984039596910666E-2</v>
      </c>
      <c r="J103" s="3">
        <f t="shared" ca="1" si="112"/>
        <v>3.373619002512307E-2</v>
      </c>
      <c r="K103" s="3">
        <f t="shared" ca="1" si="112"/>
        <v>3.416458024255984E-2</v>
      </c>
      <c r="L103" s="3">
        <f t="shared" ca="1" si="112"/>
        <v>3.4716628937796326E-2</v>
      </c>
      <c r="M103" s="3">
        <f t="shared" ca="1" si="112"/>
        <v>3.7790871662646885E-2</v>
      </c>
      <c r="N103" s="3">
        <f t="shared" ca="1" si="112"/>
        <v>3.6160299362651735E-2</v>
      </c>
      <c r="O103" s="3">
        <f t="shared" ca="1" si="112"/>
        <v>4.0078729794210316E-2</v>
      </c>
      <c r="P103" s="3">
        <f t="shared" ca="1" si="112"/>
        <v>3.7465168786495522E-2</v>
      </c>
      <c r="Q103" s="3">
        <f t="shared" ca="1" si="112"/>
        <v>4.319774675366319E-2</v>
      </c>
      <c r="R103" s="3">
        <f t="shared" ca="1" si="112"/>
        <v>3.9223471060640849E-2</v>
      </c>
      <c r="S103" s="3">
        <f t="shared" ca="1" si="112"/>
        <v>4.4290807760214337E-2</v>
      </c>
      <c r="T103" s="3">
        <f t="shared" ca="1" si="112"/>
        <v>4.2141829837937406E-2</v>
      </c>
      <c r="U103" s="3">
        <f t="shared" ca="1" si="112"/>
        <v>4.5897869179906368E-2</v>
      </c>
      <c r="V103" s="3">
        <f t="shared" ca="1" si="112"/>
        <v>4.3535389428510027E-2</v>
      </c>
      <c r="W103" s="3">
        <f t="shared" ca="1" si="112"/>
        <v>4.8782090388894334E-2</v>
      </c>
      <c r="X103" s="3">
        <f t="shared" ca="1" si="112"/>
        <v>4.4299327429793575E-2</v>
      </c>
      <c r="Y103" s="3">
        <f t="shared" ca="1" si="112"/>
        <v>6.1919152225019175E-2</v>
      </c>
      <c r="Z103" s="3">
        <f t="shared" ca="1" si="112"/>
        <v>5.3109094697391154E-2</v>
      </c>
      <c r="AA103" s="3">
        <f t="shared" ca="1" si="112"/>
        <v>6.3777468044106292E-2</v>
      </c>
      <c r="AB103" s="3">
        <f t="shared" ref="AB103:AJ103" ca="1" si="120">MIN(0.99,AB46+$O$3)</f>
        <v>6.8941221833536015E-2</v>
      </c>
      <c r="AC103" s="3">
        <f t="shared" ca="1" si="111"/>
        <v>6.7932100050676875E-2</v>
      </c>
      <c r="AD103" s="3">
        <f t="shared" ca="1" si="111"/>
        <v>7.9678896872499183E-2</v>
      </c>
      <c r="AE103" s="3">
        <f t="shared" ca="1" si="111"/>
        <v>6.9292526408805871E-2</v>
      </c>
      <c r="AF103" s="3">
        <f t="shared" ca="1" si="111"/>
        <v>9.4041601340319886E-2</v>
      </c>
      <c r="AG103" s="3">
        <f t="shared" ca="1" si="111"/>
        <v>7.6093354852914769E-2</v>
      </c>
      <c r="AH103" s="3">
        <f t="shared" ca="1" si="111"/>
        <v>0.11533771199568979</v>
      </c>
      <c r="AI103" s="3">
        <f t="shared" ca="1" si="111"/>
        <v>0.10572782181721199</v>
      </c>
      <c r="AJ103" s="3">
        <f t="shared" ca="1" si="111"/>
        <v>0.15022568101836736</v>
      </c>
    </row>
    <row r="104" spans="1:36" x14ac:dyDescent="0.35">
      <c r="A104" t="s">
        <v>86</v>
      </c>
      <c r="B104" t="s">
        <v>71</v>
      </c>
      <c r="C104" s="4" t="s">
        <v>74</v>
      </c>
      <c r="D104" s="3">
        <f t="shared" ca="1" si="77"/>
        <v>2.8853072735884534E-2</v>
      </c>
      <c r="E104" s="3">
        <f t="shared" ca="1" si="112"/>
        <v>2.9263974047170266E-2</v>
      </c>
      <c r="F104" s="3">
        <f t="shared" ca="1" si="112"/>
        <v>2.9707945167498008E-2</v>
      </c>
      <c r="G104" s="3">
        <f t="shared" ca="1" si="112"/>
        <v>3.2185844167923458E-2</v>
      </c>
      <c r="H104" s="3">
        <f t="shared" ca="1" si="112"/>
        <v>3.1941932531472969E-2</v>
      </c>
      <c r="I104" s="3">
        <f t="shared" ca="1" si="112"/>
        <v>3.2975020089305765E-2</v>
      </c>
      <c r="J104" s="3">
        <f t="shared" ca="1" si="112"/>
        <v>3.4655755650458447E-2</v>
      </c>
      <c r="K104" s="3">
        <f t="shared" ca="1" si="112"/>
        <v>3.5090890925793261E-2</v>
      </c>
      <c r="L104" s="3">
        <f t="shared" ca="1" si="112"/>
        <v>3.5617536264291025E-2</v>
      </c>
      <c r="M104" s="3">
        <f t="shared" ca="1" si="112"/>
        <v>3.8744769200465309E-2</v>
      </c>
      <c r="N104" s="3">
        <f t="shared" ca="1" si="112"/>
        <v>3.712127832417271E-2</v>
      </c>
      <c r="O104" s="3">
        <f t="shared" ca="1" si="112"/>
        <v>4.10173962692119E-2</v>
      </c>
      <c r="P104" s="3">
        <f t="shared" ca="1" si="112"/>
        <v>3.8432569556060336E-2</v>
      </c>
      <c r="Q104" s="3">
        <f t="shared" ca="1" si="112"/>
        <v>4.4163598048254205E-2</v>
      </c>
      <c r="R104" s="3">
        <f t="shared" ca="1" si="112"/>
        <v>4.0142868322664713E-2</v>
      </c>
      <c r="S104" s="3">
        <f t="shared" ca="1" si="112"/>
        <v>4.5204488812754795E-2</v>
      </c>
      <c r="T104" s="3">
        <f t="shared" ca="1" si="112"/>
        <v>4.3095527025254099E-2</v>
      </c>
      <c r="U104" s="3">
        <f t="shared" ca="1" si="112"/>
        <v>4.6819526327158127E-2</v>
      </c>
      <c r="V104" s="3">
        <f t="shared" ca="1" si="112"/>
        <v>4.4507113025819764E-2</v>
      </c>
      <c r="W104" s="3">
        <f t="shared" ca="1" si="112"/>
        <v>4.9745684783351993E-2</v>
      </c>
      <c r="X104" s="3">
        <f t="shared" ca="1" si="112"/>
        <v>4.5297575803327529E-2</v>
      </c>
      <c r="Y104" s="3">
        <f t="shared" ca="1" si="112"/>
        <v>6.287911744964815E-2</v>
      </c>
      <c r="Z104" s="3">
        <f t="shared" ca="1" si="112"/>
        <v>5.4030179531530415E-2</v>
      </c>
      <c r="AA104" s="3">
        <f t="shared" ca="1" si="112"/>
        <v>6.4771216731477566E-2</v>
      </c>
      <c r="AB104" s="3">
        <f t="shared" ref="AB104:AJ104" ca="1" si="121">MIN(0.99,AB47+$O$3)</f>
        <v>6.9857843771874817E-2</v>
      </c>
      <c r="AC104" s="3">
        <f t="shared" ca="1" si="111"/>
        <v>6.8855260449475333E-2</v>
      </c>
      <c r="AD104" s="3">
        <f t="shared" ca="1" si="111"/>
        <v>8.061926140173159E-2</v>
      </c>
      <c r="AE104" s="3">
        <f t="shared" ca="1" si="111"/>
        <v>7.0227405635410231E-2</v>
      </c>
      <c r="AF104" s="3">
        <f t="shared" ca="1" si="111"/>
        <v>9.4993348440701286E-2</v>
      </c>
      <c r="AG104" s="3">
        <f t="shared" ca="1" si="111"/>
        <v>7.7072295316915534E-2</v>
      </c>
      <c r="AH104" s="3">
        <f t="shared" ca="1" si="111"/>
        <v>0.11626114251753597</v>
      </c>
      <c r="AI104" s="3">
        <f t="shared" ca="1" si="111"/>
        <v>0.10671342767060021</v>
      </c>
      <c r="AJ104" s="3">
        <f t="shared" ca="1" si="111"/>
        <v>0.15121058482442284</v>
      </c>
    </row>
    <row r="105" spans="1:36" x14ac:dyDescent="0.35">
      <c r="A105" t="s">
        <v>86</v>
      </c>
      <c r="B105" t="s">
        <v>71</v>
      </c>
      <c r="C105" s="4" t="s">
        <v>75</v>
      </c>
      <c r="D105" s="3">
        <f t="shared" ca="1" si="77"/>
        <v>2.9811881367312984E-2</v>
      </c>
      <c r="E105" s="3">
        <f t="shared" ca="1" si="112"/>
        <v>3.0173218425938259E-2</v>
      </c>
      <c r="F105" s="3">
        <f t="shared" ca="1" si="112"/>
        <v>3.0632914282016227E-2</v>
      </c>
      <c r="G105" s="3">
        <f t="shared" ca="1" si="112"/>
        <v>3.3110217412048337E-2</v>
      </c>
      <c r="H105" s="3">
        <f t="shared" ca="1" si="112"/>
        <v>3.2914296218866795E-2</v>
      </c>
      <c r="I105" s="3">
        <f t="shared" ca="1" si="112"/>
        <v>3.3881791163850067E-2</v>
      </c>
      <c r="J105" s="3">
        <f t="shared" ca="1" si="112"/>
        <v>3.5577984132529133E-2</v>
      </c>
      <c r="K105" s="3">
        <f t="shared" ca="1" si="112"/>
        <v>3.6023667006420998E-2</v>
      </c>
      <c r="L105" s="3">
        <f t="shared" ca="1" si="112"/>
        <v>3.6579880885111632E-2</v>
      </c>
      <c r="M105" s="3">
        <f t="shared" ca="1" si="112"/>
        <v>3.9714711525408272E-2</v>
      </c>
      <c r="N105" s="3">
        <f t="shared" ca="1" si="112"/>
        <v>3.8116144264971966E-2</v>
      </c>
      <c r="O105" s="3">
        <f t="shared" ca="1" si="112"/>
        <v>4.1925346902876443E-2</v>
      </c>
      <c r="P105" s="3">
        <f t="shared" ca="1" si="112"/>
        <v>3.942158350571328E-2</v>
      </c>
      <c r="Q105" s="3">
        <f t="shared" ca="1" si="112"/>
        <v>4.5152830615865697E-2</v>
      </c>
      <c r="R105" s="3">
        <f t="shared" ca="1" si="112"/>
        <v>4.1075514123889142E-2</v>
      </c>
      <c r="S105" s="3">
        <f t="shared" ca="1" si="112"/>
        <v>4.615148982356599E-2</v>
      </c>
      <c r="T105" s="3">
        <f t="shared" ca="1" si="112"/>
        <v>4.4055844913414993E-2</v>
      </c>
      <c r="U105" s="3">
        <f t="shared" ca="1" si="112"/>
        <v>4.7727330648661331E-2</v>
      </c>
      <c r="V105" s="3">
        <f t="shared" ca="1" si="112"/>
        <v>4.5463783568424163E-2</v>
      </c>
      <c r="W105" s="3">
        <f t="shared" ca="1" si="112"/>
        <v>5.0730685173035528E-2</v>
      </c>
      <c r="X105" s="3">
        <f t="shared" ca="1" si="112"/>
        <v>4.6214718075766881E-2</v>
      </c>
      <c r="Y105" s="3">
        <f t="shared" ca="1" si="112"/>
        <v>6.3870561164550865E-2</v>
      </c>
      <c r="Z105" s="3">
        <f t="shared" ca="1" si="112"/>
        <v>5.5029153658424014E-2</v>
      </c>
      <c r="AA105" s="3">
        <f t="shared" ca="1" si="112"/>
        <v>6.5767930196132002E-2</v>
      </c>
      <c r="AB105" s="3">
        <f t="shared" ref="AB105:AJ105" ca="1" si="122">MIN(0.99,AB48+$O$3)</f>
        <v>7.0833785089747497E-2</v>
      </c>
      <c r="AC105" s="3">
        <f t="shared" ca="1" si="111"/>
        <v>6.9766750262098304E-2</v>
      </c>
      <c r="AD105" s="3">
        <f t="shared" ca="1" si="111"/>
        <v>8.1578466135489414E-2</v>
      </c>
      <c r="AE105" s="3">
        <f t="shared" ca="1" si="111"/>
        <v>7.1143394366889337E-2</v>
      </c>
      <c r="AF105" s="3">
        <f t="shared" ca="1" si="111"/>
        <v>9.5935708701547689E-2</v>
      </c>
      <c r="AG105" s="3">
        <f t="shared" ca="1" si="111"/>
        <v>7.8068294168998326E-2</v>
      </c>
      <c r="AH105" s="3">
        <f t="shared" ca="1" si="111"/>
        <v>0.11724487764383068</v>
      </c>
      <c r="AI105" s="3">
        <f t="shared" ca="1" si="111"/>
        <v>0.10769954474210675</v>
      </c>
      <c r="AJ105" s="3">
        <f t="shared" ca="1" si="111"/>
        <v>0.15213056681972145</v>
      </c>
    </row>
    <row r="106" spans="1:36" x14ac:dyDescent="0.35">
      <c r="A106" t="s">
        <v>86</v>
      </c>
      <c r="B106" t="s">
        <v>71</v>
      </c>
      <c r="C106" s="4">
        <v>3</v>
      </c>
      <c r="D106" s="3">
        <f t="shared" ca="1" si="77"/>
        <v>3.07886523463968E-2</v>
      </c>
      <c r="E106" s="3">
        <f t="shared" ca="1" si="112"/>
        <v>3.1155513667297158E-2</v>
      </c>
      <c r="F106" s="3">
        <f t="shared" ca="1" si="112"/>
        <v>3.1620405218115454E-2</v>
      </c>
      <c r="G106" s="3">
        <f t="shared" ca="1" si="112"/>
        <v>3.4092262365820789E-2</v>
      </c>
      <c r="H106" s="3">
        <f t="shared" ca="1" si="112"/>
        <v>3.390297638019163E-2</v>
      </c>
      <c r="I106" s="3">
        <f t="shared" ca="1" si="112"/>
        <v>3.4836488530944107E-2</v>
      </c>
      <c r="J106" s="3">
        <f t="shared" ca="1" si="112"/>
        <v>3.6522859396776984E-2</v>
      </c>
      <c r="K106" s="3">
        <f t="shared" ca="1" si="112"/>
        <v>3.6930670703096177E-2</v>
      </c>
      <c r="L106" s="3">
        <f t="shared" ca="1" si="112"/>
        <v>3.7488636661348579E-2</v>
      </c>
      <c r="M106" s="3">
        <f t="shared" ca="1" si="112"/>
        <v>4.0640169781659519E-2</v>
      </c>
      <c r="N106" s="3">
        <f t="shared" ca="1" si="112"/>
        <v>3.9107000459238005E-2</v>
      </c>
      <c r="O106" s="3">
        <f t="shared" ca="1" si="112"/>
        <v>4.2858763972480902E-2</v>
      </c>
      <c r="P106" s="3">
        <f t="shared" ca="1" si="112"/>
        <v>4.0376584897729183E-2</v>
      </c>
      <c r="Q106" s="3">
        <f t="shared" ca="1" si="112"/>
        <v>4.6144170504824916E-2</v>
      </c>
      <c r="R106" s="3">
        <f t="shared" ca="1" si="112"/>
        <v>4.2058586035117917E-2</v>
      </c>
      <c r="S106" s="3">
        <f t="shared" ca="1" si="112"/>
        <v>4.7062094629530538E-2</v>
      </c>
      <c r="T106" s="3">
        <f t="shared" ca="1" si="112"/>
        <v>4.5053117025208644E-2</v>
      </c>
      <c r="U106" s="3">
        <f t="shared" ca="1" si="112"/>
        <v>4.8639623010977545E-2</v>
      </c>
      <c r="V106" s="3">
        <f t="shared" ca="1" si="112"/>
        <v>4.6443995582985537E-2</v>
      </c>
      <c r="W106" s="3">
        <f t="shared" ca="1" si="112"/>
        <v>5.1644664107261942E-2</v>
      </c>
      <c r="X106" s="3">
        <f t="shared" ca="1" si="112"/>
        <v>4.7140568388507498E-2</v>
      </c>
      <c r="Y106" s="3">
        <f t="shared" ca="1" si="112"/>
        <v>6.4818063795888226E-2</v>
      </c>
      <c r="Z106" s="3">
        <f t="shared" ca="1" si="112"/>
        <v>5.5933456731320781E-2</v>
      </c>
      <c r="AA106" s="3">
        <f t="shared" ca="1" si="112"/>
        <v>6.6726607334240781E-2</v>
      </c>
      <c r="AB106" s="3">
        <f t="shared" ref="AB106:AJ106" ca="1" si="123">MIN(0.99,AB49+$O$3)</f>
        <v>7.1742303324936293E-2</v>
      </c>
      <c r="AC106" s="3">
        <f t="shared" ca="1" si="111"/>
        <v>7.0758227003092061E-2</v>
      </c>
      <c r="AD106" s="3">
        <f t="shared" ca="1" si="111"/>
        <v>8.2517015350131895E-2</v>
      </c>
      <c r="AE106" s="3">
        <f t="shared" ca="1" si="111"/>
        <v>7.2123515461376797E-2</v>
      </c>
      <c r="AF106" s="3">
        <f t="shared" ca="1" si="111"/>
        <v>9.685249179026853E-2</v>
      </c>
      <c r="AG106" s="3">
        <f t="shared" ca="1" si="111"/>
        <v>7.9037766219236666E-2</v>
      </c>
      <c r="AH106" s="3">
        <f t="shared" ca="1" si="111"/>
        <v>0.11815655694599647</v>
      </c>
      <c r="AI106" s="3">
        <f t="shared" ca="1" si="111"/>
        <v>0.10868811615134216</v>
      </c>
      <c r="AJ106" s="3">
        <f t="shared" ca="1" si="111"/>
        <v>0.1530723293375521</v>
      </c>
    </row>
    <row r="107" spans="1:36" x14ac:dyDescent="0.35">
      <c r="A107" t="s">
        <v>86</v>
      </c>
      <c r="B107" t="s">
        <v>71</v>
      </c>
      <c r="C107" s="4" t="s">
        <v>76</v>
      </c>
      <c r="D107" s="3">
        <f t="shared" ca="1" si="77"/>
        <v>3.1776251109671597E-2</v>
      </c>
      <c r="E107" s="3">
        <f t="shared" ca="1" si="112"/>
        <v>3.2151077381650774E-2</v>
      </c>
      <c r="F107" s="3">
        <f t="shared" ca="1" si="112"/>
        <v>3.2595809171449747E-2</v>
      </c>
      <c r="G107" s="3">
        <f t="shared" ca="1" si="112"/>
        <v>3.5074261518537694E-2</v>
      </c>
      <c r="H107" s="3">
        <f t="shared" ca="1" si="112"/>
        <v>3.482151222697942E-2</v>
      </c>
      <c r="I107" s="3">
        <f t="shared" ca="1" si="112"/>
        <v>3.5804170372596145E-2</v>
      </c>
      <c r="J107" s="3">
        <f t="shared" ca="1" si="112"/>
        <v>3.7488212138089262E-2</v>
      </c>
      <c r="K107" s="3">
        <f t="shared" ca="1" si="112"/>
        <v>3.7881568179392006E-2</v>
      </c>
      <c r="L107" s="3">
        <f t="shared" ca="1" si="112"/>
        <v>3.8397381245480609E-2</v>
      </c>
      <c r="M107" s="3">
        <f t="shared" ca="1" si="112"/>
        <v>4.1610779202201104E-2</v>
      </c>
      <c r="N107" s="3">
        <f t="shared" ca="1" si="112"/>
        <v>4.0047244559356418E-2</v>
      </c>
      <c r="O107" s="3">
        <f t="shared" ca="1" si="112"/>
        <v>4.3814762628783213E-2</v>
      </c>
      <c r="P107" s="3">
        <f t="shared" ca="1" si="112"/>
        <v>4.1287973270612649E-2</v>
      </c>
      <c r="Q107" s="3">
        <f t="shared" ca="1" si="112"/>
        <v>4.704652059641428E-2</v>
      </c>
      <c r="R107" s="3">
        <f t="shared" ca="1" si="112"/>
        <v>4.3004617208249954E-2</v>
      </c>
      <c r="S107" s="3">
        <f t="shared" ca="1" si="112"/>
        <v>4.796723838034575E-2</v>
      </c>
      <c r="T107" s="3">
        <f t="shared" ca="1" si="112"/>
        <v>4.6015452894143383E-2</v>
      </c>
      <c r="U107" s="3">
        <f t="shared" ca="1" si="112"/>
        <v>4.9602581040958132E-2</v>
      </c>
      <c r="V107" s="3">
        <f t="shared" ca="1" si="112"/>
        <v>4.741673633229071E-2</v>
      </c>
      <c r="W107" s="3">
        <f t="shared" ca="1" si="112"/>
        <v>5.2546156592723839E-2</v>
      </c>
      <c r="X107" s="3">
        <f t="shared" ca="1" si="112"/>
        <v>4.8100385140473462E-2</v>
      </c>
      <c r="Y107" s="3">
        <f t="shared" ca="1" si="112"/>
        <v>6.5789588549811068E-2</v>
      </c>
      <c r="Z107" s="3">
        <f t="shared" ca="1" si="112"/>
        <v>5.6915513920353614E-2</v>
      </c>
      <c r="AA107" s="3">
        <f t="shared" ca="1" si="112"/>
        <v>6.772376527950924E-2</v>
      </c>
      <c r="AB107" s="3">
        <f t="shared" ref="AB107:AJ107" ca="1" si="124">MIN(0.99,AB50+$O$3)</f>
        <v>7.2651755496886461E-2</v>
      </c>
      <c r="AC107" s="3">
        <f t="shared" ca="1" si="111"/>
        <v>7.1745931381610145E-2</v>
      </c>
      <c r="AD107" s="3">
        <f t="shared" ca="1" si="111"/>
        <v>8.351109407514698E-2</v>
      </c>
      <c r="AE107" s="3">
        <f t="shared" ca="1" si="111"/>
        <v>7.3061115154313516E-2</v>
      </c>
      <c r="AF107" s="3">
        <f t="shared" ca="1" si="111"/>
        <v>9.7852225922846342E-2</v>
      </c>
      <c r="AG107" s="3">
        <f t="shared" ca="1" si="111"/>
        <v>8.0037425795230432E-2</v>
      </c>
      <c r="AH107" s="3">
        <f t="shared" ca="1" si="111"/>
        <v>0.11908556563920231</v>
      </c>
      <c r="AI107" s="3">
        <f t="shared" ca="1" si="111"/>
        <v>0.1096628054621088</v>
      </c>
      <c r="AJ107" s="3">
        <f t="shared" ca="1" si="111"/>
        <v>0.15401021655933628</v>
      </c>
    </row>
    <row r="108" spans="1:36" x14ac:dyDescent="0.35">
      <c r="A108" t="s">
        <v>86</v>
      </c>
      <c r="B108" t="s">
        <v>71</v>
      </c>
      <c r="C108" s="4" t="s">
        <v>77</v>
      </c>
      <c r="D108" s="3">
        <f t="shared" ca="1" si="77"/>
        <v>3.268856894326632E-2</v>
      </c>
      <c r="E108" s="3">
        <f t="shared" ref="E108:AA119" ca="1" si="125">MIN(0.99,E51+$O$3)</f>
        <v>3.3122430343678559E-2</v>
      </c>
      <c r="F108" s="3">
        <f t="shared" ca="1" si="125"/>
        <v>3.3511013718300911E-2</v>
      </c>
      <c r="G108" s="3">
        <f t="shared" ca="1" si="125"/>
        <v>3.6065350807683666E-2</v>
      </c>
      <c r="H108" s="3">
        <f t="shared" ca="1" si="125"/>
        <v>3.5724371076488133E-2</v>
      </c>
      <c r="I108" s="3">
        <f t="shared" ca="1" si="125"/>
        <v>3.6776308500671283E-2</v>
      </c>
      <c r="J108" s="3">
        <f t="shared" ca="1" si="125"/>
        <v>3.8393631963013104E-2</v>
      </c>
      <c r="K108" s="3">
        <f t="shared" ca="1" si="125"/>
        <v>3.8796517227292465E-2</v>
      </c>
      <c r="L108" s="3">
        <f t="shared" ca="1" si="125"/>
        <v>3.9302665447680823E-2</v>
      </c>
      <c r="M108" s="3">
        <f t="shared" ca="1" si="125"/>
        <v>4.2562022653458292E-2</v>
      </c>
      <c r="N108" s="3">
        <f t="shared" ca="1" si="125"/>
        <v>4.0957362730000654E-2</v>
      </c>
      <c r="O108" s="3">
        <f t="shared" ca="1" si="125"/>
        <v>4.479566498305966E-2</v>
      </c>
      <c r="P108" s="3">
        <f t="shared" ca="1" si="125"/>
        <v>4.2241144831225916E-2</v>
      </c>
      <c r="Q108" s="3">
        <f t="shared" ca="1" si="125"/>
        <v>4.8024294956264819E-2</v>
      </c>
      <c r="R108" s="3">
        <f t="shared" ca="1" si="125"/>
        <v>4.3911668287642272E-2</v>
      </c>
      <c r="S108" s="3">
        <f t="shared" ca="1" si="125"/>
        <v>4.8873847772028925E-2</v>
      </c>
      <c r="T108" s="3">
        <f t="shared" ca="1" si="125"/>
        <v>4.6959304674914534E-2</v>
      </c>
      <c r="U108" s="3">
        <f t="shared" ca="1" si="125"/>
        <v>5.0559909290663611E-2</v>
      </c>
      <c r="V108" s="3">
        <f t="shared" ca="1" si="125"/>
        <v>4.8338324384988446E-2</v>
      </c>
      <c r="W108" s="3">
        <f t="shared" ca="1" si="125"/>
        <v>5.3468205126993837E-2</v>
      </c>
      <c r="X108" s="3">
        <f t="shared" ca="1" si="125"/>
        <v>4.9057726883486641E-2</v>
      </c>
      <c r="Y108" s="3">
        <f t="shared" ca="1" si="125"/>
        <v>6.6779739090490065E-2</v>
      </c>
      <c r="Z108" s="3">
        <f t="shared" ca="1" si="125"/>
        <v>5.7872088863854955E-2</v>
      </c>
      <c r="AA108" s="3">
        <f t="shared" ca="1" si="125"/>
        <v>6.8680037263150029E-2</v>
      </c>
      <c r="AB108" s="3">
        <f t="shared" ref="AB108:AJ108" ca="1" si="126">MIN(0.99,AB51+$O$3)</f>
        <v>7.3572915731996563E-2</v>
      </c>
      <c r="AC108" s="3">
        <f t="shared" ca="1" si="111"/>
        <v>7.2739755270389242E-2</v>
      </c>
      <c r="AD108" s="3">
        <f t="shared" ca="1" si="111"/>
        <v>8.4425180076383721E-2</v>
      </c>
      <c r="AE108" s="3">
        <f t="shared" ca="1" si="111"/>
        <v>7.4044383971809014E-2</v>
      </c>
      <c r="AF108" s="3">
        <f t="shared" ca="1" si="111"/>
        <v>9.8754139627984155E-2</v>
      </c>
      <c r="AG108" s="3">
        <f t="shared" ca="1" si="111"/>
        <v>8.0947626053339106E-2</v>
      </c>
      <c r="AH108" s="3">
        <f t="shared" ca="1" si="111"/>
        <v>0.12007559477383098</v>
      </c>
      <c r="AI108" s="3">
        <f t="shared" ca="1" si="111"/>
        <v>0.11063095914956197</v>
      </c>
      <c r="AJ108" s="3">
        <f t="shared" ca="1" si="111"/>
        <v>0.15498028422176521</v>
      </c>
    </row>
    <row r="109" spans="1:36" x14ac:dyDescent="0.35">
      <c r="A109" t="s">
        <v>86</v>
      </c>
      <c r="B109" t="s">
        <v>71</v>
      </c>
      <c r="C109" s="4">
        <v>4</v>
      </c>
      <c r="D109" s="3">
        <f t="shared" ca="1" si="77"/>
        <v>3.3629617248966522E-2</v>
      </c>
      <c r="E109" s="3">
        <f t="shared" ca="1" si="125"/>
        <v>3.4066987547093683E-2</v>
      </c>
      <c r="F109" s="3">
        <f t="shared" ca="1" si="125"/>
        <v>3.4498572391044549E-2</v>
      </c>
      <c r="G109" s="3">
        <f t="shared" ca="1" si="125"/>
        <v>3.705262841601499E-2</v>
      </c>
      <c r="H109" s="3">
        <f t="shared" ca="1" si="125"/>
        <v>3.6662373760410261E-2</v>
      </c>
      <c r="I109" s="3">
        <f t="shared" ca="1" si="125"/>
        <v>3.7686265189988064E-2</v>
      </c>
      <c r="J109" s="3">
        <f t="shared" ca="1" si="125"/>
        <v>3.930037741580631E-2</v>
      </c>
      <c r="K109" s="3">
        <f t="shared" ca="1" si="125"/>
        <v>3.9715561210282933E-2</v>
      </c>
      <c r="L109" s="3">
        <f t="shared" ca="1" si="125"/>
        <v>4.0292834985149517E-2</v>
      </c>
      <c r="M109" s="3">
        <f t="shared" ca="1" si="125"/>
        <v>4.3519098356778099E-2</v>
      </c>
      <c r="N109" s="3">
        <f t="shared" ca="1" si="125"/>
        <v>4.1902148702828629E-2</v>
      </c>
      <c r="O109" s="3">
        <f t="shared" ca="1" si="125"/>
        <v>4.5732080658822456E-2</v>
      </c>
      <c r="P109" s="3">
        <f t="shared" ca="1" si="125"/>
        <v>4.3161031645641827E-2</v>
      </c>
      <c r="Q109" s="3">
        <f t="shared" ca="1" si="125"/>
        <v>4.8989267201643184E-2</v>
      </c>
      <c r="R109" s="3">
        <f t="shared" ca="1" si="125"/>
        <v>4.4886865206893396E-2</v>
      </c>
      <c r="S109" s="3">
        <f t="shared" ca="1" si="125"/>
        <v>4.9861370506906366E-2</v>
      </c>
      <c r="T109" s="3">
        <f t="shared" ca="1" si="125"/>
        <v>4.7897254666511679E-2</v>
      </c>
      <c r="U109" s="3">
        <f t="shared" ca="1" si="125"/>
        <v>5.1501120818672516E-2</v>
      </c>
      <c r="V109" s="3">
        <f t="shared" ca="1" si="125"/>
        <v>4.9285162054747526E-2</v>
      </c>
      <c r="W109" s="3">
        <f t="shared" ca="1" si="125"/>
        <v>5.4458735040868636E-2</v>
      </c>
      <c r="X109" s="3">
        <f t="shared" ca="1" si="125"/>
        <v>4.996478019453067E-2</v>
      </c>
      <c r="Y109" s="3">
        <f t="shared" ca="1" si="125"/>
        <v>6.7769454455859052E-2</v>
      </c>
      <c r="Z109" s="3">
        <f t="shared" ca="1" si="125"/>
        <v>5.8820884973025817E-2</v>
      </c>
      <c r="AA109" s="3">
        <f t="shared" ca="1" si="125"/>
        <v>6.9631986965630194E-2</v>
      </c>
      <c r="AB109" s="3">
        <f t="shared" ref="AB109:AJ109" ca="1" si="127">MIN(0.99,AB52+$O$3)</f>
        <v>7.4507048359358979E-2</v>
      </c>
      <c r="AC109" s="3">
        <f t="shared" ca="1" si="111"/>
        <v>7.3708665027764464E-2</v>
      </c>
      <c r="AD109" s="3">
        <f t="shared" ca="1" si="111"/>
        <v>8.5377039166776414E-2</v>
      </c>
      <c r="AE109" s="3">
        <f t="shared" ca="1" si="111"/>
        <v>7.5020614491085214E-2</v>
      </c>
      <c r="AF109" s="3">
        <f t="shared" ca="1" si="111"/>
        <v>9.9659370687815302E-2</v>
      </c>
      <c r="AG109" s="3">
        <f t="shared" ca="1" si="111"/>
        <v>8.1937848138245561E-2</v>
      </c>
      <c r="AH109" s="3">
        <f t="shared" ca="1" si="111"/>
        <v>0.12102239334711282</v>
      </c>
      <c r="AI109" s="3">
        <f t="shared" ca="1" si="111"/>
        <v>0.11154326671066045</v>
      </c>
      <c r="AJ109" s="3">
        <f t="shared" ca="1" si="111"/>
        <v>0.15589787378258291</v>
      </c>
    </row>
    <row r="110" spans="1:36" x14ac:dyDescent="0.35">
      <c r="A110" t="s">
        <v>86</v>
      </c>
      <c r="B110" t="s">
        <v>71</v>
      </c>
      <c r="C110" s="4" t="s">
        <v>78</v>
      </c>
      <c r="D110" s="3">
        <f t="shared" ca="1" si="77"/>
        <v>3.4531213221513736E-2</v>
      </c>
      <c r="E110" s="3">
        <f t="shared" ca="1" si="125"/>
        <v>3.4997611022994951E-2</v>
      </c>
      <c r="F110" s="3">
        <f t="shared" ca="1" si="125"/>
        <v>3.5496744524062387E-2</v>
      </c>
      <c r="G110" s="3">
        <f t="shared" ca="1" si="125"/>
        <v>3.8019224114878972E-2</v>
      </c>
      <c r="H110" s="3">
        <f t="shared" ca="1" si="125"/>
        <v>3.7631288116548575E-2</v>
      </c>
      <c r="I110" s="3">
        <f t="shared" ca="1" si="125"/>
        <v>3.8665740226050765E-2</v>
      </c>
      <c r="J110" s="3">
        <f t="shared" ca="1" si="125"/>
        <v>4.0202152794404693E-2</v>
      </c>
      <c r="K110" s="3">
        <f t="shared" ca="1" si="125"/>
        <v>4.0669982648700774E-2</v>
      </c>
      <c r="L110" s="3">
        <f t="shared" ca="1" si="125"/>
        <v>4.1197182920790248E-2</v>
      </c>
      <c r="M110" s="3">
        <f t="shared" ca="1" si="125"/>
        <v>4.4485422828634213E-2</v>
      </c>
      <c r="N110" s="3">
        <f t="shared" ca="1" si="125"/>
        <v>4.2868580070522438E-2</v>
      </c>
      <c r="O110" s="3">
        <f t="shared" ca="1" si="125"/>
        <v>4.6707282060964514E-2</v>
      </c>
      <c r="P110" s="3">
        <f t="shared" ca="1" si="125"/>
        <v>4.4077362858435859E-2</v>
      </c>
      <c r="Q110" s="3">
        <f t="shared" ca="1" si="125"/>
        <v>4.9899106940116331E-2</v>
      </c>
      <c r="R110" s="3">
        <f t="shared" ca="1" si="125"/>
        <v>4.5882914682574341E-2</v>
      </c>
      <c r="S110" s="3">
        <f t="shared" ca="1" si="125"/>
        <v>5.0771198171608217E-2</v>
      </c>
      <c r="T110" s="3">
        <f t="shared" ca="1" si="125"/>
        <v>4.8816352792149451E-2</v>
      </c>
      <c r="U110" s="3">
        <f t="shared" ca="1" si="125"/>
        <v>5.2440820995306919E-2</v>
      </c>
      <c r="V110" s="3">
        <f t="shared" ca="1" si="125"/>
        <v>5.0275518346809739E-2</v>
      </c>
      <c r="W110" s="3">
        <f t="shared" ca="1" si="125"/>
        <v>5.5393612195373441E-2</v>
      </c>
      <c r="X110" s="3">
        <f t="shared" ca="1" si="125"/>
        <v>5.0874787933610784E-2</v>
      </c>
      <c r="Y110" s="3">
        <f t="shared" ca="1" si="125"/>
        <v>6.876579090443663E-2</v>
      </c>
      <c r="Z110" s="3">
        <f t="shared" ca="1" si="125"/>
        <v>5.9807567047909092E-2</v>
      </c>
      <c r="AA110" s="3">
        <f t="shared" ca="1" si="125"/>
        <v>7.0561627783767067E-2</v>
      </c>
      <c r="AB110" s="3">
        <f t="shared" ref="AB110:AJ110" ca="1" si="128">MIN(0.99,AB53+$O$3)</f>
        <v>7.5444957635489321E-2</v>
      </c>
      <c r="AC110" s="3">
        <f t="shared" ca="1" si="111"/>
        <v>7.4682605945987607E-2</v>
      </c>
      <c r="AD110" s="3">
        <f t="shared" ca="1" si="111"/>
        <v>8.6298189879144893E-2</v>
      </c>
      <c r="AE110" s="3">
        <f t="shared" ca="1" si="111"/>
        <v>7.5949329867163101E-2</v>
      </c>
      <c r="AF110" s="3">
        <f t="shared" ca="1" si="111"/>
        <v>0.10064483441434066</v>
      </c>
      <c r="AG110" s="3">
        <f t="shared" ca="1" si="111"/>
        <v>8.2887356182455907E-2</v>
      </c>
      <c r="AH110" s="3">
        <f t="shared" ca="1" si="111"/>
        <v>0.12196222503549345</v>
      </c>
      <c r="AI110" s="3">
        <f t="shared" ca="1" si="111"/>
        <v>0.11254274690801694</v>
      </c>
      <c r="AJ110" s="3">
        <f t="shared" ca="1" si="111"/>
        <v>0.1568135406444561</v>
      </c>
    </row>
    <row r="111" spans="1:36" x14ac:dyDescent="0.35">
      <c r="A111" t="s">
        <v>86</v>
      </c>
      <c r="B111" t="s">
        <v>71</v>
      </c>
      <c r="C111" s="4" t="s">
        <v>79</v>
      </c>
      <c r="D111" s="3">
        <f t="shared" ca="1" si="77"/>
        <v>3.5451617813966496E-2</v>
      </c>
      <c r="E111" s="3">
        <f t="shared" ca="1" si="125"/>
        <v>3.5949161925832168E-2</v>
      </c>
      <c r="F111" s="3">
        <f t="shared" ca="1" si="125"/>
        <v>3.6405604302188206E-2</v>
      </c>
      <c r="G111" s="3">
        <f t="shared" ca="1" si="125"/>
        <v>3.8937616847367365E-2</v>
      </c>
      <c r="H111" s="3">
        <f t="shared" ca="1" si="125"/>
        <v>3.8606744467660492E-2</v>
      </c>
      <c r="I111" s="3">
        <f t="shared" ca="1" si="125"/>
        <v>3.9575321846165773E-2</v>
      </c>
      <c r="J111" s="3">
        <f t="shared" ca="1" si="125"/>
        <v>4.1129360825451107E-2</v>
      </c>
      <c r="K111" s="3">
        <f t="shared" ca="1" si="125"/>
        <v>4.1583272880607883E-2</v>
      </c>
      <c r="L111" s="3">
        <f t="shared" ca="1" si="125"/>
        <v>4.2155632246308805E-2</v>
      </c>
      <c r="M111" s="3">
        <f t="shared" ca="1" si="125"/>
        <v>4.5405105799961279E-2</v>
      </c>
      <c r="N111" s="3">
        <f t="shared" ca="1" si="125"/>
        <v>4.3831130033528586E-2</v>
      </c>
      <c r="O111" s="3">
        <f t="shared" ca="1" si="125"/>
        <v>4.7617186110869514E-2</v>
      </c>
      <c r="P111" s="3">
        <f t="shared" ca="1" si="125"/>
        <v>4.5015998394096902E-2</v>
      </c>
      <c r="Q111" s="3">
        <f t="shared" ca="1" si="125"/>
        <v>5.0837520580387444E-2</v>
      </c>
      <c r="R111" s="3">
        <f t="shared" ca="1" si="125"/>
        <v>4.6829409898740224E-2</v>
      </c>
      <c r="S111" s="3">
        <f t="shared" ca="1" si="125"/>
        <v>5.1674425258230877E-2</v>
      </c>
      <c r="T111" s="3">
        <f t="shared" ca="1" si="125"/>
        <v>4.977026281965552E-2</v>
      </c>
      <c r="U111" s="3">
        <f t="shared" ca="1" si="125"/>
        <v>5.3365568603319161E-2</v>
      </c>
      <c r="V111" s="3">
        <f t="shared" ca="1" si="125"/>
        <v>5.1233939266302965E-2</v>
      </c>
      <c r="W111" s="3">
        <f t="shared" ca="1" si="125"/>
        <v>5.6352864300879456E-2</v>
      </c>
      <c r="X111" s="3">
        <f t="shared" ca="1" si="125"/>
        <v>5.1776916964802723E-2</v>
      </c>
      <c r="Y111" s="3">
        <f t="shared" ca="1" si="125"/>
        <v>6.9750018148063003E-2</v>
      </c>
      <c r="Z111" s="3">
        <f t="shared" ca="1" si="125"/>
        <v>6.076905217016882E-2</v>
      </c>
      <c r="AA111" s="3">
        <f t="shared" ca="1" si="125"/>
        <v>7.1512453544164328E-2</v>
      </c>
      <c r="AB111" s="3">
        <f t="shared" ref="AB111:AJ119" ca="1" si="129">MIN(0.99,AB54+$O$3)</f>
        <v>7.6380416040655458E-2</v>
      </c>
      <c r="AC111" s="3">
        <f t="shared" ca="1" si="129"/>
        <v>7.5602822818956653E-2</v>
      </c>
      <c r="AD111" s="3">
        <f t="shared" ca="1" si="129"/>
        <v>8.7211153828906762E-2</v>
      </c>
      <c r="AE111" s="3">
        <f t="shared" ca="1" si="129"/>
        <v>7.6934261140456761E-2</v>
      </c>
      <c r="AF111" s="3">
        <f t="shared" ca="1" si="129"/>
        <v>0.10159911869341318</v>
      </c>
      <c r="AG111" s="3">
        <f t="shared" ca="1" si="129"/>
        <v>8.3814936402397983E-2</v>
      </c>
      <c r="AH111" s="3">
        <f t="shared" ca="1" si="129"/>
        <v>0.12288073576340794</v>
      </c>
      <c r="AI111" s="3">
        <f t="shared" ca="1" si="129"/>
        <v>0.11351758843080442</v>
      </c>
      <c r="AJ111" s="3">
        <f t="shared" ca="1" si="129"/>
        <v>0.15779316604940943</v>
      </c>
    </row>
    <row r="112" spans="1:36" x14ac:dyDescent="0.35">
      <c r="A112" t="s">
        <v>86</v>
      </c>
      <c r="B112" t="s">
        <v>71</v>
      </c>
      <c r="C112" s="4">
        <v>5</v>
      </c>
      <c r="D112" s="3">
        <f t="shared" ca="1" si="77"/>
        <v>3.6392694656479638E-2</v>
      </c>
      <c r="E112" s="3">
        <f t="shared" ca="1" si="125"/>
        <v>3.6890518099244186E-2</v>
      </c>
      <c r="F112" s="3">
        <f t="shared" ca="1" si="125"/>
        <v>3.7330031950532638E-2</v>
      </c>
      <c r="G112" s="3">
        <f t="shared" ca="1" si="125"/>
        <v>3.9921741872031777E-2</v>
      </c>
      <c r="H112" s="3">
        <f t="shared" ca="1" si="125"/>
        <v>3.9572820702404421E-2</v>
      </c>
      <c r="I112" s="3">
        <f t="shared" ca="1" si="125"/>
        <v>4.0517930173264841E-2</v>
      </c>
      <c r="J112" s="3">
        <f t="shared" ca="1" si="125"/>
        <v>4.212040336502082E-2</v>
      </c>
      <c r="K112" s="3">
        <f t="shared" ca="1" si="125"/>
        <v>4.2506460942454798E-2</v>
      </c>
      <c r="L112" s="3">
        <f t="shared" ca="1" si="125"/>
        <v>4.3061713356723978E-2</v>
      </c>
      <c r="M112" s="3">
        <f t="shared" ca="1" si="125"/>
        <v>4.6386825280524319E-2</v>
      </c>
      <c r="N112" s="3">
        <f t="shared" ca="1" si="125"/>
        <v>4.4803101826870945E-2</v>
      </c>
      <c r="O112" s="3">
        <f t="shared" ca="1" si="125"/>
        <v>4.860505024676514E-2</v>
      </c>
      <c r="P112" s="3">
        <f t="shared" ca="1" si="125"/>
        <v>4.5941456427646979E-2</v>
      </c>
      <c r="Q112" s="3">
        <f t="shared" ca="1" si="125"/>
        <v>5.1818847169140675E-2</v>
      </c>
      <c r="R112" s="3">
        <f t="shared" ca="1" si="125"/>
        <v>4.7815171369449835E-2</v>
      </c>
      <c r="S112" s="3">
        <f t="shared" ca="1" si="125"/>
        <v>5.266913511592354E-2</v>
      </c>
      <c r="T112" s="3">
        <f t="shared" ca="1" si="125"/>
        <v>5.0755571928044113E-2</v>
      </c>
      <c r="U112" s="3">
        <f t="shared" ca="1" si="125"/>
        <v>5.435534301337578E-2</v>
      </c>
      <c r="V112" s="3">
        <f t="shared" ca="1" si="125"/>
        <v>5.2215501567028297E-2</v>
      </c>
      <c r="W112" s="3">
        <f t="shared" ca="1" si="125"/>
        <v>5.7334012476256586E-2</v>
      </c>
      <c r="X112" s="3">
        <f t="shared" ca="1" si="125"/>
        <v>5.2751737019282145E-2</v>
      </c>
      <c r="Y112" s="3">
        <f t="shared" ca="1" si="125"/>
        <v>7.0690879165381929E-2</v>
      </c>
      <c r="Z112" s="3">
        <f t="shared" ca="1" si="125"/>
        <v>6.1741004079169777E-2</v>
      </c>
      <c r="AA112" s="3">
        <f t="shared" ca="1" si="125"/>
        <v>7.2444374800700664E-2</v>
      </c>
      <c r="AB112" s="3">
        <f t="shared" ref="AB112:AJ112" ca="1" si="130">MIN(0.99,AB55+$O$3)</f>
        <v>7.7310104584581971E-2</v>
      </c>
      <c r="AC112" s="3">
        <f t="shared" ca="1" si="129"/>
        <v>7.657241253763776E-2</v>
      </c>
      <c r="AD112" s="3">
        <f t="shared" ca="1" si="129"/>
        <v>8.8156608441624679E-2</v>
      </c>
      <c r="AE112" s="3">
        <f t="shared" ca="1" si="129"/>
        <v>7.792726688763954E-2</v>
      </c>
      <c r="AF112" s="3">
        <f t="shared" ca="1" si="129"/>
        <v>0.10257524610198981</v>
      </c>
      <c r="AG112" s="3">
        <f t="shared" ca="1" si="129"/>
        <v>8.4774147890367996E-2</v>
      </c>
      <c r="AH112" s="3">
        <f t="shared" ca="1" si="129"/>
        <v>0.1237987642405747</v>
      </c>
      <c r="AI112" s="3">
        <f t="shared" ca="1" si="129"/>
        <v>0.11450637948360418</v>
      </c>
      <c r="AJ112" s="3">
        <f t="shared" ca="1" si="129"/>
        <v>0.15870343261216016</v>
      </c>
    </row>
    <row r="113" spans="1:36" x14ac:dyDescent="0.35">
      <c r="A113" t="s">
        <v>86</v>
      </c>
      <c r="B113" t="s">
        <v>71</v>
      </c>
      <c r="C113" s="4" t="s">
        <v>80</v>
      </c>
      <c r="D113" s="3">
        <f t="shared" ca="1" si="77"/>
        <v>3.735177393164997E-2</v>
      </c>
      <c r="E113" s="3">
        <f t="shared" ca="1" si="125"/>
        <v>3.7801848053367351E-2</v>
      </c>
      <c r="F113" s="3">
        <f t="shared" ca="1" si="125"/>
        <v>3.8247465381353721E-2</v>
      </c>
      <c r="G113" s="3">
        <f t="shared" ca="1" si="125"/>
        <v>4.084882558655499E-2</v>
      </c>
      <c r="H113" s="3">
        <f t="shared" ca="1" si="125"/>
        <v>4.0504000585793773E-2</v>
      </c>
      <c r="I113" s="3">
        <f t="shared" ca="1" si="125"/>
        <v>4.1430748797970499E-2</v>
      </c>
      <c r="J113" s="3">
        <f t="shared" ca="1" si="125"/>
        <v>4.303180117884195E-2</v>
      </c>
      <c r="K113" s="3">
        <f t="shared" ca="1" si="125"/>
        <v>4.3424873757696547E-2</v>
      </c>
      <c r="L113" s="3">
        <f t="shared" ca="1" si="125"/>
        <v>4.4042143848580781E-2</v>
      </c>
      <c r="M113" s="3">
        <f t="shared" ca="1" si="125"/>
        <v>4.731448764835651E-2</v>
      </c>
      <c r="N113" s="3">
        <f t="shared" ca="1" si="125"/>
        <v>4.5735174762869396E-2</v>
      </c>
      <c r="O113" s="3">
        <f t="shared" ca="1" si="125"/>
        <v>4.9557614029780081E-2</v>
      </c>
      <c r="P113" s="3">
        <f t="shared" ca="1" si="125"/>
        <v>4.6846949080484812E-2</v>
      </c>
      <c r="Q113" s="3">
        <f t="shared" ca="1" si="125"/>
        <v>5.2798008213529271E-2</v>
      </c>
      <c r="R113" s="3">
        <f t="shared" ca="1" si="125"/>
        <v>4.873908021604989E-2</v>
      </c>
      <c r="S113" s="3">
        <f t="shared" ca="1" si="125"/>
        <v>5.3632501724534265E-2</v>
      </c>
      <c r="T113" s="3">
        <f t="shared" ca="1" si="125"/>
        <v>5.1735723704777171E-2</v>
      </c>
      <c r="U113" s="3">
        <f t="shared" ca="1" si="125"/>
        <v>5.5344737384149301E-2</v>
      </c>
      <c r="V113" s="3">
        <f t="shared" ca="1" si="125"/>
        <v>5.3137387459350649E-2</v>
      </c>
      <c r="W113" s="3">
        <f t="shared" ca="1" si="125"/>
        <v>5.8330402039918128E-2</v>
      </c>
      <c r="X113" s="3">
        <f t="shared" ca="1" si="125"/>
        <v>5.3723931911511716E-2</v>
      </c>
      <c r="Y113" s="3">
        <f t="shared" ca="1" si="125"/>
        <v>7.1674554177941496E-2</v>
      </c>
      <c r="Z113" s="3">
        <f t="shared" ca="1" si="125"/>
        <v>6.2661601632961222E-2</v>
      </c>
      <c r="AA113" s="3">
        <f t="shared" ca="1" si="125"/>
        <v>7.3355555041510631E-2</v>
      </c>
      <c r="AB113" s="3">
        <f t="shared" ref="AB113:AJ113" ca="1" si="131">MIN(0.99,AB56+$O$3)</f>
        <v>7.8279251365582142E-2</v>
      </c>
      <c r="AC113" s="3">
        <f t="shared" ca="1" si="129"/>
        <v>7.7512363326338485E-2</v>
      </c>
      <c r="AD113" s="3">
        <f t="shared" ca="1" si="129"/>
        <v>8.9153533548577635E-2</v>
      </c>
      <c r="AE113" s="3">
        <f t="shared" ca="1" si="129"/>
        <v>7.891923478742674E-2</v>
      </c>
      <c r="AF113" s="3">
        <f t="shared" ca="1" si="129"/>
        <v>0.1035566190787677</v>
      </c>
      <c r="AG113" s="3">
        <f t="shared" ca="1" si="129"/>
        <v>8.5679119417618854E-2</v>
      </c>
      <c r="AH113" s="3">
        <f t="shared" ca="1" si="129"/>
        <v>0.12479724441090237</v>
      </c>
      <c r="AI113" s="3">
        <f t="shared" ca="1" si="129"/>
        <v>0.11547737915528408</v>
      </c>
      <c r="AJ113" s="3">
        <f t="shared" ca="1" si="129"/>
        <v>0.15963130220388544</v>
      </c>
    </row>
    <row r="114" spans="1:36" x14ac:dyDescent="0.35">
      <c r="A114" t="s">
        <v>86</v>
      </c>
      <c r="B114" t="s">
        <v>71</v>
      </c>
      <c r="C114" s="4" t="s">
        <v>81</v>
      </c>
      <c r="D114" s="3">
        <f t="shared" ca="1" si="77"/>
        <v>3.828746754680705E-2</v>
      </c>
      <c r="E114" s="3">
        <f t="shared" ca="1" si="125"/>
        <v>3.8799439716605169E-2</v>
      </c>
      <c r="F114" s="3">
        <f t="shared" ca="1" si="125"/>
        <v>3.9168110591174268E-2</v>
      </c>
      <c r="G114" s="3">
        <f t="shared" ca="1" si="125"/>
        <v>4.1830304448688696E-2</v>
      </c>
      <c r="H114" s="3">
        <f t="shared" ca="1" si="125"/>
        <v>4.146008156310789E-2</v>
      </c>
      <c r="I114" s="3">
        <f t="shared" ca="1" si="125"/>
        <v>4.2378305616512568E-2</v>
      </c>
      <c r="J114" s="3">
        <f t="shared" ca="1" si="125"/>
        <v>4.4031129452598544E-2</v>
      </c>
      <c r="K114" s="3">
        <f t="shared" ca="1" si="125"/>
        <v>4.4355012176682924E-2</v>
      </c>
      <c r="L114" s="3">
        <f t="shared" ca="1" si="125"/>
        <v>4.5035584942616377E-2</v>
      </c>
      <c r="M114" s="3">
        <f t="shared" ca="1" si="125"/>
        <v>4.823612687344829E-2</v>
      </c>
      <c r="N114" s="3">
        <f t="shared" ca="1" si="125"/>
        <v>4.6725530448257176E-2</v>
      </c>
      <c r="O114" s="3">
        <f t="shared" ca="1" si="125"/>
        <v>5.0508461601667679E-2</v>
      </c>
      <c r="P114" s="3">
        <f t="shared" ca="1" si="125"/>
        <v>4.7843279472699035E-2</v>
      </c>
      <c r="Q114" s="3">
        <f t="shared" ca="1" si="125"/>
        <v>5.3743077175822392E-2</v>
      </c>
      <c r="R114" s="3">
        <f t="shared" ca="1" si="125"/>
        <v>4.9726764650881841E-2</v>
      </c>
      <c r="S114" s="3">
        <f t="shared" ca="1" si="125"/>
        <v>5.4608698272936171E-2</v>
      </c>
      <c r="T114" s="3">
        <f t="shared" ca="1" si="125"/>
        <v>5.2682733470650764E-2</v>
      </c>
      <c r="U114" s="3">
        <f t="shared" ca="1" si="125"/>
        <v>5.6273490945163041E-2</v>
      </c>
      <c r="V114" s="3">
        <f t="shared" ca="1" si="125"/>
        <v>5.409387201589607E-2</v>
      </c>
      <c r="W114" s="3">
        <f t="shared" ca="1" si="125"/>
        <v>5.9260792071493248E-2</v>
      </c>
      <c r="X114" s="3">
        <f t="shared" ca="1" si="125"/>
        <v>5.4630145676290723E-2</v>
      </c>
      <c r="Y114" s="3">
        <f t="shared" ca="1" si="125"/>
        <v>7.2587819182334978E-2</v>
      </c>
      <c r="Z114" s="3">
        <f t="shared" ca="1" si="125"/>
        <v>6.3581680407734223E-2</v>
      </c>
      <c r="AA114" s="3">
        <f t="shared" ca="1" si="125"/>
        <v>7.4256913604067776E-2</v>
      </c>
      <c r="AB114" s="3">
        <f t="shared" ref="AB114:AJ114" ca="1" si="132">MIN(0.99,AB57+$O$3)</f>
        <v>7.9180148342159029E-2</v>
      </c>
      <c r="AC114" s="3">
        <f t="shared" ca="1" si="129"/>
        <v>7.8430344217926079E-2</v>
      </c>
      <c r="AD114" s="3">
        <f t="shared" ca="1" si="129"/>
        <v>9.0139908860749407E-2</v>
      </c>
      <c r="AE114" s="3">
        <f t="shared" ca="1" si="129"/>
        <v>7.9914172312061937E-2</v>
      </c>
      <c r="AF114" s="3">
        <f t="shared" ca="1" si="129"/>
        <v>0.10446407925043716</v>
      </c>
      <c r="AG114" s="3">
        <f t="shared" ca="1" si="129"/>
        <v>8.6637834694058252E-2</v>
      </c>
      <c r="AH114" s="3">
        <f t="shared" ca="1" si="129"/>
        <v>0.12573356308585565</v>
      </c>
      <c r="AI114" s="3">
        <f t="shared" ca="1" si="129"/>
        <v>0.11642309894741104</v>
      </c>
      <c r="AJ114" s="3">
        <f t="shared" ca="1" si="129"/>
        <v>0.16061544768541897</v>
      </c>
    </row>
    <row r="115" spans="1:36" x14ac:dyDescent="0.35">
      <c r="A115" t="s">
        <v>86</v>
      </c>
      <c r="B115" t="s">
        <v>71</v>
      </c>
      <c r="C115" s="4">
        <v>6</v>
      </c>
      <c r="D115" s="3">
        <f t="shared" ca="1" si="77"/>
        <v>3.9272096852670489E-2</v>
      </c>
      <c r="E115" s="3">
        <f t="shared" ca="1" si="125"/>
        <v>3.9741952086140266E-2</v>
      </c>
      <c r="F115" s="3">
        <f t="shared" ca="1" si="125"/>
        <v>4.0141622006834174E-2</v>
      </c>
      <c r="G115" s="3">
        <f t="shared" ca="1" si="125"/>
        <v>4.2733324978217788E-2</v>
      </c>
      <c r="H115" s="3">
        <f t="shared" ca="1" si="125"/>
        <v>4.2405038231334909E-2</v>
      </c>
      <c r="I115" s="3">
        <f t="shared" ca="1" si="125"/>
        <v>4.3308435495173159E-2</v>
      </c>
      <c r="J115" s="3">
        <f t="shared" ca="1" si="125"/>
        <v>4.5002617153295357E-2</v>
      </c>
      <c r="K115" s="3">
        <f t="shared" ca="1" si="125"/>
        <v>4.5289595095036758E-2</v>
      </c>
      <c r="L115" s="3">
        <f t="shared" ca="1" si="125"/>
        <v>4.6010167922998391E-2</v>
      </c>
      <c r="M115" s="3">
        <f t="shared" ca="1" si="125"/>
        <v>4.9203776790779585E-2</v>
      </c>
      <c r="N115" s="3">
        <f t="shared" ca="1" si="125"/>
        <v>4.7657836556008054E-2</v>
      </c>
      <c r="O115" s="3">
        <f t="shared" ca="1" si="125"/>
        <v>5.1435235537850316E-2</v>
      </c>
      <c r="P115" s="3">
        <f t="shared" ca="1" si="125"/>
        <v>4.8813163056806441E-2</v>
      </c>
      <c r="Q115" s="3">
        <f t="shared" ca="1" si="125"/>
        <v>5.4659670682821501E-2</v>
      </c>
      <c r="R115" s="3">
        <f t="shared" ca="1" si="125"/>
        <v>5.0658274328919312E-2</v>
      </c>
      <c r="S115" s="3">
        <f t="shared" ca="1" si="125"/>
        <v>5.558282581993744E-2</v>
      </c>
      <c r="T115" s="3">
        <f t="shared" ca="1" si="125"/>
        <v>5.3645195841634706E-2</v>
      </c>
      <c r="U115" s="3">
        <f t="shared" ca="1" si="125"/>
        <v>5.7247389925240963E-2</v>
      </c>
      <c r="V115" s="3">
        <f t="shared" ca="1" si="125"/>
        <v>5.500352847993592E-2</v>
      </c>
      <c r="W115" s="3">
        <f t="shared" ca="1" si="125"/>
        <v>6.0260272557253705E-2</v>
      </c>
      <c r="X115" s="3">
        <f t="shared" ca="1" si="125"/>
        <v>5.5569085329601954E-2</v>
      </c>
      <c r="Y115" s="3">
        <f t="shared" ca="1" si="125"/>
        <v>7.3571635228697599E-2</v>
      </c>
      <c r="Z115" s="3">
        <f t="shared" ca="1" si="125"/>
        <v>6.4484260763572276E-2</v>
      </c>
      <c r="AA115" s="3">
        <f t="shared" ca="1" si="125"/>
        <v>7.5180256795380901E-2</v>
      </c>
      <c r="AB115" s="3">
        <f t="shared" ref="AB115:AJ115" ca="1" si="133">MIN(0.99,AB58+$O$3)</f>
        <v>8.0178930688432598E-2</v>
      </c>
      <c r="AC115" s="3">
        <f t="shared" ca="1" si="129"/>
        <v>7.9407387831742976E-2</v>
      </c>
      <c r="AD115" s="3">
        <f t="shared" ca="1" si="129"/>
        <v>9.1075849411550308E-2</v>
      </c>
      <c r="AE115" s="3">
        <f t="shared" ca="1" si="129"/>
        <v>8.0859833678554871E-2</v>
      </c>
      <c r="AF115" s="3">
        <f t="shared" ca="1" si="129"/>
        <v>0.10544283807891705</v>
      </c>
      <c r="AG115" s="3">
        <f t="shared" ca="1" si="129"/>
        <v>8.755438724911227E-2</v>
      </c>
      <c r="AH115" s="3">
        <f t="shared" ca="1" si="129"/>
        <v>0.12665919973432635</v>
      </c>
      <c r="AI115" s="3">
        <f t="shared" ca="1" si="129"/>
        <v>0.11737869099694401</v>
      </c>
      <c r="AJ115" s="3">
        <f t="shared" ca="1" si="129"/>
        <v>0.16160720677105211</v>
      </c>
    </row>
    <row r="116" spans="1:36" x14ac:dyDescent="0.35">
      <c r="A116" t="s">
        <v>86</v>
      </c>
      <c r="B116" t="s">
        <v>71</v>
      </c>
      <c r="C116" s="4" t="s">
        <v>82</v>
      </c>
      <c r="D116" s="3">
        <f t="shared" ca="1" si="77"/>
        <v>4.0263812266776791E-2</v>
      </c>
      <c r="E116" s="3">
        <f t="shared" ca="1" si="125"/>
        <v>4.073290930319106E-2</v>
      </c>
      <c r="F116" s="3">
        <f t="shared" ca="1" si="125"/>
        <v>4.1098791819076358E-2</v>
      </c>
      <c r="G116" s="3">
        <f t="shared" ca="1" si="125"/>
        <v>4.3657787312976537E-2</v>
      </c>
      <c r="H116" s="3">
        <f t="shared" ca="1" si="125"/>
        <v>4.3359137822923208E-2</v>
      </c>
      <c r="I116" s="3">
        <f t="shared" ca="1" si="125"/>
        <v>4.4220938576534301E-2</v>
      </c>
      <c r="J116" s="3">
        <f t="shared" ca="1" si="125"/>
        <v>4.5913804826462679E-2</v>
      </c>
      <c r="K116" s="3">
        <f t="shared" ca="1" si="125"/>
        <v>4.6230739249146849E-2</v>
      </c>
      <c r="L116" s="3">
        <f t="shared" ca="1" si="125"/>
        <v>4.6932939413809313E-2</v>
      </c>
      <c r="M116" s="3">
        <f t="shared" ca="1" si="125"/>
        <v>5.0145788593844713E-2</v>
      </c>
      <c r="N116" s="3">
        <f t="shared" ca="1" si="125"/>
        <v>4.8626853432754358E-2</v>
      </c>
      <c r="O116" s="3">
        <f t="shared" ca="1" si="125"/>
        <v>5.2411956162055476E-2</v>
      </c>
      <c r="P116" s="3">
        <f t="shared" ca="1" si="125"/>
        <v>4.9797656562763595E-2</v>
      </c>
      <c r="Q116" s="3">
        <f t="shared" ca="1" si="125"/>
        <v>5.564648439526107E-2</v>
      </c>
      <c r="R116" s="3">
        <f t="shared" ca="1" si="125"/>
        <v>5.1641147430560377E-2</v>
      </c>
      <c r="S116" s="3">
        <f t="shared" ca="1" si="125"/>
        <v>5.6581708473058705E-2</v>
      </c>
      <c r="T116" s="3">
        <f t="shared" ca="1" si="125"/>
        <v>5.4632438724495365E-2</v>
      </c>
      <c r="U116" s="3">
        <f t="shared" ca="1" si="125"/>
        <v>5.8160840021064086E-2</v>
      </c>
      <c r="V116" s="3">
        <f t="shared" ca="1" si="125"/>
        <v>5.5983365819813093E-2</v>
      </c>
      <c r="W116" s="3">
        <f t="shared" ca="1" si="125"/>
        <v>6.1189326402891209E-2</v>
      </c>
      <c r="X116" s="3">
        <f t="shared" ca="1" si="125"/>
        <v>5.6503971177556546E-2</v>
      </c>
      <c r="Y116" s="3">
        <f t="shared" ca="1" si="125"/>
        <v>7.4492419819020661E-2</v>
      </c>
      <c r="Z116" s="3">
        <f t="shared" ca="1" si="125"/>
        <v>6.5469083705149117E-2</v>
      </c>
      <c r="AA116" s="3">
        <f t="shared" ca="1" si="125"/>
        <v>7.6161684148165792E-2</v>
      </c>
      <c r="AB116" s="3">
        <f t="shared" ref="AB116:AJ116" ca="1" si="134">MIN(0.99,AB59+$O$3)</f>
        <v>8.1080984699076722E-2</v>
      </c>
      <c r="AC116" s="3">
        <f t="shared" ca="1" si="129"/>
        <v>8.0324685025339029E-2</v>
      </c>
      <c r="AD116" s="3">
        <f t="shared" ca="1" si="129"/>
        <v>9.2025249828346173E-2</v>
      </c>
      <c r="AE116" s="3">
        <f t="shared" ca="1" si="129"/>
        <v>8.1855786329794261E-2</v>
      </c>
      <c r="AF116" s="3">
        <f t="shared" ca="1" si="129"/>
        <v>0.10644241168967833</v>
      </c>
      <c r="AG116" s="3">
        <f t="shared" ca="1" si="129"/>
        <v>8.8454474720507686E-2</v>
      </c>
      <c r="AH116" s="3">
        <f t="shared" ca="1" si="129"/>
        <v>0.1275718690412003</v>
      </c>
      <c r="AI116" s="3">
        <f t="shared" ca="1" si="129"/>
        <v>0.11833357844031292</v>
      </c>
      <c r="AJ116" s="3">
        <f t="shared" ca="1" si="129"/>
        <v>0.16256039003403713</v>
      </c>
    </row>
    <row r="117" spans="1:36" x14ac:dyDescent="0.35">
      <c r="A117" t="s">
        <v>86</v>
      </c>
      <c r="B117" t="s">
        <v>71</v>
      </c>
      <c r="C117" s="4" t="s">
        <v>83</v>
      </c>
      <c r="D117" s="3">
        <f t="shared" ca="1" si="77"/>
        <v>4.12583133258351E-2</v>
      </c>
      <c r="E117" s="3">
        <f t="shared" ca="1" si="125"/>
        <v>4.1664422751371527E-2</v>
      </c>
      <c r="F117" s="3">
        <f t="shared" ca="1" si="125"/>
        <v>4.2044139420366403E-2</v>
      </c>
      <c r="G117" s="3">
        <f t="shared" ca="1" si="125"/>
        <v>4.4654183375913592E-2</v>
      </c>
      <c r="H117" s="3">
        <f t="shared" ca="1" si="125"/>
        <v>4.4342934195328726E-2</v>
      </c>
      <c r="I117" s="3">
        <f t="shared" ca="1" si="125"/>
        <v>4.5208570208275685E-2</v>
      </c>
      <c r="J117" s="3">
        <f t="shared" ca="1" si="125"/>
        <v>4.682094492471546E-2</v>
      </c>
      <c r="K117" s="3">
        <f t="shared" ca="1" si="125"/>
        <v>4.7211150414129266E-2</v>
      </c>
      <c r="L117" s="3">
        <f t="shared" ca="1" si="125"/>
        <v>4.7900842615034626E-2</v>
      </c>
      <c r="M117" s="3">
        <f t="shared" ca="1" si="125"/>
        <v>5.1089982830518257E-2</v>
      </c>
      <c r="N117" s="3">
        <f t="shared" ca="1" si="125"/>
        <v>4.9589694759775094E-2</v>
      </c>
      <c r="O117" s="3">
        <f t="shared" ca="1" si="125"/>
        <v>5.3340255688448496E-2</v>
      </c>
      <c r="P117" s="3">
        <f t="shared" ca="1" si="125"/>
        <v>5.0724828456456789E-2</v>
      </c>
      <c r="Q117" s="3">
        <f t="shared" ca="1" si="125"/>
        <v>5.6590752891357607E-2</v>
      </c>
      <c r="R117" s="3">
        <f t="shared" ca="1" si="125"/>
        <v>5.2587469340213119E-2</v>
      </c>
      <c r="S117" s="3">
        <f t="shared" ca="1" si="125"/>
        <v>5.7567772570547106E-2</v>
      </c>
      <c r="T117" s="3">
        <f t="shared" ca="1" si="125"/>
        <v>5.559773118010345E-2</v>
      </c>
      <c r="U117" s="3">
        <f t="shared" ca="1" si="125"/>
        <v>5.9066878048339502E-2</v>
      </c>
      <c r="V117" s="3">
        <f t="shared" ca="1" si="125"/>
        <v>5.6965582589996906E-2</v>
      </c>
      <c r="W117" s="3">
        <f t="shared" ca="1" si="125"/>
        <v>6.2152745560524317E-2</v>
      </c>
      <c r="X117" s="3">
        <f t="shared" ca="1" si="125"/>
        <v>5.7411965868464983E-2</v>
      </c>
      <c r="Y117" s="3">
        <f t="shared" ca="1" si="125"/>
        <v>7.5405199454347677E-2</v>
      </c>
      <c r="Z117" s="3">
        <f t="shared" ca="1" si="125"/>
        <v>6.6446613190632831E-2</v>
      </c>
      <c r="AA117" s="3">
        <f t="shared" ca="1" si="125"/>
        <v>7.7147798083036137E-2</v>
      </c>
      <c r="AB117" s="3">
        <f t="shared" ref="AB117:AJ117" ca="1" si="135">MIN(0.99,AB60+$O$3)</f>
        <v>8.201239178746518E-2</v>
      </c>
      <c r="AC117" s="3">
        <f t="shared" ca="1" si="129"/>
        <v>8.124905859431876E-2</v>
      </c>
      <c r="AD117" s="3">
        <f t="shared" ca="1" si="129"/>
        <v>9.3012703948703812E-2</v>
      </c>
      <c r="AE117" s="3">
        <f t="shared" ca="1" si="129"/>
        <v>8.2762099494107622E-2</v>
      </c>
      <c r="AF117" s="3">
        <f t="shared" ca="1" si="129"/>
        <v>0.10740834006645986</v>
      </c>
      <c r="AG117" s="3">
        <f t="shared" ca="1" si="129"/>
        <v>8.9383140432970964E-2</v>
      </c>
      <c r="AH117" s="3">
        <f t="shared" ca="1" si="129"/>
        <v>0.12849350671209306</v>
      </c>
      <c r="AI117" s="3">
        <f t="shared" ca="1" si="129"/>
        <v>0.1192405897273513</v>
      </c>
      <c r="AJ117" s="3">
        <f t="shared" ca="1" si="129"/>
        <v>0.16352565964640187</v>
      </c>
    </row>
    <row r="118" spans="1:36" x14ac:dyDescent="0.35">
      <c r="A118" t="s">
        <v>86</v>
      </c>
      <c r="B118" t="s">
        <v>71</v>
      </c>
      <c r="C118" s="4">
        <v>7</v>
      </c>
      <c r="D118" s="3">
        <f t="shared" ca="1" si="77"/>
        <v>4.2200661918787047E-2</v>
      </c>
      <c r="E118" s="3">
        <f t="shared" ca="1" si="125"/>
        <v>4.2599050848178992E-2</v>
      </c>
      <c r="F118" s="3">
        <f t="shared" ca="1" si="125"/>
        <v>4.2999908112302823E-2</v>
      </c>
      <c r="G118" s="3">
        <f t="shared" ca="1" si="125"/>
        <v>4.5602747294023929E-2</v>
      </c>
      <c r="H118" s="3">
        <f t="shared" ca="1" si="125"/>
        <v>4.5340927736579155E-2</v>
      </c>
      <c r="I118" s="3">
        <f t="shared" ca="1" si="125"/>
        <v>4.6160013680824959E-2</v>
      </c>
      <c r="J118" s="3">
        <f t="shared" ca="1" si="125"/>
        <v>4.7798636055544519E-2</v>
      </c>
      <c r="K118" s="3">
        <f t="shared" ca="1" si="125"/>
        <v>4.8147417078684758E-2</v>
      </c>
      <c r="L118" s="3">
        <f t="shared" ca="1" si="125"/>
        <v>4.8884361362201256E-2</v>
      </c>
      <c r="M118" s="3">
        <f t="shared" ca="1" si="125"/>
        <v>5.2066011617063049E-2</v>
      </c>
      <c r="N118" s="3">
        <f t="shared" ca="1" si="125"/>
        <v>5.0574935817173067E-2</v>
      </c>
      <c r="O118" s="3">
        <f t="shared" ca="1" si="125"/>
        <v>5.4243120872214834E-2</v>
      </c>
      <c r="P118" s="3">
        <f t="shared" ca="1" si="125"/>
        <v>5.1652615848860217E-2</v>
      </c>
      <c r="Q118" s="3">
        <f t="shared" ca="1" si="125"/>
        <v>5.7569733367876193E-2</v>
      </c>
      <c r="R118" s="3">
        <f t="shared" ca="1" si="125"/>
        <v>5.3576129199714079E-2</v>
      </c>
      <c r="S118" s="3">
        <f t="shared" ca="1" si="125"/>
        <v>5.8540739523052103E-2</v>
      </c>
      <c r="T118" s="3">
        <f t="shared" ca="1" si="125"/>
        <v>5.654868344701685E-2</v>
      </c>
      <c r="U118" s="3">
        <f t="shared" ca="1" si="125"/>
        <v>6.0009804975175336E-2</v>
      </c>
      <c r="V118" s="3">
        <f t="shared" ca="1" si="125"/>
        <v>5.7950087490942867E-2</v>
      </c>
      <c r="W118" s="3">
        <f t="shared" ca="1" si="125"/>
        <v>6.3118232677885633E-2</v>
      </c>
      <c r="X118" s="3">
        <f t="shared" ca="1" si="125"/>
        <v>5.8405612871754442E-2</v>
      </c>
      <c r="Y118" s="3">
        <f t="shared" ca="1" si="125"/>
        <v>7.6324381851075346E-2</v>
      </c>
      <c r="Z118" s="3">
        <f t="shared" ca="1" si="125"/>
        <v>6.7431863695245176E-2</v>
      </c>
      <c r="AA118" s="3">
        <f t="shared" ca="1" si="125"/>
        <v>7.813862304246727E-2</v>
      </c>
      <c r="AB118" s="3">
        <f t="shared" ref="AB118:AJ118" ca="1" si="136">MIN(0.99,AB61+$O$3)</f>
        <v>8.2919633726327449E-2</v>
      </c>
      <c r="AC118" s="3">
        <f t="shared" ca="1" si="129"/>
        <v>8.2245991404705537E-2</v>
      </c>
      <c r="AD118" s="3">
        <f t="shared" ca="1" si="129"/>
        <v>9.397594790068442E-2</v>
      </c>
      <c r="AE118" s="3">
        <f t="shared" ca="1" si="129"/>
        <v>8.3740836097137533E-2</v>
      </c>
      <c r="AF118" s="3">
        <f t="shared" ca="1" si="129"/>
        <v>0.1083693331031208</v>
      </c>
      <c r="AG118" s="3">
        <f t="shared" ca="1" si="129"/>
        <v>9.0340509896130239E-2</v>
      </c>
      <c r="AH118" s="3">
        <f t="shared" ca="1" si="129"/>
        <v>0.1294192847923204</v>
      </c>
      <c r="AI118" s="3">
        <f t="shared" ca="1" si="129"/>
        <v>0.12018489055439596</v>
      </c>
      <c r="AJ118" s="3">
        <f t="shared" ca="1" si="129"/>
        <v>0.16448251845596493</v>
      </c>
    </row>
    <row r="119" spans="1:36" x14ac:dyDescent="0.35">
      <c r="A119" t="s">
        <v>86</v>
      </c>
      <c r="B119" t="s">
        <v>71</v>
      </c>
      <c r="C119" s="4" t="s">
        <v>84</v>
      </c>
      <c r="D119" s="3">
        <f t="shared" ca="1" si="77"/>
        <v>4.3166562334712583E-2</v>
      </c>
      <c r="E119" s="3">
        <f t="shared" ca="1" si="125"/>
        <v>4.3590553464073117E-2</v>
      </c>
      <c r="F119" s="3">
        <f t="shared" ca="1" si="125"/>
        <v>4.3901849508042351E-2</v>
      </c>
      <c r="G119" s="3">
        <f t="shared" ref="G119:AB119" ca="1" si="137">MIN(0.99,G62+$O$3)</f>
        <v>4.6564174319794274E-2</v>
      </c>
      <c r="H119" s="3">
        <f t="shared" ca="1" si="137"/>
        <v>4.6243459502794654E-2</v>
      </c>
      <c r="I119" s="3">
        <f t="shared" ca="1" si="137"/>
        <v>4.7069930142503255E-2</v>
      </c>
      <c r="J119" s="3">
        <f t="shared" ca="1" si="137"/>
        <v>4.8726024963811072E-2</v>
      </c>
      <c r="K119" s="3">
        <f t="shared" ca="1" si="137"/>
        <v>4.9088037481514066E-2</v>
      </c>
      <c r="L119" s="3">
        <f t="shared" ca="1" si="137"/>
        <v>4.988283571839823E-2</v>
      </c>
      <c r="M119" s="3">
        <f t="shared" ca="1" si="137"/>
        <v>5.2982289432040988E-2</v>
      </c>
      <c r="N119" s="3">
        <f t="shared" ca="1" si="137"/>
        <v>5.1540296229596418E-2</v>
      </c>
      <c r="O119" s="3">
        <f t="shared" ca="1" si="137"/>
        <v>5.5221587420155815E-2</v>
      </c>
      <c r="P119" s="3">
        <f t="shared" ca="1" si="137"/>
        <v>5.2595541411957922E-2</v>
      </c>
      <c r="Q119" s="3">
        <f t="shared" ca="1" si="137"/>
        <v>5.8536050711690657E-2</v>
      </c>
      <c r="R119" s="3">
        <f t="shared" ca="1" si="137"/>
        <v>5.4547172878563713E-2</v>
      </c>
      <c r="S119" s="3">
        <f t="shared" ca="1" si="137"/>
        <v>5.9509246908124133E-2</v>
      </c>
      <c r="T119" s="3">
        <f t="shared" ca="1" si="137"/>
        <v>5.7461461138448869E-2</v>
      </c>
      <c r="U119" s="3">
        <f t="shared" ca="1" si="137"/>
        <v>6.0964158194139743E-2</v>
      </c>
      <c r="V119" s="3">
        <f t="shared" ca="1" si="137"/>
        <v>5.8913496729225835E-2</v>
      </c>
      <c r="W119" s="3">
        <f t="shared" ca="1" si="137"/>
        <v>6.4083039935777214E-2</v>
      </c>
      <c r="X119" s="3">
        <f t="shared" ca="1" si="137"/>
        <v>5.940205732522947E-2</v>
      </c>
      <c r="Y119" s="3">
        <f t="shared" ca="1" si="137"/>
        <v>7.7278663424839175E-2</v>
      </c>
      <c r="Z119" s="3">
        <f t="shared" ca="1" si="137"/>
        <v>6.8383456054049996E-2</v>
      </c>
      <c r="AA119" s="3">
        <f t="shared" ca="1" si="137"/>
        <v>7.9129865817589559E-2</v>
      </c>
      <c r="AB119" s="3">
        <f t="shared" ca="1" si="137"/>
        <v>8.384108407942957E-2</v>
      </c>
      <c r="AC119" s="3">
        <f t="shared" ca="1" si="129"/>
        <v>8.3187457185954966E-2</v>
      </c>
      <c r="AD119" s="3">
        <f t="shared" ca="1" si="129"/>
        <v>9.4909162955906845E-2</v>
      </c>
      <c r="AE119" s="3">
        <f t="shared" ca="1" si="129"/>
        <v>8.4688942281851642E-2</v>
      </c>
      <c r="AF119" s="3">
        <f t="shared" ca="1" si="129"/>
        <v>0.10935952907102603</v>
      </c>
      <c r="AG119" s="3">
        <f t="shared" ca="1" si="129"/>
        <v>9.1326130414968676E-2</v>
      </c>
      <c r="AH119" s="3">
        <f t="shared" ca="1" si="129"/>
        <v>0.13039825560777446</v>
      </c>
      <c r="AI119" s="3">
        <f t="shared" ca="1" si="129"/>
        <v>0.12111156209015139</v>
      </c>
      <c r="AJ119" s="3">
        <f t="shared" ca="1" si="129"/>
        <v>0.16538586655357662</v>
      </c>
    </row>
  </sheetData>
  <phoneticPr fontId="3" type="noConversion"/>
  <dataValidations count="2">
    <dataValidation type="list" allowBlank="1" showInputMessage="1" showErrorMessage="1" sqref="B120:B1048576" xr:uid="{3AD7662D-2C4E-4620-8B9C-64E8DA354390}">
      <mc:AlternateContent xmlns:x12ac="http://schemas.microsoft.com/office/spreadsheetml/2011/1/ac" xmlns:mc="http://schemas.openxmlformats.org/markup-compatibility/2006">
        <mc:Choice Requires="x12ac">
          <x12ac:list>"CENTRAL, STRESS, OPTIMISTE"</x12ac:list>
        </mc:Choice>
        <mc:Fallback>
          <formula1>"CENTRAL, STRESS, OPTIMISTE"</formula1>
        </mc:Fallback>
      </mc:AlternateContent>
    </dataValidation>
    <dataValidation type="list" allowBlank="1" showInputMessage="1" showErrorMessage="1" sqref="B25:B62 B82:B119" xr:uid="{E77E6BF9-14A8-417C-8DE7-4CD8A5CFA708}">
      <formula1>"CENTRAL,STRESS,OPTIMISTE"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93996-874F-4877-B17D-0F95183BBD6E}"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CC3C9-3F89-4887-98DE-1F48CB4DF3F3}">
  <dimension ref="A5:AJ11"/>
  <sheetViews>
    <sheetView zoomScale="70" zoomScaleNormal="70" workbookViewId="0">
      <selection activeCell="K24" sqref="K24"/>
    </sheetView>
  </sheetViews>
  <sheetFormatPr baseColWidth="10" defaultRowHeight="14.5" x14ac:dyDescent="0.35"/>
  <cols>
    <col min="1" max="1" width="18" bestFit="1" customWidth="1"/>
    <col min="3" max="3" width="22.6328125" bestFit="1" customWidth="1"/>
  </cols>
  <sheetData>
    <row r="5" spans="1:36" x14ac:dyDescent="0.35">
      <c r="A5" t="s">
        <v>87</v>
      </c>
      <c r="B5" t="s">
        <v>35</v>
      </c>
      <c r="C5" t="s">
        <v>88</v>
      </c>
      <c r="D5" t="s">
        <v>37</v>
      </c>
      <c r="E5" t="s">
        <v>38</v>
      </c>
      <c r="F5" t="s">
        <v>39</v>
      </c>
      <c r="G5" t="s">
        <v>40</v>
      </c>
      <c r="H5" t="s">
        <v>41</v>
      </c>
      <c r="I5" t="s">
        <v>42</v>
      </c>
      <c r="J5" t="s">
        <v>43</v>
      </c>
      <c r="K5" t="s">
        <v>44</v>
      </c>
      <c r="L5" t="s">
        <v>45</v>
      </c>
      <c r="M5" t="s">
        <v>46</v>
      </c>
      <c r="N5" t="s">
        <v>47</v>
      </c>
      <c r="O5" t="s">
        <v>48</v>
      </c>
      <c r="P5" t="s">
        <v>49</v>
      </c>
      <c r="Q5" t="s">
        <v>50</v>
      </c>
      <c r="R5" t="s">
        <v>51</v>
      </c>
      <c r="S5" t="s">
        <v>52</v>
      </c>
      <c r="T5" t="s">
        <v>53</v>
      </c>
      <c r="U5" t="s">
        <v>54</v>
      </c>
      <c r="V5" t="s">
        <v>55</v>
      </c>
      <c r="W5" t="s">
        <v>56</v>
      </c>
      <c r="X5" t="s">
        <v>57</v>
      </c>
      <c r="Y5" t="s">
        <v>58</v>
      </c>
      <c r="Z5" t="s">
        <v>59</v>
      </c>
      <c r="AA5" t="s">
        <v>60</v>
      </c>
      <c r="AB5" t="s">
        <v>61</v>
      </c>
      <c r="AC5" t="s">
        <v>62</v>
      </c>
      <c r="AD5" t="s">
        <v>63</v>
      </c>
      <c r="AE5" t="s">
        <v>64</v>
      </c>
      <c r="AF5" t="s">
        <v>65</v>
      </c>
      <c r="AG5" t="s">
        <v>66</v>
      </c>
      <c r="AH5" t="s">
        <v>67</v>
      </c>
      <c r="AI5" t="s">
        <v>68</v>
      </c>
      <c r="AJ5" t="s">
        <v>69</v>
      </c>
    </row>
    <row r="6" spans="1:36" x14ac:dyDescent="0.35">
      <c r="A6" t="s">
        <v>89</v>
      </c>
      <c r="B6" t="s">
        <v>85</v>
      </c>
      <c r="C6" s="5">
        <v>0.43</v>
      </c>
    </row>
    <row r="7" spans="1:36" x14ac:dyDescent="0.35">
      <c r="A7" t="s">
        <v>89</v>
      </c>
      <c r="B7" t="s">
        <v>70</v>
      </c>
      <c r="C7" s="5">
        <v>0.45</v>
      </c>
    </row>
    <row r="8" spans="1:36" x14ac:dyDescent="0.35">
      <c r="A8" t="s">
        <v>89</v>
      </c>
      <c r="B8" t="s">
        <v>71</v>
      </c>
      <c r="C8" s="5">
        <v>0.46</v>
      </c>
    </row>
    <row r="9" spans="1:36" x14ac:dyDescent="0.35">
      <c r="A9" t="s">
        <v>90</v>
      </c>
      <c r="B9" t="s">
        <v>85</v>
      </c>
      <c r="D9" s="5">
        <v>0.33</v>
      </c>
      <c r="E9" s="5">
        <f>D9+0.012</f>
        <v>0.34200000000000003</v>
      </c>
      <c r="F9" s="5">
        <f t="shared" ref="F9:L9" si="0">E9+0.01</f>
        <v>0.35200000000000004</v>
      </c>
      <c r="G9" s="5">
        <f t="shared" si="0"/>
        <v>0.36200000000000004</v>
      </c>
      <c r="H9" s="5">
        <f t="shared" si="0"/>
        <v>0.37200000000000005</v>
      </c>
      <c r="I9" s="5">
        <f t="shared" si="0"/>
        <v>0.38200000000000006</v>
      </c>
      <c r="J9" s="5">
        <f t="shared" si="0"/>
        <v>0.39200000000000007</v>
      </c>
      <c r="K9" s="5">
        <f t="shared" si="0"/>
        <v>0.40200000000000008</v>
      </c>
      <c r="L9" s="5">
        <f t="shared" si="0"/>
        <v>0.41200000000000009</v>
      </c>
      <c r="M9" s="6">
        <v>0.36000000000000004</v>
      </c>
      <c r="N9" s="6">
        <v>0.36000000000000004</v>
      </c>
      <c r="O9" s="6">
        <v>0.36000000000000004</v>
      </c>
      <c r="P9" s="6">
        <v>0.36000000000000004</v>
      </c>
      <c r="Q9" s="6">
        <v>0.36000000000000004</v>
      </c>
      <c r="R9" s="6">
        <v>0.36000000000000004</v>
      </c>
      <c r="S9" s="6">
        <v>0.36000000000000004</v>
      </c>
      <c r="T9" s="6">
        <v>0.36000000000000004</v>
      </c>
      <c r="U9" s="6">
        <v>0.36000000000000004</v>
      </c>
      <c r="V9" s="6">
        <v>0.36000000000000004</v>
      </c>
      <c r="W9" s="6">
        <v>0.36000000000000004</v>
      </c>
      <c r="X9" s="6">
        <v>0.36000000000000004</v>
      </c>
      <c r="Y9" s="6">
        <v>0.36000000000000004</v>
      </c>
      <c r="Z9" s="6">
        <v>0.36000000000000004</v>
      </c>
      <c r="AA9" s="6">
        <v>0.36000000000000004</v>
      </c>
      <c r="AB9" s="6">
        <v>0.36000000000000004</v>
      </c>
      <c r="AC9" s="6">
        <v>0.36000000000000004</v>
      </c>
      <c r="AD9" s="6">
        <v>0.36000000000000004</v>
      </c>
      <c r="AE9" s="6">
        <v>0.36000000000000004</v>
      </c>
      <c r="AF9" s="6">
        <v>0.36000000000000004</v>
      </c>
      <c r="AG9" s="6">
        <v>0.36000000000000004</v>
      </c>
      <c r="AH9" s="6">
        <v>0.36000000000000004</v>
      </c>
      <c r="AI9" s="6">
        <v>0.36000000000000004</v>
      </c>
      <c r="AJ9" s="6">
        <v>0.36000000000000004</v>
      </c>
    </row>
    <row r="10" spans="1:36" x14ac:dyDescent="0.35">
      <c r="A10" t="s">
        <v>90</v>
      </c>
      <c r="B10" t="s">
        <v>70</v>
      </c>
      <c r="D10" s="5">
        <f>D9+0.02</f>
        <v>0.35000000000000003</v>
      </c>
      <c r="E10" s="5">
        <f t="shared" ref="E10:E11" si="1">D10+0.012</f>
        <v>0.36200000000000004</v>
      </c>
      <c r="F10" s="5">
        <f t="shared" ref="F10:L10" si="2">E10+0.01</f>
        <v>0.37200000000000005</v>
      </c>
      <c r="G10" s="5">
        <f t="shared" si="2"/>
        <v>0.38200000000000006</v>
      </c>
      <c r="H10" s="5">
        <f t="shared" si="2"/>
        <v>0.39200000000000007</v>
      </c>
      <c r="I10" s="5">
        <f t="shared" si="2"/>
        <v>0.40200000000000008</v>
      </c>
      <c r="J10" s="5">
        <f t="shared" si="2"/>
        <v>0.41200000000000009</v>
      </c>
      <c r="K10" s="5">
        <f t="shared" si="2"/>
        <v>0.4220000000000001</v>
      </c>
      <c r="L10" s="5">
        <f t="shared" si="2"/>
        <v>0.43200000000000011</v>
      </c>
      <c r="M10" s="6">
        <v>0.38000000000000006</v>
      </c>
      <c r="N10" s="6">
        <v>0.38000000000000006</v>
      </c>
      <c r="O10" s="6">
        <v>0.38000000000000006</v>
      </c>
      <c r="P10" s="6">
        <v>0.38000000000000006</v>
      </c>
      <c r="Q10" s="6">
        <v>0.38000000000000006</v>
      </c>
      <c r="R10" s="6">
        <v>0.38000000000000006</v>
      </c>
      <c r="S10" s="6">
        <v>0.38000000000000006</v>
      </c>
      <c r="T10" s="6">
        <v>0.38000000000000006</v>
      </c>
      <c r="U10" s="6">
        <v>0.38000000000000006</v>
      </c>
      <c r="V10" s="6">
        <v>0.38000000000000006</v>
      </c>
      <c r="W10" s="6">
        <v>0.38000000000000006</v>
      </c>
      <c r="X10" s="6">
        <v>0.38000000000000006</v>
      </c>
      <c r="Y10" s="6">
        <v>0.38000000000000006</v>
      </c>
      <c r="Z10" s="6">
        <v>0.38000000000000006</v>
      </c>
      <c r="AA10" s="6">
        <v>0.38000000000000006</v>
      </c>
      <c r="AB10" s="6">
        <v>0.38000000000000006</v>
      </c>
      <c r="AC10" s="6">
        <v>0.38000000000000006</v>
      </c>
      <c r="AD10" s="6">
        <v>0.38000000000000006</v>
      </c>
      <c r="AE10" s="6">
        <v>0.38000000000000006</v>
      </c>
      <c r="AF10" s="6">
        <v>0.38000000000000006</v>
      </c>
      <c r="AG10" s="6">
        <v>0.38000000000000006</v>
      </c>
      <c r="AH10" s="6">
        <v>0.38000000000000006</v>
      </c>
      <c r="AI10" s="6">
        <v>0.38000000000000006</v>
      </c>
      <c r="AJ10" s="6">
        <v>0.38000000000000006</v>
      </c>
    </row>
    <row r="11" spans="1:36" x14ac:dyDescent="0.35">
      <c r="A11" t="s">
        <v>90</v>
      </c>
      <c r="B11" t="s">
        <v>71</v>
      </c>
      <c r="D11" s="5">
        <f>D10+0.02</f>
        <v>0.37000000000000005</v>
      </c>
      <c r="E11" s="5">
        <f t="shared" si="1"/>
        <v>0.38200000000000006</v>
      </c>
      <c r="F11" s="5">
        <f t="shared" ref="F11:L11" si="3">E11+0.01</f>
        <v>0.39200000000000007</v>
      </c>
      <c r="G11" s="5">
        <f t="shared" si="3"/>
        <v>0.40200000000000008</v>
      </c>
      <c r="H11" s="5">
        <f t="shared" si="3"/>
        <v>0.41200000000000009</v>
      </c>
      <c r="I11" s="5">
        <f t="shared" si="3"/>
        <v>0.4220000000000001</v>
      </c>
      <c r="J11" s="5">
        <f t="shared" si="3"/>
        <v>0.43200000000000011</v>
      </c>
      <c r="K11" s="5">
        <f t="shared" si="3"/>
        <v>0.44200000000000012</v>
      </c>
      <c r="L11" s="5">
        <f t="shared" si="3"/>
        <v>0.45200000000000012</v>
      </c>
      <c r="M11" s="6">
        <v>0.40000000000000008</v>
      </c>
      <c r="N11" s="6">
        <v>0.40000000000000008</v>
      </c>
      <c r="O11" s="6">
        <v>0.40000000000000008</v>
      </c>
      <c r="P11" s="6">
        <v>0.40000000000000008</v>
      </c>
      <c r="Q11" s="6">
        <v>0.40000000000000008</v>
      </c>
      <c r="R11" s="6">
        <v>0.40000000000000008</v>
      </c>
      <c r="S11" s="6">
        <v>0.40000000000000008</v>
      </c>
      <c r="T11" s="6">
        <v>0.40000000000000008</v>
      </c>
      <c r="U11" s="6">
        <v>0.40000000000000008</v>
      </c>
      <c r="V11" s="6">
        <v>0.40000000000000008</v>
      </c>
      <c r="W11" s="6">
        <v>0.40000000000000008</v>
      </c>
      <c r="X11" s="6">
        <v>0.40000000000000008</v>
      </c>
      <c r="Y11" s="6">
        <v>0.40000000000000008</v>
      </c>
      <c r="Z11" s="6">
        <v>0.40000000000000008</v>
      </c>
      <c r="AA11" s="6">
        <v>0.40000000000000008</v>
      </c>
      <c r="AB11" s="6">
        <v>0.40000000000000008</v>
      </c>
      <c r="AC11" s="6">
        <v>0.40000000000000008</v>
      </c>
      <c r="AD11" s="6">
        <v>0.40000000000000008</v>
      </c>
      <c r="AE11" s="6">
        <v>0.40000000000000008</v>
      </c>
      <c r="AF11" s="6">
        <v>0.40000000000000008</v>
      </c>
      <c r="AG11" s="6">
        <v>0.40000000000000008</v>
      </c>
      <c r="AH11" s="6">
        <v>0.40000000000000008</v>
      </c>
      <c r="AI11" s="6">
        <v>0.40000000000000008</v>
      </c>
      <c r="AJ11" s="6">
        <v>0.40000000000000008</v>
      </c>
    </row>
  </sheetData>
  <dataValidations disablePrompts="1" count="1">
    <dataValidation type="list" allowBlank="1" showInputMessage="1" showErrorMessage="1" sqref="B7:B8 B10:B11" xr:uid="{BFCBCF19-90FD-4691-AB1E-CE37FBE69399}">
      <formula1>"CENTRAL,STRESS,OPTIMISTE"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A04D4-A3B9-4E98-B784-F6887AB075C1}"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3A168-FDB0-4BB0-9919-99127FD258AD}">
  <dimension ref="A1"/>
  <sheetViews>
    <sheetView workbookViewId="0">
      <selection activeCell="I17" sqref="I17"/>
    </sheetView>
  </sheetViews>
  <sheetFormatPr baseColWidth="10" defaultRowHeight="14.5" x14ac:dyDescent="0.3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66C9F-CD81-44C6-ACB0-D5AD55CFFAC9}">
  <dimension ref="A1"/>
  <sheetViews>
    <sheetView workbookViewId="0">
      <selection activeCell="K13" sqref="K13"/>
    </sheetView>
  </sheetViews>
  <sheetFormatPr baseColWidth="10" defaultRowHeight="14.5" x14ac:dyDescent="0.3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CCE34-FA11-450B-9586-D7E6F764AA80}">
  <dimension ref="A1"/>
  <sheetViews>
    <sheetView tabSelected="1" zoomScale="90" workbookViewId="0">
      <selection activeCell="O11" sqref="O11"/>
    </sheetView>
  </sheetViews>
  <sheetFormatPr baseColWidth="10" defaultRowHeight="14.5" x14ac:dyDescent="0.35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ef0bb37-bc95-4fbe-a9dd-c586fa949031}" enabled="0" method="" siteId="{9ef0bb37-bc95-4fbe-a9dd-c586fa94903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Mapping fields Non Retail</vt:lpstr>
      <vt:lpstr>Mapping time steps</vt:lpstr>
      <vt:lpstr>Mapping SICR</vt:lpstr>
      <vt:lpstr>Histo PD Multi Non Retail</vt:lpstr>
      <vt:lpstr>Histo PD Multi Retail</vt:lpstr>
      <vt:lpstr>Perimeters Segmentation</vt:lpstr>
      <vt:lpstr>PD S1S2 Non Retail</vt:lpstr>
      <vt:lpstr>PD S1S2 Retail</vt:lpstr>
      <vt:lpstr>LGD S1S2 Non Retail</vt:lpstr>
      <vt:lpstr>LGD S1S2 Retail</vt:lpstr>
      <vt:lpstr>LGD S3 Retail</vt:lpstr>
      <vt:lpstr>CCF Retail</vt:lpstr>
      <vt:lpstr>CCF Non Retail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Hong-Cuong LE</dc:creator>
  <cp:lastModifiedBy>Hong-Cuong LE</cp:lastModifiedBy>
  <dcterms:created xsi:type="dcterms:W3CDTF">2025-08-01T14:39:19Z</dcterms:created>
  <dcterms:modified xsi:type="dcterms:W3CDTF">2025-08-01T16:35:44Z</dcterms:modified>
</cp:coreProperties>
</file>