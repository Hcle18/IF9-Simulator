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ialog365-my.sharepoint.com/personal/hcle_nexialog_com/Documents/Documents/IFRS9-Simulation/sample/templates/"/>
    </mc:Choice>
  </mc:AlternateContent>
  <xr:revisionPtr revIDLastSave="418" documentId="8_{AFB8AE1F-C1C1-4A4D-92C3-D5E9A3F69F11}" xr6:coauthVersionLast="47" xr6:coauthVersionMax="47" xr10:uidLastSave="{E5D9F5D5-D91D-45C3-BCD6-769DF8C43570}"/>
  <bookViews>
    <workbookView xWindow="-110" yWindow="-110" windowWidth="19420" windowHeight="10420" tabRatio="831" activeTab="1" xr2:uid="{5ADE5E38-8C15-4A1D-BC21-AF3E8C7499E2}"/>
  </bookViews>
  <sheets>
    <sheet name="F0-Scenarios Weight" sheetId="14" r:id="rId1"/>
    <sheet name="F1-Mapping fields Non Retail" sheetId="1" r:id="rId2"/>
    <sheet name="F1-Mapping fields Retail S1S2" sheetId="15" r:id="rId3"/>
    <sheet name="F1-Mapping fields Retail S3" sheetId="16" r:id="rId4"/>
    <sheet name="F2-Mapping time steps" sheetId="2" r:id="rId5"/>
    <sheet name="F3-Mapping Segment SICR" sheetId="3" r:id="rId6"/>
    <sheet name="F4-Histo PD Multi Non Retail" sheetId="4" r:id="rId7"/>
    <sheet name="Histo PD Multi Retail" sheetId="5" r:id="rId8"/>
    <sheet name="Perimeters Segmentation" sheetId="6" r:id="rId9"/>
    <sheet name="F6-PD S1S2 Non Retail" sheetId="7" r:id="rId10"/>
    <sheet name="PD S1S2 Retail" sheetId="8" r:id="rId11"/>
    <sheet name="F8-LGD S1S2 Non Retail" sheetId="9" r:id="rId12"/>
    <sheet name="LGD S1S2 Retail" sheetId="10" r:id="rId13"/>
    <sheet name="LGD S3 Retail" sheetId="11" r:id="rId14"/>
    <sheet name="CCF Retail" sheetId="12" r:id="rId15"/>
    <sheet name="F12-CCF Non Retail" sheetId="13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4" l="1"/>
  <c r="E10" i="9"/>
  <c r="F10" i="9" s="1"/>
  <c r="G10" i="9" s="1"/>
  <c r="H10" i="9" s="1"/>
  <c r="I10" i="9" s="1"/>
  <c r="J10" i="9" s="1"/>
  <c r="K10" i="9" s="1"/>
  <c r="L10" i="9" s="1"/>
  <c r="E11" i="9"/>
  <c r="F11" i="9" s="1"/>
  <c r="G11" i="9" s="1"/>
  <c r="H11" i="9" s="1"/>
  <c r="I11" i="9" s="1"/>
  <c r="J11" i="9" s="1"/>
  <c r="K11" i="9" s="1"/>
  <c r="L11" i="9" s="1"/>
  <c r="E9" i="9"/>
  <c r="F9" i="9" s="1"/>
  <c r="G9" i="9" s="1"/>
  <c r="H9" i="9" s="1"/>
  <c r="I9" i="9" s="1"/>
  <c r="J9" i="9" s="1"/>
  <c r="K9" i="9" s="1"/>
  <c r="L9" i="9" s="1"/>
  <c r="D11" i="9"/>
  <c r="D10" i="9"/>
  <c r="X3" i="7"/>
  <c r="Y3" i="7" s="1"/>
  <c r="Z3" i="7" s="1"/>
  <c r="AA3" i="7" s="1"/>
  <c r="AB3" i="7" s="1"/>
  <c r="AC3" i="7" s="1"/>
  <c r="AD3" i="7" s="1"/>
  <c r="AE3" i="7" s="1"/>
  <c r="AF3" i="7" s="1"/>
  <c r="AG3" i="7" s="1"/>
  <c r="D6" i="7"/>
  <c r="AA3" i="4" l="1"/>
  <c r="D25" i="7"/>
  <c r="D63" i="7"/>
  <c r="E6" i="7"/>
  <c r="AH3" i="7"/>
  <c r="AI3" i="7" s="1"/>
  <c r="AJ3" i="7" s="1"/>
  <c r="D7" i="7"/>
  <c r="AB3" i="4" l="1"/>
  <c r="E25" i="7"/>
  <c r="E63" i="7"/>
  <c r="D44" i="7"/>
  <c r="D101" i="7" s="1"/>
  <c r="D82" i="7"/>
  <c r="D26" i="7"/>
  <c r="D64" i="7"/>
  <c r="D8" i="7"/>
  <c r="F6" i="7"/>
  <c r="E7" i="7"/>
  <c r="AC3" i="4" l="1"/>
  <c r="E82" i="7"/>
  <c r="E44" i="7"/>
  <c r="E101" i="7" s="1"/>
  <c r="F25" i="7"/>
  <c r="F63" i="7"/>
  <c r="E26" i="7"/>
  <c r="E64" i="7"/>
  <c r="D83" i="7"/>
  <c r="D45" i="7"/>
  <c r="D102" i="7" s="1"/>
  <c r="D27" i="7"/>
  <c r="D65" i="7"/>
  <c r="F7" i="7"/>
  <c r="D9" i="7"/>
  <c r="E8" i="7"/>
  <c r="G6" i="7"/>
  <c r="AD3" i="4" l="1"/>
  <c r="F82" i="7"/>
  <c r="F44" i="7"/>
  <c r="F101" i="7" s="1"/>
  <c r="E83" i="7"/>
  <c r="E45" i="7"/>
  <c r="E102" i="7" s="1"/>
  <c r="F26" i="7"/>
  <c r="F64" i="7"/>
  <c r="E27" i="7"/>
  <c r="E65" i="7"/>
  <c r="G25" i="7"/>
  <c r="G63" i="7"/>
  <c r="D84" i="7"/>
  <c r="D46" i="7"/>
  <c r="D103" i="7" s="1"/>
  <c r="D28" i="7"/>
  <c r="D66" i="7"/>
  <c r="F8" i="7"/>
  <c r="G7" i="7"/>
  <c r="D10" i="7"/>
  <c r="E9" i="7"/>
  <c r="H6" i="7"/>
  <c r="AE3" i="4" l="1"/>
  <c r="F83" i="7"/>
  <c r="F45" i="7"/>
  <c r="F102" i="7" s="1"/>
  <c r="E84" i="7"/>
  <c r="E46" i="7"/>
  <c r="E103" i="7" s="1"/>
  <c r="G82" i="7"/>
  <c r="G44" i="7"/>
  <c r="G101" i="7" s="1"/>
  <c r="F27" i="7"/>
  <c r="F65" i="7"/>
  <c r="G26" i="7"/>
  <c r="G64" i="7"/>
  <c r="E28" i="7"/>
  <c r="E66" i="7"/>
  <c r="H25" i="7"/>
  <c r="H63" i="7"/>
  <c r="D85" i="7"/>
  <c r="D47" i="7"/>
  <c r="D104" i="7" s="1"/>
  <c r="D29" i="7"/>
  <c r="D67" i="7"/>
  <c r="F9" i="7"/>
  <c r="G8" i="7"/>
  <c r="H7" i="7"/>
  <c r="D11" i="7"/>
  <c r="E10" i="7"/>
  <c r="I6" i="7"/>
  <c r="AF3" i="4" l="1"/>
  <c r="F84" i="7"/>
  <c r="F46" i="7"/>
  <c r="F103" i="7" s="1"/>
  <c r="G83" i="7"/>
  <c r="G45" i="7"/>
  <c r="G102" i="7" s="1"/>
  <c r="E85" i="7"/>
  <c r="E47" i="7"/>
  <c r="E104" i="7" s="1"/>
  <c r="H82" i="7"/>
  <c r="H44" i="7"/>
  <c r="H101" i="7" s="1"/>
  <c r="F28" i="7"/>
  <c r="F66" i="7"/>
  <c r="G27" i="7"/>
  <c r="G65" i="7"/>
  <c r="H26" i="7"/>
  <c r="H64" i="7"/>
  <c r="E29" i="7"/>
  <c r="E67" i="7"/>
  <c r="I25" i="7"/>
  <c r="I63" i="7"/>
  <c r="D86" i="7"/>
  <c r="D48" i="7"/>
  <c r="D105" i="7" s="1"/>
  <c r="D30" i="7"/>
  <c r="D68" i="7"/>
  <c r="F10" i="7"/>
  <c r="G9" i="7"/>
  <c r="H8" i="7"/>
  <c r="I7" i="7"/>
  <c r="D12" i="7"/>
  <c r="E11" i="7"/>
  <c r="J6" i="7"/>
  <c r="AG3" i="4" l="1"/>
  <c r="F85" i="7"/>
  <c r="F47" i="7"/>
  <c r="F104" i="7" s="1"/>
  <c r="G84" i="7"/>
  <c r="G46" i="7"/>
  <c r="G103" i="7" s="1"/>
  <c r="H83" i="7"/>
  <c r="H45" i="7"/>
  <c r="H102" i="7" s="1"/>
  <c r="E86" i="7"/>
  <c r="E48" i="7"/>
  <c r="E105" i="7" s="1"/>
  <c r="I82" i="7"/>
  <c r="I44" i="7"/>
  <c r="I101" i="7" s="1"/>
  <c r="F29" i="7"/>
  <c r="F67" i="7"/>
  <c r="G28" i="7"/>
  <c r="G66" i="7"/>
  <c r="H27" i="7"/>
  <c r="H65" i="7"/>
  <c r="I26" i="7"/>
  <c r="I64" i="7"/>
  <c r="E30" i="7"/>
  <c r="E68" i="7"/>
  <c r="J25" i="7"/>
  <c r="J63" i="7"/>
  <c r="D87" i="7"/>
  <c r="D49" i="7"/>
  <c r="D106" i="7" s="1"/>
  <c r="D31" i="7"/>
  <c r="D69" i="7"/>
  <c r="F11" i="7"/>
  <c r="G10" i="7"/>
  <c r="H9" i="7"/>
  <c r="I8" i="7"/>
  <c r="J7" i="7"/>
  <c r="D13" i="7"/>
  <c r="E12" i="7"/>
  <c r="K6" i="7"/>
  <c r="AH3" i="4" l="1"/>
  <c r="F86" i="7"/>
  <c r="F48" i="7"/>
  <c r="F105" i="7" s="1"/>
  <c r="G85" i="7"/>
  <c r="G47" i="7"/>
  <c r="G104" i="7" s="1"/>
  <c r="H84" i="7"/>
  <c r="H46" i="7"/>
  <c r="H103" i="7" s="1"/>
  <c r="I83" i="7"/>
  <c r="I45" i="7"/>
  <c r="I102" i="7" s="1"/>
  <c r="E87" i="7"/>
  <c r="E49" i="7"/>
  <c r="E106" i="7" s="1"/>
  <c r="J82" i="7"/>
  <c r="J44" i="7"/>
  <c r="J101" i="7" s="1"/>
  <c r="F30" i="7"/>
  <c r="F68" i="7"/>
  <c r="G29" i="7"/>
  <c r="G67" i="7"/>
  <c r="H28" i="7"/>
  <c r="H66" i="7"/>
  <c r="I27" i="7"/>
  <c r="I65" i="7"/>
  <c r="J26" i="7"/>
  <c r="J64" i="7"/>
  <c r="E31" i="7"/>
  <c r="E69" i="7"/>
  <c r="K25" i="7"/>
  <c r="K63" i="7"/>
  <c r="D88" i="7"/>
  <c r="D50" i="7"/>
  <c r="D107" i="7" s="1"/>
  <c r="D32" i="7"/>
  <c r="D70" i="7"/>
  <c r="F12" i="7"/>
  <c r="G11" i="7"/>
  <c r="H10" i="7"/>
  <c r="I9" i="7"/>
  <c r="J8" i="7"/>
  <c r="K7" i="7"/>
  <c r="D14" i="7"/>
  <c r="E13" i="7"/>
  <c r="L6" i="7"/>
  <c r="AI3" i="4" l="1"/>
  <c r="F87" i="7"/>
  <c r="F49" i="7"/>
  <c r="F106" i="7" s="1"/>
  <c r="G86" i="7"/>
  <c r="G48" i="7"/>
  <c r="G105" i="7" s="1"/>
  <c r="H85" i="7"/>
  <c r="H47" i="7"/>
  <c r="H104" i="7" s="1"/>
  <c r="I84" i="7"/>
  <c r="I46" i="7"/>
  <c r="I103" i="7" s="1"/>
  <c r="J83" i="7"/>
  <c r="J45" i="7"/>
  <c r="J102" i="7" s="1"/>
  <c r="E88" i="7"/>
  <c r="E50" i="7"/>
  <c r="E107" i="7" s="1"/>
  <c r="K82" i="7"/>
  <c r="K44" i="7"/>
  <c r="K101" i="7" s="1"/>
  <c r="F31" i="7"/>
  <c r="F69" i="7"/>
  <c r="G30" i="7"/>
  <c r="G68" i="7"/>
  <c r="H29" i="7"/>
  <c r="H67" i="7"/>
  <c r="I28" i="7"/>
  <c r="I66" i="7"/>
  <c r="J27" i="7"/>
  <c r="J65" i="7"/>
  <c r="K26" i="7"/>
  <c r="K64" i="7"/>
  <c r="E32" i="7"/>
  <c r="E70" i="7"/>
  <c r="L25" i="7"/>
  <c r="L63" i="7"/>
  <c r="D89" i="7"/>
  <c r="D51" i="7"/>
  <c r="D108" i="7" s="1"/>
  <c r="D33" i="7"/>
  <c r="D71" i="7"/>
  <c r="F13" i="7"/>
  <c r="G12" i="7"/>
  <c r="I10" i="7"/>
  <c r="H11" i="7"/>
  <c r="J9" i="7"/>
  <c r="K8" i="7"/>
  <c r="L7" i="7"/>
  <c r="D15" i="7"/>
  <c r="E14" i="7"/>
  <c r="M6" i="7"/>
  <c r="AJ3" i="4" l="1"/>
  <c r="F88" i="7"/>
  <c r="F50" i="7"/>
  <c r="F107" i="7" s="1"/>
  <c r="G87" i="7"/>
  <c r="G49" i="7"/>
  <c r="G106" i="7" s="1"/>
  <c r="H86" i="7"/>
  <c r="H48" i="7"/>
  <c r="H105" i="7" s="1"/>
  <c r="I85" i="7"/>
  <c r="I47" i="7"/>
  <c r="I104" i="7" s="1"/>
  <c r="J84" i="7"/>
  <c r="J46" i="7"/>
  <c r="J103" i="7" s="1"/>
  <c r="K83" i="7"/>
  <c r="K45" i="7"/>
  <c r="K102" i="7" s="1"/>
  <c r="E89" i="7"/>
  <c r="E51" i="7"/>
  <c r="E108" i="7" s="1"/>
  <c r="L82" i="7"/>
  <c r="L44" i="7"/>
  <c r="L101" i="7" s="1"/>
  <c r="F32" i="7"/>
  <c r="F70" i="7"/>
  <c r="G31" i="7"/>
  <c r="G69" i="7"/>
  <c r="I29" i="7"/>
  <c r="I67" i="7"/>
  <c r="H30" i="7"/>
  <c r="H68" i="7"/>
  <c r="J28" i="7"/>
  <c r="J66" i="7"/>
  <c r="K27" i="7"/>
  <c r="K65" i="7"/>
  <c r="L26" i="7"/>
  <c r="L64" i="7"/>
  <c r="E33" i="7"/>
  <c r="E71" i="7"/>
  <c r="M25" i="7"/>
  <c r="M63" i="7"/>
  <c r="D90" i="7"/>
  <c r="D52" i="7"/>
  <c r="D109" i="7" s="1"/>
  <c r="D34" i="7"/>
  <c r="D72" i="7"/>
  <c r="F14" i="7"/>
  <c r="G13" i="7"/>
  <c r="I11" i="7"/>
  <c r="H12" i="7"/>
  <c r="J10" i="7"/>
  <c r="K9" i="7"/>
  <c r="L8" i="7"/>
  <c r="M7" i="7"/>
  <c r="D16" i="7"/>
  <c r="E15" i="7"/>
  <c r="N6" i="7"/>
  <c r="AK3" i="4" l="1"/>
  <c r="F89" i="7"/>
  <c r="F51" i="7"/>
  <c r="F108" i="7" s="1"/>
  <c r="G88" i="7"/>
  <c r="G50" i="7"/>
  <c r="G107" i="7" s="1"/>
  <c r="I86" i="7"/>
  <c r="I48" i="7"/>
  <c r="I105" i="7" s="1"/>
  <c r="H87" i="7"/>
  <c r="H49" i="7"/>
  <c r="H106" i="7" s="1"/>
  <c r="J85" i="7"/>
  <c r="J47" i="7"/>
  <c r="J104" i="7" s="1"/>
  <c r="K84" i="7"/>
  <c r="K46" i="7"/>
  <c r="K103" i="7" s="1"/>
  <c r="L83" i="7"/>
  <c r="L45" i="7"/>
  <c r="L102" i="7" s="1"/>
  <c r="E90" i="7"/>
  <c r="E52" i="7"/>
  <c r="E109" i="7" s="1"/>
  <c r="M82" i="7"/>
  <c r="M44" i="7"/>
  <c r="M101" i="7" s="1"/>
  <c r="F33" i="7"/>
  <c r="F71" i="7"/>
  <c r="G32" i="7"/>
  <c r="G70" i="7"/>
  <c r="I30" i="7"/>
  <c r="I68" i="7"/>
  <c r="H31" i="7"/>
  <c r="H69" i="7"/>
  <c r="J29" i="7"/>
  <c r="J67" i="7"/>
  <c r="K28" i="7"/>
  <c r="K66" i="7"/>
  <c r="L27" i="7"/>
  <c r="L65" i="7"/>
  <c r="M26" i="7"/>
  <c r="M64" i="7"/>
  <c r="E34" i="7"/>
  <c r="E72" i="7"/>
  <c r="N25" i="7"/>
  <c r="N63" i="7"/>
  <c r="D91" i="7"/>
  <c r="D53" i="7"/>
  <c r="D110" i="7" s="1"/>
  <c r="D35" i="7"/>
  <c r="D73" i="7"/>
  <c r="F15" i="7"/>
  <c r="G14" i="7"/>
  <c r="I12" i="7"/>
  <c r="H13" i="7"/>
  <c r="K10" i="7"/>
  <c r="J11" i="7"/>
  <c r="L9" i="7"/>
  <c r="M8" i="7"/>
  <c r="N7" i="7"/>
  <c r="D17" i="7"/>
  <c r="E16" i="7"/>
  <c r="O6" i="7"/>
  <c r="AL3" i="4" l="1"/>
  <c r="F90" i="7"/>
  <c r="F52" i="7"/>
  <c r="F109" i="7" s="1"/>
  <c r="G89" i="7"/>
  <c r="G51" i="7"/>
  <c r="G108" i="7" s="1"/>
  <c r="I87" i="7"/>
  <c r="I49" i="7"/>
  <c r="I106" i="7" s="1"/>
  <c r="H88" i="7"/>
  <c r="H50" i="7"/>
  <c r="H107" i="7" s="1"/>
  <c r="J86" i="7"/>
  <c r="J48" i="7"/>
  <c r="J105" i="7" s="1"/>
  <c r="K85" i="7"/>
  <c r="K47" i="7"/>
  <c r="K104" i="7" s="1"/>
  <c r="L84" i="7"/>
  <c r="L46" i="7"/>
  <c r="L103" i="7" s="1"/>
  <c r="M83" i="7"/>
  <c r="M45" i="7"/>
  <c r="M102" i="7" s="1"/>
  <c r="E91" i="7"/>
  <c r="E53" i="7"/>
  <c r="E110" i="7" s="1"/>
  <c r="N82" i="7"/>
  <c r="N44" i="7"/>
  <c r="N101" i="7" s="1"/>
  <c r="F34" i="7"/>
  <c r="F72" i="7"/>
  <c r="G33" i="7"/>
  <c r="G71" i="7"/>
  <c r="I31" i="7"/>
  <c r="I69" i="7"/>
  <c r="H32" i="7"/>
  <c r="H70" i="7"/>
  <c r="K29" i="7"/>
  <c r="K67" i="7"/>
  <c r="J30" i="7"/>
  <c r="J68" i="7"/>
  <c r="L28" i="7"/>
  <c r="L66" i="7"/>
  <c r="M27" i="7"/>
  <c r="M65" i="7"/>
  <c r="N26" i="7"/>
  <c r="N64" i="7"/>
  <c r="E35" i="7"/>
  <c r="E73" i="7"/>
  <c r="O25" i="7"/>
  <c r="O63" i="7"/>
  <c r="D92" i="7"/>
  <c r="D54" i="7"/>
  <c r="D111" i="7" s="1"/>
  <c r="D36" i="7"/>
  <c r="D74" i="7"/>
  <c r="F16" i="7"/>
  <c r="G15" i="7"/>
  <c r="H14" i="7"/>
  <c r="I13" i="7"/>
  <c r="K11" i="7"/>
  <c r="J12" i="7"/>
  <c r="L10" i="7"/>
  <c r="M9" i="7"/>
  <c r="N8" i="7"/>
  <c r="O7" i="7"/>
  <c r="D18" i="7"/>
  <c r="E17" i="7"/>
  <c r="P6" i="7"/>
  <c r="F91" i="7" l="1"/>
  <c r="F53" i="7"/>
  <c r="F110" i="7" s="1"/>
  <c r="G90" i="7"/>
  <c r="G52" i="7"/>
  <c r="G109" i="7" s="1"/>
  <c r="I88" i="7"/>
  <c r="I50" i="7"/>
  <c r="I107" i="7" s="1"/>
  <c r="H89" i="7"/>
  <c r="H51" i="7"/>
  <c r="H108" i="7" s="1"/>
  <c r="K86" i="7"/>
  <c r="K48" i="7"/>
  <c r="K105" i="7" s="1"/>
  <c r="J87" i="7"/>
  <c r="J49" i="7"/>
  <c r="J106" i="7" s="1"/>
  <c r="L85" i="7"/>
  <c r="L47" i="7"/>
  <c r="L104" i="7" s="1"/>
  <c r="M84" i="7"/>
  <c r="M46" i="7"/>
  <c r="M103" i="7" s="1"/>
  <c r="N83" i="7"/>
  <c r="N45" i="7"/>
  <c r="N102" i="7" s="1"/>
  <c r="E92" i="7"/>
  <c r="E54" i="7"/>
  <c r="E111" i="7" s="1"/>
  <c r="O82" i="7"/>
  <c r="O44" i="7"/>
  <c r="O101" i="7" s="1"/>
  <c r="F35" i="7"/>
  <c r="F73" i="7"/>
  <c r="G34" i="7"/>
  <c r="G72" i="7"/>
  <c r="H33" i="7"/>
  <c r="H71" i="7"/>
  <c r="I32" i="7"/>
  <c r="I70" i="7"/>
  <c r="K30" i="7"/>
  <c r="K68" i="7"/>
  <c r="J31" i="7"/>
  <c r="J69" i="7"/>
  <c r="L29" i="7"/>
  <c r="L67" i="7"/>
  <c r="M28" i="7"/>
  <c r="M66" i="7"/>
  <c r="N27" i="7"/>
  <c r="N65" i="7"/>
  <c r="O26" i="7"/>
  <c r="O64" i="7"/>
  <c r="E36" i="7"/>
  <c r="E74" i="7"/>
  <c r="P25" i="7"/>
  <c r="P63" i="7"/>
  <c r="D93" i="7"/>
  <c r="D55" i="7"/>
  <c r="D112" i="7" s="1"/>
  <c r="D37" i="7"/>
  <c r="D75" i="7"/>
  <c r="F17" i="7"/>
  <c r="G16" i="7"/>
  <c r="H15" i="7"/>
  <c r="I14" i="7"/>
  <c r="K12" i="7"/>
  <c r="J13" i="7"/>
  <c r="L11" i="7"/>
  <c r="M10" i="7"/>
  <c r="N9" i="7"/>
  <c r="O8" i="7"/>
  <c r="P7" i="7"/>
  <c r="D19" i="7"/>
  <c r="E18" i="7"/>
  <c r="Q6" i="7"/>
  <c r="F92" i="7" l="1"/>
  <c r="F54" i="7"/>
  <c r="F111" i="7" s="1"/>
  <c r="G91" i="7"/>
  <c r="G53" i="7"/>
  <c r="G110" i="7" s="1"/>
  <c r="H90" i="7"/>
  <c r="H52" i="7"/>
  <c r="H109" i="7" s="1"/>
  <c r="I89" i="7"/>
  <c r="I51" i="7"/>
  <c r="I108" i="7" s="1"/>
  <c r="K87" i="7"/>
  <c r="K49" i="7"/>
  <c r="K106" i="7" s="1"/>
  <c r="J88" i="7"/>
  <c r="J50" i="7"/>
  <c r="J107" i="7" s="1"/>
  <c r="L86" i="7"/>
  <c r="L48" i="7"/>
  <c r="L105" i="7" s="1"/>
  <c r="M85" i="7"/>
  <c r="M47" i="7"/>
  <c r="M104" i="7" s="1"/>
  <c r="N84" i="7"/>
  <c r="N46" i="7"/>
  <c r="N103" i="7" s="1"/>
  <c r="O83" i="7"/>
  <c r="O45" i="7"/>
  <c r="O102" i="7" s="1"/>
  <c r="E93" i="7"/>
  <c r="E55" i="7"/>
  <c r="E112" i="7" s="1"/>
  <c r="P82" i="7"/>
  <c r="P44" i="7"/>
  <c r="P101" i="7" s="1"/>
  <c r="F36" i="7"/>
  <c r="F74" i="7"/>
  <c r="G35" i="7"/>
  <c r="G73" i="7"/>
  <c r="H34" i="7"/>
  <c r="H72" i="7"/>
  <c r="I33" i="7"/>
  <c r="I71" i="7"/>
  <c r="K31" i="7"/>
  <c r="K69" i="7"/>
  <c r="J32" i="7"/>
  <c r="J70" i="7"/>
  <c r="L30" i="7"/>
  <c r="L68" i="7"/>
  <c r="M29" i="7"/>
  <c r="M67" i="7"/>
  <c r="N28" i="7"/>
  <c r="N66" i="7"/>
  <c r="O27" i="7"/>
  <c r="O65" i="7"/>
  <c r="P26" i="7"/>
  <c r="P64" i="7"/>
  <c r="E37" i="7"/>
  <c r="E75" i="7"/>
  <c r="Q25" i="7"/>
  <c r="Q63" i="7"/>
  <c r="D94" i="7"/>
  <c r="D56" i="7"/>
  <c r="D113" i="7" s="1"/>
  <c r="D38" i="7"/>
  <c r="D76" i="7"/>
  <c r="F18" i="7"/>
  <c r="G17" i="7"/>
  <c r="H16" i="7"/>
  <c r="I15" i="7"/>
  <c r="K13" i="7"/>
  <c r="J14" i="7"/>
  <c r="L12" i="7"/>
  <c r="M11" i="7"/>
  <c r="N10" i="7"/>
  <c r="O9" i="7"/>
  <c r="P8" i="7"/>
  <c r="Q7" i="7"/>
  <c r="D20" i="7"/>
  <c r="E19" i="7"/>
  <c r="R6" i="7"/>
  <c r="F93" i="7" l="1"/>
  <c r="F55" i="7"/>
  <c r="F112" i="7" s="1"/>
  <c r="G92" i="7"/>
  <c r="G54" i="7"/>
  <c r="G111" i="7" s="1"/>
  <c r="H91" i="7"/>
  <c r="H53" i="7"/>
  <c r="H110" i="7" s="1"/>
  <c r="I90" i="7"/>
  <c r="I52" i="7"/>
  <c r="I109" i="7" s="1"/>
  <c r="K88" i="7"/>
  <c r="K50" i="7"/>
  <c r="K107" i="7" s="1"/>
  <c r="J89" i="7"/>
  <c r="J51" i="7"/>
  <c r="J108" i="7" s="1"/>
  <c r="L87" i="7"/>
  <c r="L49" i="7"/>
  <c r="L106" i="7" s="1"/>
  <c r="M86" i="7"/>
  <c r="M48" i="7"/>
  <c r="M105" i="7" s="1"/>
  <c r="N85" i="7"/>
  <c r="N47" i="7"/>
  <c r="N104" i="7" s="1"/>
  <c r="O84" i="7"/>
  <c r="O46" i="7"/>
  <c r="O103" i="7" s="1"/>
  <c r="P83" i="7"/>
  <c r="P45" i="7"/>
  <c r="P102" i="7" s="1"/>
  <c r="E94" i="7"/>
  <c r="E56" i="7"/>
  <c r="E113" i="7" s="1"/>
  <c r="Q82" i="7"/>
  <c r="Q44" i="7"/>
  <c r="Q101" i="7" s="1"/>
  <c r="F37" i="7"/>
  <c r="F75" i="7"/>
  <c r="G36" i="7"/>
  <c r="G74" i="7"/>
  <c r="H35" i="7"/>
  <c r="H73" i="7"/>
  <c r="I34" i="7"/>
  <c r="I72" i="7"/>
  <c r="K32" i="7"/>
  <c r="K70" i="7"/>
  <c r="J33" i="7"/>
  <c r="J71" i="7"/>
  <c r="L31" i="7"/>
  <c r="L69" i="7"/>
  <c r="M30" i="7"/>
  <c r="M68" i="7"/>
  <c r="N29" i="7"/>
  <c r="N67" i="7"/>
  <c r="O28" i="7"/>
  <c r="O66" i="7"/>
  <c r="P27" i="7"/>
  <c r="P65" i="7"/>
  <c r="Q26" i="7"/>
  <c r="Q64" i="7"/>
  <c r="E38" i="7"/>
  <c r="E76" i="7"/>
  <c r="R25" i="7"/>
  <c r="R63" i="7"/>
  <c r="D95" i="7"/>
  <c r="D57" i="7"/>
  <c r="D114" i="7" s="1"/>
  <c r="D39" i="7"/>
  <c r="D77" i="7"/>
  <c r="F19" i="7"/>
  <c r="G18" i="7"/>
  <c r="K14" i="7"/>
  <c r="H17" i="7"/>
  <c r="I16" i="7"/>
  <c r="J15" i="7"/>
  <c r="L13" i="7"/>
  <c r="M12" i="7"/>
  <c r="N11" i="7"/>
  <c r="O10" i="7"/>
  <c r="P9" i="7"/>
  <c r="Q8" i="7"/>
  <c r="R7" i="7"/>
  <c r="D21" i="7"/>
  <c r="E20" i="7"/>
  <c r="S6" i="7"/>
  <c r="F94" i="7" l="1"/>
  <c r="F56" i="7"/>
  <c r="F113" i="7" s="1"/>
  <c r="G93" i="7"/>
  <c r="G55" i="7"/>
  <c r="G112" i="7" s="1"/>
  <c r="H92" i="7"/>
  <c r="H54" i="7"/>
  <c r="H111" i="7" s="1"/>
  <c r="I91" i="7"/>
  <c r="I53" i="7"/>
  <c r="I110" i="7" s="1"/>
  <c r="K89" i="7"/>
  <c r="K51" i="7"/>
  <c r="K108" i="7" s="1"/>
  <c r="J90" i="7"/>
  <c r="J52" i="7"/>
  <c r="J109" i="7" s="1"/>
  <c r="L88" i="7"/>
  <c r="L50" i="7"/>
  <c r="L107" i="7" s="1"/>
  <c r="M87" i="7"/>
  <c r="M49" i="7"/>
  <c r="M106" i="7" s="1"/>
  <c r="N86" i="7"/>
  <c r="N48" i="7"/>
  <c r="N105" i="7" s="1"/>
  <c r="O85" i="7"/>
  <c r="O47" i="7"/>
  <c r="O104" i="7" s="1"/>
  <c r="P84" i="7"/>
  <c r="P46" i="7"/>
  <c r="P103" i="7" s="1"/>
  <c r="Q83" i="7"/>
  <c r="Q45" i="7"/>
  <c r="Q102" i="7" s="1"/>
  <c r="E95" i="7"/>
  <c r="E57" i="7"/>
  <c r="E114" i="7" s="1"/>
  <c r="R82" i="7"/>
  <c r="R44" i="7"/>
  <c r="R101" i="7" s="1"/>
  <c r="F38" i="7"/>
  <c r="F76" i="7"/>
  <c r="G37" i="7"/>
  <c r="G75" i="7"/>
  <c r="K33" i="7"/>
  <c r="K71" i="7"/>
  <c r="H36" i="7"/>
  <c r="H74" i="7"/>
  <c r="I35" i="7"/>
  <c r="I73" i="7"/>
  <c r="J34" i="7"/>
  <c r="J72" i="7"/>
  <c r="L32" i="7"/>
  <c r="L70" i="7"/>
  <c r="M31" i="7"/>
  <c r="M69" i="7"/>
  <c r="N30" i="7"/>
  <c r="N68" i="7"/>
  <c r="O29" i="7"/>
  <c r="O67" i="7"/>
  <c r="P28" i="7"/>
  <c r="P66" i="7"/>
  <c r="Q27" i="7"/>
  <c r="Q65" i="7"/>
  <c r="R26" i="7"/>
  <c r="R64" i="7"/>
  <c r="E39" i="7"/>
  <c r="E77" i="7"/>
  <c r="S25" i="7"/>
  <c r="S63" i="7"/>
  <c r="D96" i="7"/>
  <c r="D58" i="7"/>
  <c r="D115" i="7" s="1"/>
  <c r="D40" i="7"/>
  <c r="D78" i="7"/>
  <c r="F20" i="7"/>
  <c r="F77" i="7" s="1"/>
  <c r="G19" i="7"/>
  <c r="K15" i="7"/>
  <c r="H18" i="7"/>
  <c r="J16" i="7"/>
  <c r="I17" i="7"/>
  <c r="L14" i="7"/>
  <c r="M13" i="7"/>
  <c r="N12" i="7"/>
  <c r="O11" i="7"/>
  <c r="P10" i="7"/>
  <c r="Q9" i="7"/>
  <c r="R8" i="7"/>
  <c r="S7" i="7"/>
  <c r="D22" i="7"/>
  <c r="E21" i="7"/>
  <c r="T6" i="7"/>
  <c r="F95" i="7" l="1"/>
  <c r="F57" i="7"/>
  <c r="F114" i="7" s="1"/>
  <c r="G94" i="7"/>
  <c r="G56" i="7"/>
  <c r="G113" i="7" s="1"/>
  <c r="K90" i="7"/>
  <c r="K52" i="7"/>
  <c r="K109" i="7" s="1"/>
  <c r="H93" i="7"/>
  <c r="H55" i="7"/>
  <c r="H112" i="7" s="1"/>
  <c r="I92" i="7"/>
  <c r="I54" i="7"/>
  <c r="I111" i="7" s="1"/>
  <c r="J91" i="7"/>
  <c r="J53" i="7"/>
  <c r="J110" i="7" s="1"/>
  <c r="L89" i="7"/>
  <c r="L51" i="7"/>
  <c r="L108" i="7" s="1"/>
  <c r="M88" i="7"/>
  <c r="M50" i="7"/>
  <c r="M107" i="7" s="1"/>
  <c r="N87" i="7"/>
  <c r="N49" i="7"/>
  <c r="N106" i="7" s="1"/>
  <c r="O86" i="7"/>
  <c r="O48" i="7"/>
  <c r="O105" i="7" s="1"/>
  <c r="P85" i="7"/>
  <c r="P47" i="7"/>
  <c r="P104" i="7" s="1"/>
  <c r="Q84" i="7"/>
  <c r="Q46" i="7"/>
  <c r="Q103" i="7" s="1"/>
  <c r="R83" i="7"/>
  <c r="R45" i="7"/>
  <c r="R102" i="7" s="1"/>
  <c r="E96" i="7"/>
  <c r="E58" i="7"/>
  <c r="E115" i="7" s="1"/>
  <c r="S82" i="7"/>
  <c r="S44" i="7"/>
  <c r="S101" i="7" s="1"/>
  <c r="G38" i="7"/>
  <c r="G76" i="7"/>
  <c r="K34" i="7"/>
  <c r="K72" i="7"/>
  <c r="H37" i="7"/>
  <c r="H75" i="7"/>
  <c r="J35" i="7"/>
  <c r="J73" i="7"/>
  <c r="I36" i="7"/>
  <c r="I74" i="7"/>
  <c r="L33" i="7"/>
  <c r="L71" i="7"/>
  <c r="M32" i="7"/>
  <c r="M70" i="7"/>
  <c r="N31" i="7"/>
  <c r="N69" i="7"/>
  <c r="O30" i="7"/>
  <c r="O68" i="7"/>
  <c r="P29" i="7"/>
  <c r="P67" i="7"/>
  <c r="Q28" i="7"/>
  <c r="Q66" i="7"/>
  <c r="R27" i="7"/>
  <c r="R65" i="7"/>
  <c r="S26" i="7"/>
  <c r="S64" i="7"/>
  <c r="E40" i="7"/>
  <c r="E78" i="7"/>
  <c r="T25" i="7"/>
  <c r="T63" i="7"/>
  <c r="D97" i="7"/>
  <c r="D59" i="7"/>
  <c r="D116" i="7" s="1"/>
  <c r="D41" i="7"/>
  <c r="D79" i="7"/>
  <c r="F21" i="7"/>
  <c r="F78" i="7" s="1"/>
  <c r="F39" i="7"/>
  <c r="G20" i="7"/>
  <c r="K16" i="7"/>
  <c r="H19" i="7"/>
  <c r="J17" i="7"/>
  <c r="I18" i="7"/>
  <c r="L15" i="7"/>
  <c r="N13" i="7"/>
  <c r="O12" i="7"/>
  <c r="P11" i="7"/>
  <c r="Q10" i="7"/>
  <c r="S8" i="7"/>
  <c r="M14" i="7"/>
  <c r="R9" i="7"/>
  <c r="T7" i="7"/>
  <c r="D23" i="7"/>
  <c r="E22" i="7"/>
  <c r="U6" i="7"/>
  <c r="G95" i="7" l="1"/>
  <c r="G57" i="7"/>
  <c r="G114" i="7" s="1"/>
  <c r="K91" i="7"/>
  <c r="K53" i="7"/>
  <c r="K110" i="7" s="1"/>
  <c r="H94" i="7"/>
  <c r="H56" i="7"/>
  <c r="H113" i="7" s="1"/>
  <c r="J92" i="7"/>
  <c r="J54" i="7"/>
  <c r="J111" i="7" s="1"/>
  <c r="I93" i="7"/>
  <c r="I55" i="7"/>
  <c r="I112" i="7" s="1"/>
  <c r="L90" i="7"/>
  <c r="L52" i="7"/>
  <c r="L109" i="7" s="1"/>
  <c r="M89" i="7"/>
  <c r="M51" i="7"/>
  <c r="M108" i="7" s="1"/>
  <c r="N88" i="7"/>
  <c r="N50" i="7"/>
  <c r="N107" i="7" s="1"/>
  <c r="O87" i="7"/>
  <c r="O49" i="7"/>
  <c r="O106" i="7" s="1"/>
  <c r="P86" i="7"/>
  <c r="P48" i="7"/>
  <c r="P105" i="7" s="1"/>
  <c r="Q85" i="7"/>
  <c r="Q47" i="7"/>
  <c r="Q104" i="7" s="1"/>
  <c r="R84" i="7"/>
  <c r="R46" i="7"/>
  <c r="R103" i="7" s="1"/>
  <c r="S83" i="7"/>
  <c r="S45" i="7"/>
  <c r="S102" i="7" s="1"/>
  <c r="E97" i="7"/>
  <c r="E59" i="7"/>
  <c r="E116" i="7" s="1"/>
  <c r="T82" i="7"/>
  <c r="T44" i="7"/>
  <c r="T101" i="7" s="1"/>
  <c r="F58" i="7"/>
  <c r="F115" i="7" s="1"/>
  <c r="F96" i="7"/>
  <c r="G39" i="7"/>
  <c r="G77" i="7"/>
  <c r="K35" i="7"/>
  <c r="K73" i="7"/>
  <c r="H38" i="7"/>
  <c r="H76" i="7"/>
  <c r="J36" i="7"/>
  <c r="J74" i="7"/>
  <c r="I37" i="7"/>
  <c r="I75" i="7"/>
  <c r="L34" i="7"/>
  <c r="L72" i="7"/>
  <c r="N32" i="7"/>
  <c r="N70" i="7"/>
  <c r="O31" i="7"/>
  <c r="O69" i="7"/>
  <c r="P30" i="7"/>
  <c r="P68" i="7"/>
  <c r="Q29" i="7"/>
  <c r="Q67" i="7"/>
  <c r="S27" i="7"/>
  <c r="S65" i="7"/>
  <c r="M33" i="7"/>
  <c r="M71" i="7"/>
  <c r="R28" i="7"/>
  <c r="R66" i="7"/>
  <c r="T26" i="7"/>
  <c r="T64" i="7"/>
  <c r="E41" i="7"/>
  <c r="E79" i="7"/>
  <c r="U25" i="7"/>
  <c r="U63" i="7"/>
  <c r="D98" i="7"/>
  <c r="D60" i="7"/>
  <c r="D117" i="7" s="1"/>
  <c r="D42" i="7"/>
  <c r="D80" i="7"/>
  <c r="F40" i="7"/>
  <c r="F22" i="7"/>
  <c r="F79" i="7" s="1"/>
  <c r="G21" i="7"/>
  <c r="K17" i="7"/>
  <c r="H20" i="7"/>
  <c r="J18" i="7"/>
  <c r="I19" i="7"/>
  <c r="L16" i="7"/>
  <c r="N14" i="7"/>
  <c r="O13" i="7"/>
  <c r="P12" i="7"/>
  <c r="Q11" i="7"/>
  <c r="S9" i="7"/>
  <c r="R10" i="7"/>
  <c r="T8" i="7"/>
  <c r="M15" i="7"/>
  <c r="U7" i="7"/>
  <c r="D24" i="7"/>
  <c r="E23" i="7"/>
  <c r="V6" i="7"/>
  <c r="G96" i="7" l="1"/>
  <c r="G58" i="7"/>
  <c r="G115" i="7" s="1"/>
  <c r="K92" i="7"/>
  <c r="K54" i="7"/>
  <c r="K111" i="7" s="1"/>
  <c r="H95" i="7"/>
  <c r="H57" i="7"/>
  <c r="H114" i="7" s="1"/>
  <c r="J93" i="7"/>
  <c r="J55" i="7"/>
  <c r="J112" i="7" s="1"/>
  <c r="I94" i="7"/>
  <c r="I56" i="7"/>
  <c r="I113" i="7" s="1"/>
  <c r="L91" i="7"/>
  <c r="L53" i="7"/>
  <c r="L110" i="7" s="1"/>
  <c r="N89" i="7"/>
  <c r="N51" i="7"/>
  <c r="N108" i="7" s="1"/>
  <c r="O88" i="7"/>
  <c r="O50" i="7"/>
  <c r="O107" i="7" s="1"/>
  <c r="P87" i="7"/>
  <c r="P49" i="7"/>
  <c r="P106" i="7" s="1"/>
  <c r="Q86" i="7"/>
  <c r="Q48" i="7"/>
  <c r="Q105" i="7" s="1"/>
  <c r="S84" i="7"/>
  <c r="S46" i="7"/>
  <c r="S103" i="7" s="1"/>
  <c r="M90" i="7"/>
  <c r="M52" i="7"/>
  <c r="M109" i="7" s="1"/>
  <c r="R85" i="7"/>
  <c r="R47" i="7"/>
  <c r="R104" i="7" s="1"/>
  <c r="T83" i="7"/>
  <c r="T45" i="7"/>
  <c r="T102" i="7" s="1"/>
  <c r="E98" i="7"/>
  <c r="E60" i="7"/>
  <c r="E117" i="7" s="1"/>
  <c r="U82" i="7"/>
  <c r="U44" i="7"/>
  <c r="U101" i="7" s="1"/>
  <c r="F59" i="7"/>
  <c r="F116" i="7" s="1"/>
  <c r="F97" i="7"/>
  <c r="G40" i="7"/>
  <c r="G78" i="7"/>
  <c r="K36" i="7"/>
  <c r="K74" i="7"/>
  <c r="H39" i="7"/>
  <c r="H77" i="7"/>
  <c r="J37" i="7"/>
  <c r="J75" i="7"/>
  <c r="I38" i="7"/>
  <c r="I76" i="7"/>
  <c r="L35" i="7"/>
  <c r="L73" i="7"/>
  <c r="N33" i="7"/>
  <c r="N71" i="7"/>
  <c r="O32" i="7"/>
  <c r="O70" i="7"/>
  <c r="P31" i="7"/>
  <c r="P69" i="7"/>
  <c r="Q30" i="7"/>
  <c r="Q68" i="7"/>
  <c r="S28" i="7"/>
  <c r="S66" i="7"/>
  <c r="R29" i="7"/>
  <c r="R67" i="7"/>
  <c r="T27" i="7"/>
  <c r="T65" i="7"/>
  <c r="M34" i="7"/>
  <c r="M72" i="7"/>
  <c r="U26" i="7"/>
  <c r="U64" i="7"/>
  <c r="E42" i="7"/>
  <c r="E80" i="7"/>
  <c r="V25" i="7"/>
  <c r="V63" i="7"/>
  <c r="D99" i="7"/>
  <c r="D61" i="7"/>
  <c r="D118" i="7" s="1"/>
  <c r="D43" i="7"/>
  <c r="D81" i="7"/>
  <c r="F41" i="7"/>
  <c r="F23" i="7"/>
  <c r="F80" i="7" s="1"/>
  <c r="G22" i="7"/>
  <c r="K18" i="7"/>
  <c r="H21" i="7"/>
  <c r="J19" i="7"/>
  <c r="I20" i="7"/>
  <c r="R11" i="7"/>
  <c r="T9" i="7"/>
  <c r="M16" i="7"/>
  <c r="L17" i="7"/>
  <c r="P13" i="7"/>
  <c r="Q12" i="7"/>
  <c r="S10" i="7"/>
  <c r="N15" i="7"/>
  <c r="O14" i="7"/>
  <c r="U8" i="7"/>
  <c r="V7" i="7"/>
  <c r="E24" i="7"/>
  <c r="W6" i="7"/>
  <c r="G97" i="7" l="1"/>
  <c r="G59" i="7"/>
  <c r="G116" i="7" s="1"/>
  <c r="K93" i="7"/>
  <c r="K55" i="7"/>
  <c r="K112" i="7" s="1"/>
  <c r="H96" i="7"/>
  <c r="H58" i="7"/>
  <c r="H115" i="7" s="1"/>
  <c r="J94" i="7"/>
  <c r="J56" i="7"/>
  <c r="J113" i="7" s="1"/>
  <c r="I95" i="7"/>
  <c r="I57" i="7"/>
  <c r="I114" i="7" s="1"/>
  <c r="L92" i="7"/>
  <c r="L54" i="7"/>
  <c r="L111" i="7" s="1"/>
  <c r="N90" i="7"/>
  <c r="N52" i="7"/>
  <c r="N109" i="7" s="1"/>
  <c r="O89" i="7"/>
  <c r="O51" i="7"/>
  <c r="O108" i="7" s="1"/>
  <c r="P88" i="7"/>
  <c r="P50" i="7"/>
  <c r="P107" i="7" s="1"/>
  <c r="Q87" i="7"/>
  <c r="Q49" i="7"/>
  <c r="Q106" i="7" s="1"/>
  <c r="S85" i="7"/>
  <c r="S47" i="7"/>
  <c r="S104" i="7" s="1"/>
  <c r="R86" i="7"/>
  <c r="R48" i="7"/>
  <c r="R105" i="7" s="1"/>
  <c r="T84" i="7"/>
  <c r="T46" i="7"/>
  <c r="T103" i="7" s="1"/>
  <c r="M91" i="7"/>
  <c r="M53" i="7"/>
  <c r="M110" i="7" s="1"/>
  <c r="U83" i="7"/>
  <c r="U45" i="7"/>
  <c r="U102" i="7" s="1"/>
  <c r="E99" i="7"/>
  <c r="E61" i="7"/>
  <c r="E118" i="7" s="1"/>
  <c r="V82" i="7"/>
  <c r="V44" i="7"/>
  <c r="V101" i="7" s="1"/>
  <c r="F60" i="7"/>
  <c r="F117" i="7" s="1"/>
  <c r="F98" i="7"/>
  <c r="G41" i="7"/>
  <c r="G79" i="7"/>
  <c r="K37" i="7"/>
  <c r="K75" i="7"/>
  <c r="H40" i="7"/>
  <c r="H78" i="7"/>
  <c r="J38" i="7"/>
  <c r="J76" i="7"/>
  <c r="I39" i="7"/>
  <c r="I77" i="7"/>
  <c r="R30" i="7"/>
  <c r="R68" i="7"/>
  <c r="T28" i="7"/>
  <c r="T66" i="7"/>
  <c r="M35" i="7"/>
  <c r="M73" i="7"/>
  <c r="L36" i="7"/>
  <c r="L74" i="7"/>
  <c r="P32" i="7"/>
  <c r="P70" i="7"/>
  <c r="Q31" i="7"/>
  <c r="Q69" i="7"/>
  <c r="S29" i="7"/>
  <c r="S67" i="7"/>
  <c r="N34" i="7"/>
  <c r="N72" i="7"/>
  <c r="O33" i="7"/>
  <c r="O71" i="7"/>
  <c r="U27" i="7"/>
  <c r="U65" i="7"/>
  <c r="V26" i="7"/>
  <c r="V64" i="7"/>
  <c r="E43" i="7"/>
  <c r="E81" i="7"/>
  <c r="W25" i="7"/>
  <c r="W63" i="7"/>
  <c r="D100" i="7"/>
  <c r="D62" i="7"/>
  <c r="D119" i="7" s="1"/>
  <c r="F42" i="7"/>
  <c r="F24" i="7"/>
  <c r="G23" i="7"/>
  <c r="K19" i="7"/>
  <c r="H22" i="7"/>
  <c r="J20" i="7"/>
  <c r="I21" i="7"/>
  <c r="I78" i="7" s="1"/>
  <c r="S11" i="7"/>
  <c r="M17" i="7"/>
  <c r="R12" i="7"/>
  <c r="T10" i="7"/>
  <c r="L18" i="7"/>
  <c r="P14" i="7"/>
  <c r="Q13" i="7"/>
  <c r="O15" i="7"/>
  <c r="U9" i="7"/>
  <c r="N16" i="7"/>
  <c r="V8" i="7"/>
  <c r="W7" i="7"/>
  <c r="X6" i="7"/>
  <c r="G98" i="7" l="1"/>
  <c r="G60" i="7"/>
  <c r="G117" i="7" s="1"/>
  <c r="K94" i="7"/>
  <c r="K56" i="7"/>
  <c r="K113" i="7" s="1"/>
  <c r="H97" i="7"/>
  <c r="H59" i="7"/>
  <c r="H116" i="7" s="1"/>
  <c r="J95" i="7"/>
  <c r="J57" i="7"/>
  <c r="J114" i="7" s="1"/>
  <c r="I96" i="7"/>
  <c r="I58" i="7"/>
  <c r="I115" i="7" s="1"/>
  <c r="R87" i="7"/>
  <c r="R49" i="7"/>
  <c r="R106" i="7" s="1"/>
  <c r="T85" i="7"/>
  <c r="T47" i="7"/>
  <c r="T104" i="7" s="1"/>
  <c r="M92" i="7"/>
  <c r="M54" i="7"/>
  <c r="M111" i="7" s="1"/>
  <c r="L93" i="7"/>
  <c r="L55" i="7"/>
  <c r="L112" i="7" s="1"/>
  <c r="P89" i="7"/>
  <c r="P51" i="7"/>
  <c r="P108" i="7" s="1"/>
  <c r="Q88" i="7"/>
  <c r="Q50" i="7"/>
  <c r="Q107" i="7" s="1"/>
  <c r="S86" i="7"/>
  <c r="S48" i="7"/>
  <c r="S105" i="7" s="1"/>
  <c r="N91" i="7"/>
  <c r="N53" i="7"/>
  <c r="N110" i="7" s="1"/>
  <c r="O90" i="7"/>
  <c r="O52" i="7"/>
  <c r="O109" i="7" s="1"/>
  <c r="U84" i="7"/>
  <c r="U46" i="7"/>
  <c r="U103" i="7" s="1"/>
  <c r="V83" i="7"/>
  <c r="V45" i="7"/>
  <c r="V102" i="7" s="1"/>
  <c r="E100" i="7"/>
  <c r="E62" i="7"/>
  <c r="E119" i="7" s="1"/>
  <c r="W82" i="7"/>
  <c r="W44" i="7"/>
  <c r="W101" i="7" s="1"/>
  <c r="F61" i="7"/>
  <c r="F118" i="7" s="1"/>
  <c r="F99" i="7"/>
  <c r="F43" i="7"/>
  <c r="F81" i="7"/>
  <c r="G42" i="7"/>
  <c r="G80" i="7"/>
  <c r="K38" i="7"/>
  <c r="K76" i="7"/>
  <c r="H41" i="7"/>
  <c r="H79" i="7"/>
  <c r="J39" i="7"/>
  <c r="J77" i="7"/>
  <c r="S30" i="7"/>
  <c r="S68" i="7"/>
  <c r="M36" i="7"/>
  <c r="M74" i="7"/>
  <c r="R31" i="7"/>
  <c r="R69" i="7"/>
  <c r="T29" i="7"/>
  <c r="T67" i="7"/>
  <c r="L37" i="7"/>
  <c r="L75" i="7"/>
  <c r="P33" i="7"/>
  <c r="P71" i="7"/>
  <c r="Q32" i="7"/>
  <c r="Q70" i="7"/>
  <c r="O34" i="7"/>
  <c r="O72" i="7"/>
  <c r="U28" i="7"/>
  <c r="U66" i="7"/>
  <c r="N35" i="7"/>
  <c r="N73" i="7"/>
  <c r="V27" i="7"/>
  <c r="V65" i="7"/>
  <c r="W26" i="7"/>
  <c r="W64" i="7"/>
  <c r="X25" i="7"/>
  <c r="X63" i="7"/>
  <c r="I22" i="7"/>
  <c r="I79" i="7" s="1"/>
  <c r="I40" i="7"/>
  <c r="G24" i="7"/>
  <c r="H23" i="7"/>
  <c r="H80" i="7" s="1"/>
  <c r="J21" i="7"/>
  <c r="K20" i="7"/>
  <c r="S12" i="7"/>
  <c r="M18" i="7"/>
  <c r="R13" i="7"/>
  <c r="T11" i="7"/>
  <c r="L19" i="7"/>
  <c r="P15" i="7"/>
  <c r="Q14" i="7"/>
  <c r="O16" i="7"/>
  <c r="U10" i="7"/>
  <c r="N17" i="7"/>
  <c r="V9" i="7"/>
  <c r="W8" i="7"/>
  <c r="X7" i="7"/>
  <c r="Y6" i="7"/>
  <c r="F100" i="7" l="1"/>
  <c r="F62" i="7"/>
  <c r="F119" i="7" s="1"/>
  <c r="G99" i="7"/>
  <c r="G61" i="7"/>
  <c r="G118" i="7" s="1"/>
  <c r="K95" i="7"/>
  <c r="K57" i="7"/>
  <c r="K114" i="7" s="1"/>
  <c r="H98" i="7"/>
  <c r="H60" i="7"/>
  <c r="H117" i="7" s="1"/>
  <c r="J96" i="7"/>
  <c r="J58" i="7"/>
  <c r="J115" i="7" s="1"/>
  <c r="S87" i="7"/>
  <c r="S49" i="7"/>
  <c r="S106" i="7" s="1"/>
  <c r="M93" i="7"/>
  <c r="M55" i="7"/>
  <c r="M112" i="7" s="1"/>
  <c r="R88" i="7"/>
  <c r="R50" i="7"/>
  <c r="R107" i="7" s="1"/>
  <c r="T86" i="7"/>
  <c r="T48" i="7"/>
  <c r="T105" i="7" s="1"/>
  <c r="L94" i="7"/>
  <c r="L56" i="7"/>
  <c r="L113" i="7" s="1"/>
  <c r="P90" i="7"/>
  <c r="P52" i="7"/>
  <c r="P109" i="7" s="1"/>
  <c r="Q89" i="7"/>
  <c r="Q51" i="7"/>
  <c r="Q108" i="7" s="1"/>
  <c r="O91" i="7"/>
  <c r="O53" i="7"/>
  <c r="O110" i="7" s="1"/>
  <c r="U85" i="7"/>
  <c r="U47" i="7"/>
  <c r="U104" i="7" s="1"/>
  <c r="N92" i="7"/>
  <c r="N54" i="7"/>
  <c r="N111" i="7" s="1"/>
  <c r="V84" i="7"/>
  <c r="V46" i="7"/>
  <c r="V103" i="7" s="1"/>
  <c r="W83" i="7"/>
  <c r="W45" i="7"/>
  <c r="W102" i="7" s="1"/>
  <c r="X82" i="7"/>
  <c r="X44" i="7"/>
  <c r="X101" i="7" s="1"/>
  <c r="I59" i="7"/>
  <c r="I116" i="7" s="1"/>
  <c r="I97" i="7"/>
  <c r="G43" i="7"/>
  <c r="G81" i="7"/>
  <c r="J40" i="7"/>
  <c r="J78" i="7"/>
  <c r="K39" i="7"/>
  <c r="K77" i="7"/>
  <c r="S31" i="7"/>
  <c r="S69" i="7"/>
  <c r="M37" i="7"/>
  <c r="M75" i="7"/>
  <c r="R32" i="7"/>
  <c r="R70" i="7"/>
  <c r="T30" i="7"/>
  <c r="T68" i="7"/>
  <c r="L38" i="7"/>
  <c r="L76" i="7"/>
  <c r="P34" i="7"/>
  <c r="P72" i="7"/>
  <c r="Q33" i="7"/>
  <c r="Q71" i="7"/>
  <c r="O35" i="7"/>
  <c r="O73" i="7"/>
  <c r="U29" i="7"/>
  <c r="U67" i="7"/>
  <c r="N36" i="7"/>
  <c r="N74" i="7"/>
  <c r="V28" i="7"/>
  <c r="V66" i="7"/>
  <c r="W27" i="7"/>
  <c r="W65" i="7"/>
  <c r="X26" i="7"/>
  <c r="X64" i="7"/>
  <c r="Y25" i="7"/>
  <c r="Y63" i="7"/>
  <c r="I41" i="7"/>
  <c r="I23" i="7"/>
  <c r="I80" i="7" s="1"/>
  <c r="H24" i="7"/>
  <c r="H42" i="7"/>
  <c r="J22" i="7"/>
  <c r="K21" i="7"/>
  <c r="S13" i="7"/>
  <c r="M19" i="7"/>
  <c r="L20" i="7"/>
  <c r="R14" i="7"/>
  <c r="T12" i="7"/>
  <c r="Q15" i="7"/>
  <c r="O17" i="7"/>
  <c r="U11" i="7"/>
  <c r="P16" i="7"/>
  <c r="N18" i="7"/>
  <c r="V10" i="7"/>
  <c r="W9" i="7"/>
  <c r="X8" i="7"/>
  <c r="Y7" i="7"/>
  <c r="Z6" i="7"/>
  <c r="G100" i="7" l="1"/>
  <c r="G62" i="7"/>
  <c r="G119" i="7" s="1"/>
  <c r="J97" i="7"/>
  <c r="J59" i="7"/>
  <c r="J116" i="7" s="1"/>
  <c r="K96" i="7"/>
  <c r="K58" i="7"/>
  <c r="K115" i="7" s="1"/>
  <c r="S88" i="7"/>
  <c r="S50" i="7"/>
  <c r="S107" i="7" s="1"/>
  <c r="M94" i="7"/>
  <c r="M56" i="7"/>
  <c r="M113" i="7" s="1"/>
  <c r="R89" i="7"/>
  <c r="R51" i="7"/>
  <c r="R108" i="7" s="1"/>
  <c r="T87" i="7"/>
  <c r="T49" i="7"/>
  <c r="T106" i="7" s="1"/>
  <c r="L95" i="7"/>
  <c r="L57" i="7"/>
  <c r="L114" i="7" s="1"/>
  <c r="P91" i="7"/>
  <c r="P53" i="7"/>
  <c r="P110" i="7" s="1"/>
  <c r="Q90" i="7"/>
  <c r="Q52" i="7"/>
  <c r="Q109" i="7" s="1"/>
  <c r="O92" i="7"/>
  <c r="O54" i="7"/>
  <c r="O111" i="7" s="1"/>
  <c r="U86" i="7"/>
  <c r="U48" i="7"/>
  <c r="U105" i="7" s="1"/>
  <c r="N93" i="7"/>
  <c r="N55" i="7"/>
  <c r="N112" i="7" s="1"/>
  <c r="V85" i="7"/>
  <c r="V47" i="7"/>
  <c r="V104" i="7" s="1"/>
  <c r="W84" i="7"/>
  <c r="W46" i="7"/>
  <c r="W103" i="7" s="1"/>
  <c r="X83" i="7"/>
  <c r="X45" i="7"/>
  <c r="X102" i="7" s="1"/>
  <c r="Y82" i="7"/>
  <c r="Y44" i="7"/>
  <c r="Y101" i="7" s="1"/>
  <c r="I60" i="7"/>
  <c r="I117" i="7" s="1"/>
  <c r="I98" i="7"/>
  <c r="H43" i="7"/>
  <c r="H81" i="7"/>
  <c r="H61" i="7"/>
  <c r="H118" i="7" s="1"/>
  <c r="H99" i="7"/>
  <c r="J41" i="7"/>
  <c r="J79" i="7"/>
  <c r="K40" i="7"/>
  <c r="K78" i="7"/>
  <c r="S32" i="7"/>
  <c r="S70" i="7"/>
  <c r="M38" i="7"/>
  <c r="M76" i="7"/>
  <c r="L39" i="7"/>
  <c r="L77" i="7"/>
  <c r="R33" i="7"/>
  <c r="R71" i="7"/>
  <c r="T31" i="7"/>
  <c r="T69" i="7"/>
  <c r="Q34" i="7"/>
  <c r="Q72" i="7"/>
  <c r="O36" i="7"/>
  <c r="O74" i="7"/>
  <c r="U30" i="7"/>
  <c r="U68" i="7"/>
  <c r="P35" i="7"/>
  <c r="P73" i="7"/>
  <c r="N37" i="7"/>
  <c r="N75" i="7"/>
  <c r="V29" i="7"/>
  <c r="V67" i="7"/>
  <c r="W28" i="7"/>
  <c r="W66" i="7"/>
  <c r="X27" i="7"/>
  <c r="X65" i="7"/>
  <c r="Y26" i="7"/>
  <c r="Y64" i="7"/>
  <c r="Z25" i="7"/>
  <c r="Z63" i="7"/>
  <c r="I42" i="7"/>
  <c r="I24" i="7"/>
  <c r="J23" i="7"/>
  <c r="J80" i="7" s="1"/>
  <c r="K22" i="7"/>
  <c r="K79" i="7" s="1"/>
  <c r="L21" i="7"/>
  <c r="L78" i="7" s="1"/>
  <c r="M20" i="7"/>
  <c r="M77" i="7" s="1"/>
  <c r="Q16" i="7"/>
  <c r="O18" i="7"/>
  <c r="S14" i="7"/>
  <c r="R15" i="7"/>
  <c r="U12" i="7"/>
  <c r="P17" i="7"/>
  <c r="V11" i="7"/>
  <c r="T13" i="7"/>
  <c r="N19" i="7"/>
  <c r="W10" i="7"/>
  <c r="X9" i="7"/>
  <c r="Y8" i="7"/>
  <c r="Z7" i="7"/>
  <c r="AA6" i="7"/>
  <c r="H100" i="7" l="1"/>
  <c r="H62" i="7"/>
  <c r="H119" i="7" s="1"/>
  <c r="J98" i="7"/>
  <c r="J60" i="7"/>
  <c r="J117" i="7" s="1"/>
  <c r="K97" i="7"/>
  <c r="K59" i="7"/>
  <c r="K116" i="7" s="1"/>
  <c r="S89" i="7"/>
  <c r="S51" i="7"/>
  <c r="S108" i="7" s="1"/>
  <c r="M95" i="7"/>
  <c r="M57" i="7"/>
  <c r="M114" i="7" s="1"/>
  <c r="L96" i="7"/>
  <c r="L58" i="7"/>
  <c r="L115" i="7" s="1"/>
  <c r="R90" i="7"/>
  <c r="R52" i="7"/>
  <c r="R109" i="7" s="1"/>
  <c r="T88" i="7"/>
  <c r="T50" i="7"/>
  <c r="T107" i="7" s="1"/>
  <c r="Q91" i="7"/>
  <c r="Q53" i="7"/>
  <c r="Q110" i="7" s="1"/>
  <c r="O93" i="7"/>
  <c r="O55" i="7"/>
  <c r="O112" i="7" s="1"/>
  <c r="U87" i="7"/>
  <c r="U49" i="7"/>
  <c r="U106" i="7" s="1"/>
  <c r="P92" i="7"/>
  <c r="P54" i="7"/>
  <c r="P111" i="7" s="1"/>
  <c r="N94" i="7"/>
  <c r="N56" i="7"/>
  <c r="N113" i="7" s="1"/>
  <c r="V86" i="7"/>
  <c r="V48" i="7"/>
  <c r="V105" i="7" s="1"/>
  <c r="W85" i="7"/>
  <c r="W47" i="7"/>
  <c r="W104" i="7" s="1"/>
  <c r="X84" i="7"/>
  <c r="X46" i="7"/>
  <c r="X103" i="7" s="1"/>
  <c r="Y83" i="7"/>
  <c r="Y45" i="7"/>
  <c r="Y102" i="7" s="1"/>
  <c r="Z82" i="7"/>
  <c r="Z44" i="7"/>
  <c r="Z101" i="7" s="1"/>
  <c r="I61" i="7"/>
  <c r="I118" i="7" s="1"/>
  <c r="I99" i="7"/>
  <c r="I43" i="7"/>
  <c r="I81" i="7"/>
  <c r="Q35" i="7"/>
  <c r="Q73" i="7"/>
  <c r="O37" i="7"/>
  <c r="O75" i="7"/>
  <c r="S33" i="7"/>
  <c r="S71" i="7"/>
  <c r="R34" i="7"/>
  <c r="R72" i="7"/>
  <c r="U31" i="7"/>
  <c r="U69" i="7"/>
  <c r="P36" i="7"/>
  <c r="P74" i="7"/>
  <c r="V30" i="7"/>
  <c r="V68" i="7"/>
  <c r="T32" i="7"/>
  <c r="T70" i="7"/>
  <c r="N38" i="7"/>
  <c r="N76" i="7"/>
  <c r="W29" i="7"/>
  <c r="W67" i="7"/>
  <c r="X28" i="7"/>
  <c r="X66" i="7"/>
  <c r="Y27" i="7"/>
  <c r="Y65" i="7"/>
  <c r="Z26" i="7"/>
  <c r="Z64" i="7"/>
  <c r="AA25" i="7"/>
  <c r="AA63" i="7"/>
  <c r="J42" i="7"/>
  <c r="J24" i="7"/>
  <c r="K41" i="7"/>
  <c r="K23" i="7"/>
  <c r="K80" i="7" s="1"/>
  <c r="L40" i="7"/>
  <c r="L22" i="7"/>
  <c r="L79" i="7" s="1"/>
  <c r="M39" i="7"/>
  <c r="M21" i="7"/>
  <c r="M78" i="7" s="1"/>
  <c r="O19" i="7"/>
  <c r="P18" i="7"/>
  <c r="Q17" i="7"/>
  <c r="S15" i="7"/>
  <c r="R16" i="7"/>
  <c r="U13" i="7"/>
  <c r="V12" i="7"/>
  <c r="T14" i="7"/>
  <c r="N20" i="7"/>
  <c r="W11" i="7"/>
  <c r="X10" i="7"/>
  <c r="Y9" i="7"/>
  <c r="Z8" i="7"/>
  <c r="AA7" i="7"/>
  <c r="AB6" i="7"/>
  <c r="AB25" i="7" l="1"/>
  <c r="AB63" i="7"/>
  <c r="I100" i="7"/>
  <c r="I62" i="7"/>
  <c r="I119" i="7" s="1"/>
  <c r="Q92" i="7"/>
  <c r="Q54" i="7"/>
  <c r="Q111" i="7" s="1"/>
  <c r="O94" i="7"/>
  <c r="O56" i="7"/>
  <c r="O113" i="7" s="1"/>
  <c r="S90" i="7"/>
  <c r="S52" i="7"/>
  <c r="S109" i="7" s="1"/>
  <c r="R91" i="7"/>
  <c r="R53" i="7"/>
  <c r="R110" i="7" s="1"/>
  <c r="U88" i="7"/>
  <c r="U50" i="7"/>
  <c r="U107" i="7" s="1"/>
  <c r="P93" i="7"/>
  <c r="P55" i="7"/>
  <c r="P112" i="7" s="1"/>
  <c r="V87" i="7"/>
  <c r="V49" i="7"/>
  <c r="V106" i="7" s="1"/>
  <c r="T89" i="7"/>
  <c r="T51" i="7"/>
  <c r="T108" i="7" s="1"/>
  <c r="N95" i="7"/>
  <c r="N57" i="7"/>
  <c r="N114" i="7" s="1"/>
  <c r="W86" i="7"/>
  <c r="W48" i="7"/>
  <c r="W105" i="7" s="1"/>
  <c r="X85" i="7"/>
  <c r="X47" i="7"/>
  <c r="X104" i="7" s="1"/>
  <c r="Y84" i="7"/>
  <c r="Y46" i="7"/>
  <c r="Y103" i="7" s="1"/>
  <c r="Z83" i="7"/>
  <c r="Z45" i="7"/>
  <c r="Z102" i="7" s="1"/>
  <c r="AA82" i="7"/>
  <c r="AA44" i="7"/>
  <c r="AA101" i="7" s="1"/>
  <c r="J61" i="7"/>
  <c r="J118" i="7" s="1"/>
  <c r="J99" i="7"/>
  <c r="J43" i="7"/>
  <c r="J81" i="7"/>
  <c r="K60" i="7"/>
  <c r="K117" i="7" s="1"/>
  <c r="K98" i="7"/>
  <c r="L59" i="7"/>
  <c r="L116" i="7" s="1"/>
  <c r="L97" i="7"/>
  <c r="M58" i="7"/>
  <c r="M115" i="7" s="1"/>
  <c r="M96" i="7"/>
  <c r="O38" i="7"/>
  <c r="O76" i="7"/>
  <c r="P37" i="7"/>
  <c r="P75" i="7"/>
  <c r="Q36" i="7"/>
  <c r="Q74" i="7"/>
  <c r="S34" i="7"/>
  <c r="S72" i="7"/>
  <c r="R35" i="7"/>
  <c r="R73" i="7"/>
  <c r="U32" i="7"/>
  <c r="U70" i="7"/>
  <c r="V31" i="7"/>
  <c r="V69" i="7"/>
  <c r="T33" i="7"/>
  <c r="T71" i="7"/>
  <c r="N39" i="7"/>
  <c r="N77" i="7"/>
  <c r="W30" i="7"/>
  <c r="W68" i="7"/>
  <c r="X29" i="7"/>
  <c r="X67" i="7"/>
  <c r="Y28" i="7"/>
  <c r="Y66" i="7"/>
  <c r="Z27" i="7"/>
  <c r="Z65" i="7"/>
  <c r="AA26" i="7"/>
  <c r="AA64" i="7"/>
  <c r="K42" i="7"/>
  <c r="K24" i="7"/>
  <c r="L41" i="7"/>
  <c r="L23" i="7"/>
  <c r="L80" i="7" s="1"/>
  <c r="M40" i="7"/>
  <c r="M22" i="7"/>
  <c r="M79" i="7" s="1"/>
  <c r="O20" i="7"/>
  <c r="P19" i="7"/>
  <c r="Q18" i="7"/>
  <c r="S16" i="7"/>
  <c r="R17" i="7"/>
  <c r="U14" i="7"/>
  <c r="V13" i="7"/>
  <c r="T15" i="7"/>
  <c r="N21" i="7"/>
  <c r="W12" i="7"/>
  <c r="X11" i="7"/>
  <c r="Y10" i="7"/>
  <c r="Z9" i="7"/>
  <c r="AA8" i="7"/>
  <c r="AB7" i="7"/>
  <c r="AC6" i="7"/>
  <c r="AB82" i="7" l="1"/>
  <c r="AB44" i="7"/>
  <c r="AB101" i="7" s="1"/>
  <c r="AB26" i="7"/>
  <c r="AB64" i="7"/>
  <c r="AC25" i="7"/>
  <c r="AC63" i="7"/>
  <c r="J100" i="7"/>
  <c r="J62" i="7"/>
  <c r="J119" i="7" s="1"/>
  <c r="O95" i="7"/>
  <c r="O57" i="7"/>
  <c r="O114" i="7" s="1"/>
  <c r="P94" i="7"/>
  <c r="P56" i="7"/>
  <c r="P113" i="7" s="1"/>
  <c r="Q93" i="7"/>
  <c r="Q55" i="7"/>
  <c r="Q112" i="7" s="1"/>
  <c r="S91" i="7"/>
  <c r="S53" i="7"/>
  <c r="S110" i="7" s="1"/>
  <c r="R92" i="7"/>
  <c r="R54" i="7"/>
  <c r="R111" i="7" s="1"/>
  <c r="U89" i="7"/>
  <c r="U51" i="7"/>
  <c r="U108" i="7" s="1"/>
  <c r="V88" i="7"/>
  <c r="V50" i="7"/>
  <c r="V107" i="7" s="1"/>
  <c r="T90" i="7"/>
  <c r="T52" i="7"/>
  <c r="T109" i="7" s="1"/>
  <c r="N96" i="7"/>
  <c r="N58" i="7"/>
  <c r="N115" i="7" s="1"/>
  <c r="W87" i="7"/>
  <c r="W49" i="7"/>
  <c r="W106" i="7" s="1"/>
  <c r="X86" i="7"/>
  <c r="X48" i="7"/>
  <c r="X105" i="7" s="1"/>
  <c r="Y85" i="7"/>
  <c r="Y47" i="7"/>
  <c r="Y104" i="7" s="1"/>
  <c r="Z84" i="7"/>
  <c r="Z46" i="7"/>
  <c r="Z103" i="7" s="1"/>
  <c r="AA83" i="7"/>
  <c r="AA45" i="7"/>
  <c r="AA102" i="7" s="1"/>
  <c r="K61" i="7"/>
  <c r="K118" i="7" s="1"/>
  <c r="K99" i="7"/>
  <c r="K43" i="7"/>
  <c r="K81" i="7"/>
  <c r="L60" i="7"/>
  <c r="L117" i="7" s="1"/>
  <c r="L98" i="7"/>
  <c r="M59" i="7"/>
  <c r="M116" i="7" s="1"/>
  <c r="M97" i="7"/>
  <c r="O39" i="7"/>
  <c r="O77" i="7"/>
  <c r="P38" i="7"/>
  <c r="P76" i="7"/>
  <c r="Q37" i="7"/>
  <c r="Q75" i="7"/>
  <c r="S35" i="7"/>
  <c r="S73" i="7"/>
  <c r="R36" i="7"/>
  <c r="R74" i="7"/>
  <c r="U33" i="7"/>
  <c r="U71" i="7"/>
  <c r="V32" i="7"/>
  <c r="V70" i="7"/>
  <c r="T34" i="7"/>
  <c r="T72" i="7"/>
  <c r="N40" i="7"/>
  <c r="N78" i="7"/>
  <c r="W31" i="7"/>
  <c r="W69" i="7"/>
  <c r="X30" i="7"/>
  <c r="X68" i="7"/>
  <c r="Y29" i="7"/>
  <c r="Y67" i="7"/>
  <c r="Z28" i="7"/>
  <c r="Z66" i="7"/>
  <c r="AA27" i="7"/>
  <c r="AA65" i="7"/>
  <c r="M41" i="7"/>
  <c r="M23" i="7"/>
  <c r="M80" i="7" s="1"/>
  <c r="L42" i="7"/>
  <c r="L24" i="7"/>
  <c r="O21" i="7"/>
  <c r="P20" i="7"/>
  <c r="Q19" i="7"/>
  <c r="S17" i="7"/>
  <c r="R18" i="7"/>
  <c r="U15" i="7"/>
  <c r="V14" i="7"/>
  <c r="T16" i="7"/>
  <c r="AB8" i="7"/>
  <c r="N22" i="7"/>
  <c r="AA9" i="7"/>
  <c r="W13" i="7"/>
  <c r="X12" i="7"/>
  <c r="Y11" i="7"/>
  <c r="Z10" i="7"/>
  <c r="AC7" i="7"/>
  <c r="AD6" i="7"/>
  <c r="AB83" i="7" l="1"/>
  <c r="AB45" i="7"/>
  <c r="AB102" i="7" s="1"/>
  <c r="AC82" i="7"/>
  <c r="AC44" i="7"/>
  <c r="AC101" i="7" s="1"/>
  <c r="AB27" i="7"/>
  <c r="AB65" i="7"/>
  <c r="AC26" i="7"/>
  <c r="AC64" i="7"/>
  <c r="AD25" i="7"/>
  <c r="AD63" i="7"/>
  <c r="K100" i="7"/>
  <c r="K62" i="7"/>
  <c r="K119" i="7" s="1"/>
  <c r="O96" i="7"/>
  <c r="O58" i="7"/>
  <c r="O115" i="7" s="1"/>
  <c r="P95" i="7"/>
  <c r="P57" i="7"/>
  <c r="P114" i="7" s="1"/>
  <c r="Q94" i="7"/>
  <c r="Q56" i="7"/>
  <c r="Q113" i="7" s="1"/>
  <c r="S92" i="7"/>
  <c r="S54" i="7"/>
  <c r="S111" i="7" s="1"/>
  <c r="R93" i="7"/>
  <c r="R55" i="7"/>
  <c r="R112" i="7" s="1"/>
  <c r="U90" i="7"/>
  <c r="U52" i="7"/>
  <c r="U109" i="7" s="1"/>
  <c r="V89" i="7"/>
  <c r="V51" i="7"/>
  <c r="V108" i="7" s="1"/>
  <c r="T91" i="7"/>
  <c r="T53" i="7"/>
  <c r="T110" i="7" s="1"/>
  <c r="N97" i="7"/>
  <c r="N59" i="7"/>
  <c r="N116" i="7" s="1"/>
  <c r="W88" i="7"/>
  <c r="W50" i="7"/>
  <c r="W107" i="7" s="1"/>
  <c r="X87" i="7"/>
  <c r="X49" i="7"/>
  <c r="X106" i="7" s="1"/>
  <c r="Y86" i="7"/>
  <c r="Y48" i="7"/>
  <c r="Y105" i="7" s="1"/>
  <c r="Z85" i="7"/>
  <c r="Z47" i="7"/>
  <c r="Z104" i="7" s="1"/>
  <c r="AA84" i="7"/>
  <c r="AA46" i="7"/>
  <c r="AA103" i="7" s="1"/>
  <c r="M60" i="7"/>
  <c r="M117" i="7" s="1"/>
  <c r="M98" i="7"/>
  <c r="L61" i="7"/>
  <c r="L118" i="7" s="1"/>
  <c r="L99" i="7"/>
  <c r="L43" i="7"/>
  <c r="L81" i="7"/>
  <c r="O40" i="7"/>
  <c r="O78" i="7"/>
  <c r="P39" i="7"/>
  <c r="P77" i="7"/>
  <c r="Q38" i="7"/>
  <c r="Q76" i="7"/>
  <c r="S36" i="7"/>
  <c r="S74" i="7"/>
  <c r="R37" i="7"/>
  <c r="R75" i="7"/>
  <c r="U34" i="7"/>
  <c r="U72" i="7"/>
  <c r="V33" i="7"/>
  <c r="V71" i="7"/>
  <c r="T35" i="7"/>
  <c r="T73" i="7"/>
  <c r="N41" i="7"/>
  <c r="N79" i="7"/>
  <c r="AA28" i="7"/>
  <c r="AA66" i="7"/>
  <c r="W32" i="7"/>
  <c r="W70" i="7"/>
  <c r="X31" i="7"/>
  <c r="X69" i="7"/>
  <c r="Y30" i="7"/>
  <c r="Y68" i="7"/>
  <c r="Z29" i="7"/>
  <c r="Z67" i="7"/>
  <c r="M42" i="7"/>
  <c r="M24" i="7"/>
  <c r="O22" i="7"/>
  <c r="P21" i="7"/>
  <c r="Q20" i="7"/>
  <c r="R19" i="7"/>
  <c r="S18" i="7"/>
  <c r="U16" i="7"/>
  <c r="V15" i="7"/>
  <c r="T17" i="7"/>
  <c r="AC8" i="7"/>
  <c r="AB9" i="7"/>
  <c r="AA10" i="7"/>
  <c r="N23" i="7"/>
  <c r="W14" i="7"/>
  <c r="X13" i="7"/>
  <c r="Y12" i="7"/>
  <c r="Z11" i="7"/>
  <c r="AD7" i="7"/>
  <c r="AE6" i="7"/>
  <c r="AB84" i="7" l="1"/>
  <c r="AB46" i="7"/>
  <c r="AB103" i="7" s="1"/>
  <c r="AC83" i="7"/>
  <c r="AC45" i="7"/>
  <c r="AC102" i="7" s="1"/>
  <c r="AD82" i="7"/>
  <c r="AD44" i="7"/>
  <c r="AD101" i="7" s="1"/>
  <c r="AC27" i="7"/>
  <c r="AC65" i="7"/>
  <c r="AB28" i="7"/>
  <c r="AB66" i="7"/>
  <c r="AD26" i="7"/>
  <c r="AD64" i="7"/>
  <c r="AE25" i="7"/>
  <c r="AE63" i="7"/>
  <c r="L100" i="7"/>
  <c r="L62" i="7"/>
  <c r="L119" i="7" s="1"/>
  <c r="O97" i="7"/>
  <c r="O59" i="7"/>
  <c r="O116" i="7" s="1"/>
  <c r="P96" i="7"/>
  <c r="P58" i="7"/>
  <c r="P115" i="7" s="1"/>
  <c r="Q95" i="7"/>
  <c r="Q57" i="7"/>
  <c r="Q114" i="7" s="1"/>
  <c r="S93" i="7"/>
  <c r="S55" i="7"/>
  <c r="S112" i="7" s="1"/>
  <c r="R94" i="7"/>
  <c r="R56" i="7"/>
  <c r="R113" i="7" s="1"/>
  <c r="U91" i="7"/>
  <c r="U53" i="7"/>
  <c r="U110" i="7" s="1"/>
  <c r="V90" i="7"/>
  <c r="V52" i="7"/>
  <c r="V109" i="7" s="1"/>
  <c r="T92" i="7"/>
  <c r="T54" i="7"/>
  <c r="T111" i="7" s="1"/>
  <c r="N98" i="7"/>
  <c r="N60" i="7"/>
  <c r="N117" i="7" s="1"/>
  <c r="AA85" i="7"/>
  <c r="AA47" i="7"/>
  <c r="AA104" i="7" s="1"/>
  <c r="W89" i="7"/>
  <c r="W51" i="7"/>
  <c r="W108" i="7" s="1"/>
  <c r="X88" i="7"/>
  <c r="X50" i="7"/>
  <c r="X107" i="7" s="1"/>
  <c r="Y87" i="7"/>
  <c r="Y49" i="7"/>
  <c r="Y106" i="7" s="1"/>
  <c r="Z86" i="7"/>
  <c r="Z48" i="7"/>
  <c r="Z105" i="7" s="1"/>
  <c r="M61" i="7"/>
  <c r="M118" i="7" s="1"/>
  <c r="M99" i="7"/>
  <c r="M43" i="7"/>
  <c r="M81" i="7"/>
  <c r="O41" i="7"/>
  <c r="O79" i="7"/>
  <c r="P40" i="7"/>
  <c r="P78" i="7"/>
  <c r="Q39" i="7"/>
  <c r="Q77" i="7"/>
  <c r="R38" i="7"/>
  <c r="R76" i="7"/>
  <c r="S37" i="7"/>
  <c r="S75" i="7"/>
  <c r="U35" i="7"/>
  <c r="U73" i="7"/>
  <c r="V34" i="7"/>
  <c r="V72" i="7"/>
  <c r="T36" i="7"/>
  <c r="T74" i="7"/>
  <c r="AA29" i="7"/>
  <c r="AA67" i="7"/>
  <c r="N42" i="7"/>
  <c r="N80" i="7"/>
  <c r="W33" i="7"/>
  <c r="W71" i="7"/>
  <c r="X32" i="7"/>
  <c r="X70" i="7"/>
  <c r="Y31" i="7"/>
  <c r="Y69" i="7"/>
  <c r="Z30" i="7"/>
  <c r="Z68" i="7"/>
  <c r="O23" i="7"/>
  <c r="P22" i="7"/>
  <c r="P79" i="7" s="1"/>
  <c r="Q21" i="7"/>
  <c r="R20" i="7"/>
  <c r="U17" i="7"/>
  <c r="T18" i="7"/>
  <c r="S19" i="7"/>
  <c r="V16" i="7"/>
  <c r="AC9" i="7"/>
  <c r="AB10" i="7"/>
  <c r="AA11" i="7"/>
  <c r="N24" i="7"/>
  <c r="W15" i="7"/>
  <c r="X14" i="7"/>
  <c r="Y13" i="7"/>
  <c r="Z12" i="7"/>
  <c r="AD8" i="7"/>
  <c r="AE7" i="7"/>
  <c r="AF6" i="7"/>
  <c r="AC84" i="7" l="1"/>
  <c r="AC46" i="7"/>
  <c r="AC103" i="7" s="1"/>
  <c r="AB85" i="7"/>
  <c r="AB47" i="7"/>
  <c r="AB104" i="7" s="1"/>
  <c r="AD83" i="7"/>
  <c r="AD45" i="7"/>
  <c r="AD102" i="7" s="1"/>
  <c r="AE82" i="7"/>
  <c r="AE44" i="7"/>
  <c r="AE101" i="7" s="1"/>
  <c r="AC28" i="7"/>
  <c r="AC66" i="7"/>
  <c r="AB29" i="7"/>
  <c r="AB67" i="7"/>
  <c r="AD27" i="7"/>
  <c r="AD65" i="7"/>
  <c r="AE26" i="7"/>
  <c r="AE64" i="7"/>
  <c r="AF25" i="7"/>
  <c r="AF63" i="7"/>
  <c r="M100" i="7"/>
  <c r="M62" i="7"/>
  <c r="M119" i="7" s="1"/>
  <c r="O98" i="7"/>
  <c r="O60" i="7"/>
  <c r="O117" i="7" s="1"/>
  <c r="P97" i="7"/>
  <c r="P59" i="7"/>
  <c r="P116" i="7" s="1"/>
  <c r="Q96" i="7"/>
  <c r="Q58" i="7"/>
  <c r="Q115" i="7" s="1"/>
  <c r="R95" i="7"/>
  <c r="R57" i="7"/>
  <c r="R114" i="7" s="1"/>
  <c r="S94" i="7"/>
  <c r="S56" i="7"/>
  <c r="S113" i="7" s="1"/>
  <c r="U92" i="7"/>
  <c r="U54" i="7"/>
  <c r="U111" i="7" s="1"/>
  <c r="V91" i="7"/>
  <c r="V53" i="7"/>
  <c r="V110" i="7" s="1"/>
  <c r="T93" i="7"/>
  <c r="T55" i="7"/>
  <c r="T112" i="7" s="1"/>
  <c r="AA86" i="7"/>
  <c r="AA48" i="7"/>
  <c r="AA105" i="7" s="1"/>
  <c r="N99" i="7"/>
  <c r="N61" i="7"/>
  <c r="N118" i="7" s="1"/>
  <c r="W90" i="7"/>
  <c r="W52" i="7"/>
  <c r="W109" i="7" s="1"/>
  <c r="X89" i="7"/>
  <c r="X51" i="7"/>
  <c r="X108" i="7" s="1"/>
  <c r="Y88" i="7"/>
  <c r="Y50" i="7"/>
  <c r="Y107" i="7" s="1"/>
  <c r="Z87" i="7"/>
  <c r="Z49" i="7"/>
  <c r="Z106" i="7" s="1"/>
  <c r="O42" i="7"/>
  <c r="O80" i="7"/>
  <c r="Q40" i="7"/>
  <c r="Q78" i="7"/>
  <c r="R39" i="7"/>
  <c r="R77" i="7"/>
  <c r="U36" i="7"/>
  <c r="U74" i="7"/>
  <c r="T37" i="7"/>
  <c r="T75" i="7"/>
  <c r="S38" i="7"/>
  <c r="S76" i="7"/>
  <c r="V35" i="7"/>
  <c r="V73" i="7"/>
  <c r="AA30" i="7"/>
  <c r="AA68" i="7"/>
  <c r="N43" i="7"/>
  <c r="N81" i="7"/>
  <c r="W34" i="7"/>
  <c r="W72" i="7"/>
  <c r="X33" i="7"/>
  <c r="X71" i="7"/>
  <c r="Y32" i="7"/>
  <c r="Y70" i="7"/>
  <c r="Z31" i="7"/>
  <c r="Z69" i="7"/>
  <c r="P23" i="7"/>
  <c r="P80" i="7" s="1"/>
  <c r="P41" i="7"/>
  <c r="O24" i="7"/>
  <c r="Q22" i="7"/>
  <c r="R21" i="7"/>
  <c r="T19" i="7"/>
  <c r="U18" i="7"/>
  <c r="V17" i="7"/>
  <c r="S20" i="7"/>
  <c r="S77" i="7" s="1"/>
  <c r="AB11" i="7"/>
  <c r="AC10" i="7"/>
  <c r="AA12" i="7"/>
  <c r="W16" i="7"/>
  <c r="X15" i="7"/>
  <c r="Y14" i="7"/>
  <c r="Z13" i="7"/>
  <c r="AD9" i="7"/>
  <c r="AE8" i="7"/>
  <c r="AF7" i="7"/>
  <c r="AG6" i="7"/>
  <c r="AC85" i="7" l="1"/>
  <c r="AC47" i="7"/>
  <c r="AC104" i="7" s="1"/>
  <c r="AB86" i="7"/>
  <c r="AB48" i="7"/>
  <c r="AB105" i="7" s="1"/>
  <c r="AD84" i="7"/>
  <c r="AD46" i="7"/>
  <c r="AD103" i="7" s="1"/>
  <c r="AE83" i="7"/>
  <c r="AE45" i="7"/>
  <c r="AE102" i="7" s="1"/>
  <c r="AF82" i="7"/>
  <c r="AF44" i="7"/>
  <c r="AF101" i="7" s="1"/>
  <c r="AB30" i="7"/>
  <c r="AB68" i="7"/>
  <c r="AC29" i="7"/>
  <c r="AC67" i="7"/>
  <c r="AD28" i="7"/>
  <c r="AD66" i="7"/>
  <c r="AE27" i="7"/>
  <c r="AE65" i="7"/>
  <c r="AF26" i="7"/>
  <c r="AF64" i="7"/>
  <c r="AG25" i="7"/>
  <c r="AG63" i="7"/>
  <c r="O99" i="7"/>
  <c r="O61" i="7"/>
  <c r="O118" i="7" s="1"/>
  <c r="Q97" i="7"/>
  <c r="Q59" i="7"/>
  <c r="Q116" i="7" s="1"/>
  <c r="R96" i="7"/>
  <c r="R58" i="7"/>
  <c r="R115" i="7" s="1"/>
  <c r="U93" i="7"/>
  <c r="U55" i="7"/>
  <c r="U112" i="7" s="1"/>
  <c r="T94" i="7"/>
  <c r="T56" i="7"/>
  <c r="T113" i="7" s="1"/>
  <c r="S95" i="7"/>
  <c r="S57" i="7"/>
  <c r="S114" i="7" s="1"/>
  <c r="V92" i="7"/>
  <c r="V54" i="7"/>
  <c r="V111" i="7" s="1"/>
  <c r="AA87" i="7"/>
  <c r="AA49" i="7"/>
  <c r="AA106" i="7" s="1"/>
  <c r="N100" i="7"/>
  <c r="N62" i="7"/>
  <c r="N119" i="7" s="1"/>
  <c r="W91" i="7"/>
  <c r="W53" i="7"/>
  <c r="W110" i="7" s="1"/>
  <c r="X90" i="7"/>
  <c r="X52" i="7"/>
  <c r="X109" i="7" s="1"/>
  <c r="Y89" i="7"/>
  <c r="Y51" i="7"/>
  <c r="Y108" i="7" s="1"/>
  <c r="Z88" i="7"/>
  <c r="Z50" i="7"/>
  <c r="Z107" i="7" s="1"/>
  <c r="P60" i="7"/>
  <c r="P117" i="7" s="1"/>
  <c r="P98" i="7"/>
  <c r="O43" i="7"/>
  <c r="O81" i="7"/>
  <c r="Q41" i="7"/>
  <c r="Q79" i="7"/>
  <c r="R40" i="7"/>
  <c r="R78" i="7"/>
  <c r="T38" i="7"/>
  <c r="T76" i="7"/>
  <c r="U37" i="7"/>
  <c r="U75" i="7"/>
  <c r="V36" i="7"/>
  <c r="V74" i="7"/>
  <c r="AA31" i="7"/>
  <c r="AA69" i="7"/>
  <c r="W35" i="7"/>
  <c r="W73" i="7"/>
  <c r="X34" i="7"/>
  <c r="X72" i="7"/>
  <c r="Y33" i="7"/>
  <c r="Y71" i="7"/>
  <c r="Z32" i="7"/>
  <c r="Z70" i="7"/>
  <c r="S39" i="7"/>
  <c r="S21" i="7"/>
  <c r="S78" i="7" s="1"/>
  <c r="P42" i="7"/>
  <c r="P24" i="7"/>
  <c r="V18" i="7"/>
  <c r="Q23" i="7"/>
  <c r="R22" i="7"/>
  <c r="T20" i="7"/>
  <c r="U19" i="7"/>
  <c r="AB12" i="7"/>
  <c r="AC11" i="7"/>
  <c r="AA13" i="7"/>
  <c r="AF8" i="7"/>
  <c r="W17" i="7"/>
  <c r="X16" i="7"/>
  <c r="Y15" i="7"/>
  <c r="Z14" i="7"/>
  <c r="AD10" i="7"/>
  <c r="AE9" i="7"/>
  <c r="AG7" i="7"/>
  <c r="AH6" i="7"/>
  <c r="AB87" i="7" l="1"/>
  <c r="AB49" i="7"/>
  <c r="AB106" i="7" s="1"/>
  <c r="AC86" i="7"/>
  <c r="AC48" i="7"/>
  <c r="AC105" i="7" s="1"/>
  <c r="AD85" i="7"/>
  <c r="AD47" i="7"/>
  <c r="AD104" i="7" s="1"/>
  <c r="AE84" i="7"/>
  <c r="AE46" i="7"/>
  <c r="AE103" i="7" s="1"/>
  <c r="AF83" i="7"/>
  <c r="AF45" i="7"/>
  <c r="AF102" i="7" s="1"/>
  <c r="AG82" i="7"/>
  <c r="AG44" i="7"/>
  <c r="AG101" i="7" s="1"/>
  <c r="AB31" i="7"/>
  <c r="AB69" i="7"/>
  <c r="AC30" i="7"/>
  <c r="AC68" i="7"/>
  <c r="AF27" i="7"/>
  <c r="AF65" i="7"/>
  <c r="AD29" i="7"/>
  <c r="AD67" i="7"/>
  <c r="AE28" i="7"/>
  <c r="AE66" i="7"/>
  <c r="AG26" i="7"/>
  <c r="AG64" i="7"/>
  <c r="AH25" i="7"/>
  <c r="AH63" i="7"/>
  <c r="O100" i="7"/>
  <c r="O62" i="7"/>
  <c r="O119" i="7" s="1"/>
  <c r="Q98" i="7"/>
  <c r="Q60" i="7"/>
  <c r="Q117" i="7" s="1"/>
  <c r="R97" i="7"/>
  <c r="R59" i="7"/>
  <c r="R116" i="7" s="1"/>
  <c r="T95" i="7"/>
  <c r="T57" i="7"/>
  <c r="T114" i="7" s="1"/>
  <c r="U94" i="7"/>
  <c r="U56" i="7"/>
  <c r="U113" i="7" s="1"/>
  <c r="V93" i="7"/>
  <c r="V55" i="7"/>
  <c r="V112" i="7" s="1"/>
  <c r="AA88" i="7"/>
  <c r="AA50" i="7"/>
  <c r="AA107" i="7" s="1"/>
  <c r="W92" i="7"/>
  <c r="W54" i="7"/>
  <c r="W111" i="7" s="1"/>
  <c r="X91" i="7"/>
  <c r="X53" i="7"/>
  <c r="X110" i="7" s="1"/>
  <c r="Y90" i="7"/>
  <c r="Y52" i="7"/>
  <c r="Y109" i="7" s="1"/>
  <c r="Z89" i="7"/>
  <c r="Z51" i="7"/>
  <c r="Z108" i="7" s="1"/>
  <c r="S58" i="7"/>
  <c r="S115" i="7" s="1"/>
  <c r="S96" i="7"/>
  <c r="P61" i="7"/>
  <c r="P118" i="7" s="1"/>
  <c r="P99" i="7"/>
  <c r="P43" i="7"/>
  <c r="P81" i="7"/>
  <c r="V37" i="7"/>
  <c r="V75" i="7"/>
  <c r="Q42" i="7"/>
  <c r="Q80" i="7"/>
  <c r="R41" i="7"/>
  <c r="R79" i="7"/>
  <c r="T39" i="7"/>
  <c r="T77" i="7"/>
  <c r="U38" i="7"/>
  <c r="U76" i="7"/>
  <c r="AA32" i="7"/>
  <c r="AA70" i="7"/>
  <c r="W36" i="7"/>
  <c r="W74" i="7"/>
  <c r="X35" i="7"/>
  <c r="X73" i="7"/>
  <c r="Y34" i="7"/>
  <c r="Y72" i="7"/>
  <c r="Z33" i="7"/>
  <c r="Z71" i="7"/>
  <c r="S40" i="7"/>
  <c r="S22" i="7"/>
  <c r="S79" i="7" s="1"/>
  <c r="V19" i="7"/>
  <c r="R23" i="7"/>
  <c r="R80" i="7" s="1"/>
  <c r="T21" i="7"/>
  <c r="T78" i="7" s="1"/>
  <c r="U20" i="7"/>
  <c r="U77" i="7" s="1"/>
  <c r="Q24" i="7"/>
  <c r="AB13" i="7"/>
  <c r="AC12" i="7"/>
  <c r="AA14" i="7"/>
  <c r="AF9" i="7"/>
  <c r="W18" i="7"/>
  <c r="X17" i="7"/>
  <c r="Y16" i="7"/>
  <c r="Z15" i="7"/>
  <c r="AD11" i="7"/>
  <c r="AE10" i="7"/>
  <c r="AG8" i="7"/>
  <c r="AH7" i="7"/>
  <c r="AI6" i="7"/>
  <c r="AB88" i="7" l="1"/>
  <c r="AB50" i="7"/>
  <c r="AB107" i="7" s="1"/>
  <c r="AC87" i="7"/>
  <c r="AC49" i="7"/>
  <c r="AC106" i="7" s="1"/>
  <c r="AF84" i="7"/>
  <c r="AF46" i="7"/>
  <c r="AF103" i="7" s="1"/>
  <c r="AD86" i="7"/>
  <c r="AD48" i="7"/>
  <c r="AD105" i="7" s="1"/>
  <c r="AE85" i="7"/>
  <c r="AE47" i="7"/>
  <c r="AE104" i="7" s="1"/>
  <c r="AG83" i="7"/>
  <c r="AG45" i="7"/>
  <c r="AG102" i="7" s="1"/>
  <c r="AH82" i="7"/>
  <c r="AH44" i="7"/>
  <c r="AH101" i="7" s="1"/>
  <c r="AB32" i="7"/>
  <c r="AB70" i="7"/>
  <c r="AC31" i="7"/>
  <c r="AC69" i="7"/>
  <c r="AF28" i="7"/>
  <c r="AF66" i="7"/>
  <c r="AD30" i="7"/>
  <c r="AD68" i="7"/>
  <c r="AE29" i="7"/>
  <c r="AE67" i="7"/>
  <c r="AG27" i="7"/>
  <c r="AG65" i="7"/>
  <c r="AH26" i="7"/>
  <c r="AH64" i="7"/>
  <c r="AI25" i="7"/>
  <c r="AI63" i="7"/>
  <c r="P100" i="7"/>
  <c r="P62" i="7"/>
  <c r="P119" i="7" s="1"/>
  <c r="V94" i="7"/>
  <c r="V56" i="7"/>
  <c r="V113" i="7" s="1"/>
  <c r="Q99" i="7"/>
  <c r="Q61" i="7"/>
  <c r="Q118" i="7" s="1"/>
  <c r="R98" i="7"/>
  <c r="R60" i="7"/>
  <c r="R117" i="7" s="1"/>
  <c r="T96" i="7"/>
  <c r="T58" i="7"/>
  <c r="T115" i="7" s="1"/>
  <c r="U95" i="7"/>
  <c r="U57" i="7"/>
  <c r="U114" i="7" s="1"/>
  <c r="AA89" i="7"/>
  <c r="AA51" i="7"/>
  <c r="AA108" i="7" s="1"/>
  <c r="W93" i="7"/>
  <c r="W55" i="7"/>
  <c r="W112" i="7" s="1"/>
  <c r="X92" i="7"/>
  <c r="X54" i="7"/>
  <c r="X111" i="7" s="1"/>
  <c r="Y91" i="7"/>
  <c r="Y53" i="7"/>
  <c r="Y110" i="7" s="1"/>
  <c r="Z90" i="7"/>
  <c r="Z52" i="7"/>
  <c r="Z109" i="7" s="1"/>
  <c r="S59" i="7"/>
  <c r="S116" i="7" s="1"/>
  <c r="S97" i="7"/>
  <c r="V38" i="7"/>
  <c r="V76" i="7"/>
  <c r="Q43" i="7"/>
  <c r="Q81" i="7"/>
  <c r="AA33" i="7"/>
  <c r="AA71" i="7"/>
  <c r="W37" i="7"/>
  <c r="W75" i="7"/>
  <c r="X36" i="7"/>
  <c r="X74" i="7"/>
  <c r="Y35" i="7"/>
  <c r="Y73" i="7"/>
  <c r="Z34" i="7"/>
  <c r="Z72" i="7"/>
  <c r="S41" i="7"/>
  <c r="S23" i="7"/>
  <c r="S80" i="7" s="1"/>
  <c r="R42" i="7"/>
  <c r="R24" i="7"/>
  <c r="T40" i="7"/>
  <c r="T22" i="7"/>
  <c r="T79" i="7" s="1"/>
  <c r="U39" i="7"/>
  <c r="U21" i="7"/>
  <c r="U78" i="7" s="1"/>
  <c r="V20" i="7"/>
  <c r="AA15" i="7"/>
  <c r="AA72" i="7" s="1"/>
  <c r="AB14" i="7"/>
  <c r="AC13" i="7"/>
  <c r="AF10" i="7"/>
  <c r="W19" i="7"/>
  <c r="X18" i="7"/>
  <c r="Y17" i="7"/>
  <c r="Z16" i="7"/>
  <c r="AD12" i="7"/>
  <c r="AE11" i="7"/>
  <c r="AG9" i="7"/>
  <c r="AH8" i="7"/>
  <c r="AI7" i="7"/>
  <c r="AJ6" i="7"/>
  <c r="AB89" i="7" l="1"/>
  <c r="AB51" i="7"/>
  <c r="AB108" i="7" s="1"/>
  <c r="AC88" i="7"/>
  <c r="AC50" i="7"/>
  <c r="AC107" i="7" s="1"/>
  <c r="AF85" i="7"/>
  <c r="AF47" i="7"/>
  <c r="AF104" i="7" s="1"/>
  <c r="AD87" i="7"/>
  <c r="AD49" i="7"/>
  <c r="AD106" i="7" s="1"/>
  <c r="AE86" i="7"/>
  <c r="AE48" i="7"/>
  <c r="AE105" i="7" s="1"/>
  <c r="AG84" i="7"/>
  <c r="AG46" i="7"/>
  <c r="AG103" i="7" s="1"/>
  <c r="AH83" i="7"/>
  <c r="AH45" i="7"/>
  <c r="AH102" i="7" s="1"/>
  <c r="AI82" i="7"/>
  <c r="AI44" i="7"/>
  <c r="AI101" i="7" s="1"/>
  <c r="AB33" i="7"/>
  <c r="AB71" i="7"/>
  <c r="AC32" i="7"/>
  <c r="AC70" i="7"/>
  <c r="AF29" i="7"/>
  <c r="AF67" i="7"/>
  <c r="AD31" i="7"/>
  <c r="AD69" i="7"/>
  <c r="AE30" i="7"/>
  <c r="AE68" i="7"/>
  <c r="AG28" i="7"/>
  <c r="AG66" i="7"/>
  <c r="AH27" i="7"/>
  <c r="AH65" i="7"/>
  <c r="AI26" i="7"/>
  <c r="AI64" i="7"/>
  <c r="AJ25" i="7"/>
  <c r="AJ63" i="7"/>
  <c r="V95" i="7"/>
  <c r="V57" i="7"/>
  <c r="V114" i="7" s="1"/>
  <c r="Q100" i="7"/>
  <c r="Q62" i="7"/>
  <c r="Q119" i="7" s="1"/>
  <c r="AA90" i="7"/>
  <c r="AA52" i="7"/>
  <c r="AA109" i="7" s="1"/>
  <c r="W94" i="7"/>
  <c r="W56" i="7"/>
  <c r="W113" i="7" s="1"/>
  <c r="X93" i="7"/>
  <c r="X55" i="7"/>
  <c r="X112" i="7" s="1"/>
  <c r="Y92" i="7"/>
  <c r="Y54" i="7"/>
  <c r="Y111" i="7" s="1"/>
  <c r="Z91" i="7"/>
  <c r="Z53" i="7"/>
  <c r="Z110" i="7" s="1"/>
  <c r="S60" i="7"/>
  <c r="S117" i="7" s="1"/>
  <c r="S98" i="7"/>
  <c r="R61" i="7"/>
  <c r="R118" i="7" s="1"/>
  <c r="R99" i="7"/>
  <c r="R43" i="7"/>
  <c r="R81" i="7"/>
  <c r="T59" i="7"/>
  <c r="T116" i="7" s="1"/>
  <c r="T97" i="7"/>
  <c r="U58" i="7"/>
  <c r="U115" i="7" s="1"/>
  <c r="U96" i="7"/>
  <c r="V39" i="7"/>
  <c r="V77" i="7"/>
  <c r="W38" i="7"/>
  <c r="W76" i="7"/>
  <c r="X37" i="7"/>
  <c r="X75" i="7"/>
  <c r="Y36" i="7"/>
  <c r="Y74" i="7"/>
  <c r="Z35" i="7"/>
  <c r="Z73" i="7"/>
  <c r="S42" i="7"/>
  <c r="S24" i="7"/>
  <c r="T41" i="7"/>
  <c r="T23" i="7"/>
  <c r="T80" i="7" s="1"/>
  <c r="U40" i="7"/>
  <c r="U22" i="7"/>
  <c r="U79" i="7" s="1"/>
  <c r="AA34" i="7"/>
  <c r="AA16" i="7"/>
  <c r="AA73" i="7" s="1"/>
  <c r="V21" i="7"/>
  <c r="AC14" i="7"/>
  <c r="AB15" i="7"/>
  <c r="AF11" i="7"/>
  <c r="AI8" i="7"/>
  <c r="AD13" i="7"/>
  <c r="AG10" i="7"/>
  <c r="AH9" i="7"/>
  <c r="W20" i="7"/>
  <c r="X19" i="7"/>
  <c r="Y18" i="7"/>
  <c r="Z17" i="7"/>
  <c r="AE12" i="7"/>
  <c r="AJ7" i="7"/>
  <c r="AB90" i="7" l="1"/>
  <c r="AB52" i="7"/>
  <c r="AB109" i="7" s="1"/>
  <c r="AC89" i="7"/>
  <c r="AC51" i="7"/>
  <c r="AC108" i="7" s="1"/>
  <c r="AF86" i="7"/>
  <c r="AF48" i="7"/>
  <c r="AF105" i="7" s="1"/>
  <c r="AD88" i="7"/>
  <c r="AD50" i="7"/>
  <c r="AD107" i="7" s="1"/>
  <c r="AE87" i="7"/>
  <c r="AE49" i="7"/>
  <c r="AE106" i="7" s="1"/>
  <c r="AG85" i="7"/>
  <c r="AG47" i="7"/>
  <c r="AG104" i="7" s="1"/>
  <c r="AH84" i="7"/>
  <c r="AH46" i="7"/>
  <c r="AH103" i="7" s="1"/>
  <c r="AI83" i="7"/>
  <c r="AI45" i="7"/>
  <c r="AI102" i="7" s="1"/>
  <c r="AJ82" i="7"/>
  <c r="AJ44" i="7"/>
  <c r="AJ101" i="7" s="1"/>
  <c r="AC33" i="7"/>
  <c r="AC71" i="7"/>
  <c r="AB34" i="7"/>
  <c r="AB72" i="7"/>
  <c r="AF30" i="7"/>
  <c r="AF68" i="7"/>
  <c r="AI27" i="7"/>
  <c r="AI65" i="7"/>
  <c r="AD32" i="7"/>
  <c r="AD70" i="7"/>
  <c r="AG29" i="7"/>
  <c r="AG67" i="7"/>
  <c r="AH28" i="7"/>
  <c r="AH66" i="7"/>
  <c r="AE31" i="7"/>
  <c r="AE69" i="7"/>
  <c r="AJ26" i="7"/>
  <c r="AJ64" i="7"/>
  <c r="R100" i="7"/>
  <c r="R62" i="7"/>
  <c r="R119" i="7" s="1"/>
  <c r="V96" i="7"/>
  <c r="V58" i="7"/>
  <c r="V115" i="7" s="1"/>
  <c r="W95" i="7"/>
  <c r="W57" i="7"/>
  <c r="W114" i="7" s="1"/>
  <c r="X94" i="7"/>
  <c r="X56" i="7"/>
  <c r="X113" i="7" s="1"/>
  <c r="Y93" i="7"/>
  <c r="Y55" i="7"/>
  <c r="Y112" i="7" s="1"/>
  <c r="Z92" i="7"/>
  <c r="Z54" i="7"/>
  <c r="Z111" i="7" s="1"/>
  <c r="S61" i="7"/>
  <c r="S118" i="7" s="1"/>
  <c r="S99" i="7"/>
  <c r="S43" i="7"/>
  <c r="S81" i="7"/>
  <c r="T60" i="7"/>
  <c r="T117" i="7" s="1"/>
  <c r="T98" i="7"/>
  <c r="U59" i="7"/>
  <c r="U116" i="7" s="1"/>
  <c r="U97" i="7"/>
  <c r="AA53" i="7"/>
  <c r="AA110" i="7" s="1"/>
  <c r="AA91" i="7"/>
  <c r="V40" i="7"/>
  <c r="V78" i="7"/>
  <c r="W39" i="7"/>
  <c r="W77" i="7"/>
  <c r="X38" i="7"/>
  <c r="X76" i="7"/>
  <c r="Y37" i="7"/>
  <c r="Y75" i="7"/>
  <c r="Z36" i="7"/>
  <c r="Z74" i="7"/>
  <c r="T42" i="7"/>
  <c r="T24" i="7"/>
  <c r="U41" i="7"/>
  <c r="U23" i="7"/>
  <c r="U80" i="7" s="1"/>
  <c r="AA35" i="7"/>
  <c r="AA17" i="7"/>
  <c r="AA74" i="7" s="1"/>
  <c r="V22" i="7"/>
  <c r="V79" i="7" s="1"/>
  <c r="AC15" i="7"/>
  <c r="AC72" i="7" s="1"/>
  <c r="AB16" i="7"/>
  <c r="AD14" i="7"/>
  <c r="AF12" i="7"/>
  <c r="AH10" i="7"/>
  <c r="AE13" i="7"/>
  <c r="AI9" i="7"/>
  <c r="AG11" i="7"/>
  <c r="W21" i="7"/>
  <c r="X20" i="7"/>
  <c r="Y19" i="7"/>
  <c r="Z18" i="7"/>
  <c r="AJ8" i="7"/>
  <c r="AC90" i="7" l="1"/>
  <c r="AC52" i="7"/>
  <c r="AC109" i="7" s="1"/>
  <c r="AB91" i="7"/>
  <c r="AB53" i="7"/>
  <c r="AB110" i="7" s="1"/>
  <c r="AF87" i="7"/>
  <c r="AF49" i="7"/>
  <c r="AF106" i="7" s="1"/>
  <c r="AI84" i="7"/>
  <c r="AI46" i="7"/>
  <c r="AI103" i="7" s="1"/>
  <c r="AD89" i="7"/>
  <c r="AD51" i="7"/>
  <c r="AD108" i="7" s="1"/>
  <c r="AG86" i="7"/>
  <c r="AG48" i="7"/>
  <c r="AG105" i="7" s="1"/>
  <c r="AH85" i="7"/>
  <c r="AH47" i="7"/>
  <c r="AH104" i="7" s="1"/>
  <c r="AE88" i="7"/>
  <c r="AE50" i="7"/>
  <c r="AE107" i="7" s="1"/>
  <c r="AJ83" i="7"/>
  <c r="AJ45" i="7"/>
  <c r="AJ102" i="7" s="1"/>
  <c r="AB35" i="7"/>
  <c r="AB73" i="7"/>
  <c r="AD33" i="7"/>
  <c r="AD71" i="7"/>
  <c r="AF31" i="7"/>
  <c r="AF69" i="7"/>
  <c r="AH29" i="7"/>
  <c r="AH67" i="7"/>
  <c r="AE32" i="7"/>
  <c r="AE70" i="7"/>
  <c r="AI28" i="7"/>
  <c r="AI66" i="7"/>
  <c r="AG30" i="7"/>
  <c r="AG68" i="7"/>
  <c r="AJ27" i="7"/>
  <c r="AJ65" i="7"/>
  <c r="S100" i="7"/>
  <c r="S62" i="7"/>
  <c r="S119" i="7" s="1"/>
  <c r="V97" i="7"/>
  <c r="V59" i="7"/>
  <c r="V116" i="7" s="1"/>
  <c r="W96" i="7"/>
  <c r="W58" i="7"/>
  <c r="W115" i="7" s="1"/>
  <c r="X95" i="7"/>
  <c r="X57" i="7"/>
  <c r="X114" i="7" s="1"/>
  <c r="Y94" i="7"/>
  <c r="Y56" i="7"/>
  <c r="Y113" i="7" s="1"/>
  <c r="Z93" i="7"/>
  <c r="Z55" i="7"/>
  <c r="Z112" i="7" s="1"/>
  <c r="T61" i="7"/>
  <c r="T118" i="7" s="1"/>
  <c r="T99" i="7"/>
  <c r="T43" i="7"/>
  <c r="T81" i="7"/>
  <c r="U60" i="7"/>
  <c r="U117" i="7" s="1"/>
  <c r="U98" i="7"/>
  <c r="AA54" i="7"/>
  <c r="AA111" i="7" s="1"/>
  <c r="AA92" i="7"/>
  <c r="W40" i="7"/>
  <c r="W78" i="7"/>
  <c r="X39" i="7"/>
  <c r="X77" i="7"/>
  <c r="Y38" i="7"/>
  <c r="Y76" i="7"/>
  <c r="Z37" i="7"/>
  <c r="Z75" i="7"/>
  <c r="U42" i="7"/>
  <c r="U24" i="7"/>
  <c r="AA36" i="7"/>
  <c r="AA18" i="7"/>
  <c r="AA75" i="7" s="1"/>
  <c r="V23" i="7"/>
  <c r="V80" i="7" s="1"/>
  <c r="V41" i="7"/>
  <c r="AC16" i="7"/>
  <c r="AC73" i="7" s="1"/>
  <c r="AC34" i="7"/>
  <c r="AB17" i="7"/>
  <c r="AD15" i="7"/>
  <c r="AH11" i="7"/>
  <c r="AF13" i="7"/>
  <c r="AE14" i="7"/>
  <c r="AI10" i="7"/>
  <c r="AG12" i="7"/>
  <c r="W22" i="7"/>
  <c r="X21" i="7"/>
  <c r="Y20" i="7"/>
  <c r="Z19" i="7"/>
  <c r="AJ9" i="7"/>
  <c r="AB92" i="7" l="1"/>
  <c r="AB54" i="7"/>
  <c r="AB111" i="7" s="1"/>
  <c r="AD90" i="7"/>
  <c r="AD52" i="7"/>
  <c r="AD109" i="7" s="1"/>
  <c r="AF88" i="7"/>
  <c r="AF50" i="7"/>
  <c r="AF107" i="7" s="1"/>
  <c r="AH86" i="7"/>
  <c r="AH48" i="7"/>
  <c r="AH105" i="7" s="1"/>
  <c r="AE89" i="7"/>
  <c r="AE51" i="7"/>
  <c r="AE108" i="7" s="1"/>
  <c r="AI85" i="7"/>
  <c r="AI47" i="7"/>
  <c r="AI104" i="7" s="1"/>
  <c r="AG87" i="7"/>
  <c r="AG49" i="7"/>
  <c r="AG106" i="7" s="1"/>
  <c r="AJ84" i="7"/>
  <c r="AJ46" i="7"/>
  <c r="AJ103" i="7" s="1"/>
  <c r="AC53" i="7"/>
  <c r="AC110" i="7" s="1"/>
  <c r="AC91" i="7"/>
  <c r="AB36" i="7"/>
  <c r="AB74" i="7"/>
  <c r="AD34" i="7"/>
  <c r="AD72" i="7"/>
  <c r="AH30" i="7"/>
  <c r="AH68" i="7"/>
  <c r="AF32" i="7"/>
  <c r="AF70" i="7"/>
  <c r="AE33" i="7"/>
  <c r="AE71" i="7"/>
  <c r="AI29" i="7"/>
  <c r="AI67" i="7"/>
  <c r="AG31" i="7"/>
  <c r="AG69" i="7"/>
  <c r="AJ28" i="7"/>
  <c r="AJ66" i="7"/>
  <c r="T100" i="7"/>
  <c r="T62" i="7"/>
  <c r="T119" i="7" s="1"/>
  <c r="W97" i="7"/>
  <c r="W59" i="7"/>
  <c r="W116" i="7" s="1"/>
  <c r="X96" i="7"/>
  <c r="X58" i="7"/>
  <c r="X115" i="7" s="1"/>
  <c r="Y95" i="7"/>
  <c r="Y57" i="7"/>
  <c r="Y114" i="7" s="1"/>
  <c r="Z94" i="7"/>
  <c r="Z56" i="7"/>
  <c r="Z113" i="7" s="1"/>
  <c r="U61" i="7"/>
  <c r="U118" i="7" s="1"/>
  <c r="U99" i="7"/>
  <c r="U43" i="7"/>
  <c r="U81" i="7"/>
  <c r="AA55" i="7"/>
  <c r="AA112" i="7" s="1"/>
  <c r="AA93" i="7"/>
  <c r="V60" i="7"/>
  <c r="V117" i="7" s="1"/>
  <c r="V98" i="7"/>
  <c r="W41" i="7"/>
  <c r="W79" i="7"/>
  <c r="X40" i="7"/>
  <c r="X78" i="7"/>
  <c r="Y39" i="7"/>
  <c r="Y77" i="7"/>
  <c r="Z38" i="7"/>
  <c r="Z76" i="7"/>
  <c r="AA37" i="7"/>
  <c r="AA19" i="7"/>
  <c r="AA76" i="7" s="1"/>
  <c r="V42" i="7"/>
  <c r="V24" i="7"/>
  <c r="AC35" i="7"/>
  <c r="AC17" i="7"/>
  <c r="AC74" i="7" s="1"/>
  <c r="AB18" i="7"/>
  <c r="AE15" i="7"/>
  <c r="AD16" i="7"/>
  <c r="AH12" i="7"/>
  <c r="AF14" i="7"/>
  <c r="AI11" i="7"/>
  <c r="AG13" i="7"/>
  <c r="W23" i="7"/>
  <c r="X22" i="7"/>
  <c r="Y21" i="7"/>
  <c r="Z20" i="7"/>
  <c r="AJ10" i="7"/>
  <c r="AB93" i="7" l="1"/>
  <c r="AB55" i="7"/>
  <c r="AB112" i="7" s="1"/>
  <c r="AD91" i="7"/>
  <c r="AD53" i="7"/>
  <c r="AD110" i="7" s="1"/>
  <c r="AH87" i="7"/>
  <c r="AH49" i="7"/>
  <c r="AH106" i="7" s="1"/>
  <c r="AF89" i="7"/>
  <c r="AF51" i="7"/>
  <c r="AF108" i="7" s="1"/>
  <c r="AE90" i="7"/>
  <c r="AE52" i="7"/>
  <c r="AE109" i="7" s="1"/>
  <c r="AI86" i="7"/>
  <c r="AI48" i="7"/>
  <c r="AI105" i="7" s="1"/>
  <c r="AG88" i="7"/>
  <c r="AG50" i="7"/>
  <c r="AG107" i="7" s="1"/>
  <c r="AJ85" i="7"/>
  <c r="AJ47" i="7"/>
  <c r="AJ104" i="7" s="1"/>
  <c r="AC54" i="7"/>
  <c r="AC111" i="7" s="1"/>
  <c r="AC92" i="7"/>
  <c r="AB37" i="7"/>
  <c r="AB75" i="7"/>
  <c r="AE34" i="7"/>
  <c r="AE72" i="7"/>
  <c r="AD35" i="7"/>
  <c r="AD73" i="7"/>
  <c r="AH31" i="7"/>
  <c r="AH69" i="7"/>
  <c r="AF33" i="7"/>
  <c r="AF71" i="7"/>
  <c r="AI30" i="7"/>
  <c r="AI68" i="7"/>
  <c r="AG32" i="7"/>
  <c r="AG70" i="7"/>
  <c r="AJ29" i="7"/>
  <c r="AJ67" i="7"/>
  <c r="U100" i="7"/>
  <c r="U62" i="7"/>
  <c r="U119" i="7" s="1"/>
  <c r="W98" i="7"/>
  <c r="W60" i="7"/>
  <c r="W117" i="7" s="1"/>
  <c r="X97" i="7"/>
  <c r="X59" i="7"/>
  <c r="X116" i="7" s="1"/>
  <c r="Y96" i="7"/>
  <c r="Y58" i="7"/>
  <c r="Y115" i="7" s="1"/>
  <c r="Z95" i="7"/>
  <c r="Z57" i="7"/>
  <c r="Z114" i="7" s="1"/>
  <c r="AA56" i="7"/>
  <c r="AA113" i="7" s="1"/>
  <c r="AA94" i="7"/>
  <c r="V61" i="7"/>
  <c r="V118" i="7" s="1"/>
  <c r="V99" i="7"/>
  <c r="V43" i="7"/>
  <c r="V81" i="7"/>
  <c r="W42" i="7"/>
  <c r="W80" i="7"/>
  <c r="X41" i="7"/>
  <c r="X79" i="7"/>
  <c r="Y40" i="7"/>
  <c r="Y78" i="7"/>
  <c r="Z39" i="7"/>
  <c r="Z77" i="7"/>
  <c r="AA38" i="7"/>
  <c r="AA20" i="7"/>
  <c r="AA77" i="7" s="1"/>
  <c r="AC36" i="7"/>
  <c r="AC18" i="7"/>
  <c r="AC75" i="7" s="1"/>
  <c r="AB19" i="7"/>
  <c r="AE16" i="7"/>
  <c r="AD17" i="7"/>
  <c r="AH13" i="7"/>
  <c r="AF15" i="7"/>
  <c r="AI12" i="7"/>
  <c r="Y22" i="7"/>
  <c r="AG14" i="7"/>
  <c r="Z21" i="7"/>
  <c r="W24" i="7"/>
  <c r="X23" i="7"/>
  <c r="AJ11" i="7"/>
  <c r="AB94" i="7" l="1"/>
  <c r="AB56" i="7"/>
  <c r="AB113" i="7" s="1"/>
  <c r="AE91" i="7"/>
  <c r="AE53" i="7"/>
  <c r="AE110" i="7" s="1"/>
  <c r="AD92" i="7"/>
  <c r="AD54" i="7"/>
  <c r="AD111" i="7" s="1"/>
  <c r="AH88" i="7"/>
  <c r="AH50" i="7"/>
  <c r="AH107" i="7" s="1"/>
  <c r="AF90" i="7"/>
  <c r="AF52" i="7"/>
  <c r="AF109" i="7" s="1"/>
  <c r="AI87" i="7"/>
  <c r="AI49" i="7"/>
  <c r="AI106" i="7" s="1"/>
  <c r="AG89" i="7"/>
  <c r="AG51" i="7"/>
  <c r="AG108" i="7" s="1"/>
  <c r="AJ86" i="7"/>
  <c r="AJ48" i="7"/>
  <c r="AJ105" i="7" s="1"/>
  <c r="AC55" i="7"/>
  <c r="AC112" i="7" s="1"/>
  <c r="AC93" i="7"/>
  <c r="AB38" i="7"/>
  <c r="AB76" i="7"/>
  <c r="AE35" i="7"/>
  <c r="AE73" i="7"/>
  <c r="AD36" i="7"/>
  <c r="AD74" i="7"/>
  <c r="AH32" i="7"/>
  <c r="AH70" i="7"/>
  <c r="AF34" i="7"/>
  <c r="AF72" i="7"/>
  <c r="AI31" i="7"/>
  <c r="AI69" i="7"/>
  <c r="AG33" i="7"/>
  <c r="AG71" i="7"/>
  <c r="AJ30" i="7"/>
  <c r="AJ68" i="7"/>
  <c r="V100" i="7"/>
  <c r="V62" i="7"/>
  <c r="V119" i="7" s="1"/>
  <c r="W99" i="7"/>
  <c r="W61" i="7"/>
  <c r="W118" i="7" s="1"/>
  <c r="X98" i="7"/>
  <c r="X60" i="7"/>
  <c r="X117" i="7" s="1"/>
  <c r="Y97" i="7"/>
  <c r="Y59" i="7"/>
  <c r="Y116" i="7" s="1"/>
  <c r="Z96" i="7"/>
  <c r="Z58" i="7"/>
  <c r="Z115" i="7" s="1"/>
  <c r="AA57" i="7"/>
  <c r="AA114" i="7" s="1"/>
  <c r="AA95" i="7"/>
  <c r="Y41" i="7"/>
  <c r="Y79" i="7"/>
  <c r="Z40" i="7"/>
  <c r="Z78" i="7"/>
  <c r="W43" i="7"/>
  <c r="W81" i="7"/>
  <c r="X42" i="7"/>
  <c r="X80" i="7"/>
  <c r="AA39" i="7"/>
  <c r="AA21" i="7"/>
  <c r="AA78" i="7" s="1"/>
  <c r="AC37" i="7"/>
  <c r="AC19" i="7"/>
  <c r="AC76" i="7" s="1"/>
  <c r="AB20" i="7"/>
  <c r="AB77" i="7" s="1"/>
  <c r="AE17" i="7"/>
  <c r="AE74" i="7" s="1"/>
  <c r="AD18" i="7"/>
  <c r="AH14" i="7"/>
  <c r="AF16" i="7"/>
  <c r="AI13" i="7"/>
  <c r="Y23" i="7"/>
  <c r="Z22" i="7"/>
  <c r="AG15" i="7"/>
  <c r="X24" i="7"/>
  <c r="AJ12" i="7"/>
  <c r="AB95" i="7" l="1"/>
  <c r="AB57" i="7"/>
  <c r="AB114" i="7" s="1"/>
  <c r="AE92" i="7"/>
  <c r="AE54" i="7"/>
  <c r="AE111" i="7" s="1"/>
  <c r="AD93" i="7"/>
  <c r="AD55" i="7"/>
  <c r="AD112" i="7" s="1"/>
  <c r="AH89" i="7"/>
  <c r="AH51" i="7"/>
  <c r="AH108" i="7" s="1"/>
  <c r="AF91" i="7"/>
  <c r="AF53" i="7"/>
  <c r="AF110" i="7" s="1"/>
  <c r="AI88" i="7"/>
  <c r="AI50" i="7"/>
  <c r="AI107" i="7" s="1"/>
  <c r="AG90" i="7"/>
  <c r="AG52" i="7"/>
  <c r="AG109" i="7" s="1"/>
  <c r="AJ87" i="7"/>
  <c r="AJ49" i="7"/>
  <c r="AJ106" i="7" s="1"/>
  <c r="AC56" i="7"/>
  <c r="AC113" i="7" s="1"/>
  <c r="AC94" i="7"/>
  <c r="AD37" i="7"/>
  <c r="AD75" i="7"/>
  <c r="AH33" i="7"/>
  <c r="AH71" i="7"/>
  <c r="AF35" i="7"/>
  <c r="AF73" i="7"/>
  <c r="AI32" i="7"/>
  <c r="AI70" i="7"/>
  <c r="AG34" i="7"/>
  <c r="AG72" i="7"/>
  <c r="AJ31" i="7"/>
  <c r="AJ69" i="7"/>
  <c r="Y98" i="7"/>
  <c r="Y60" i="7"/>
  <c r="Y117" i="7" s="1"/>
  <c r="Z97" i="7"/>
  <c r="Z59" i="7"/>
  <c r="Z116" i="7" s="1"/>
  <c r="W100" i="7"/>
  <c r="W62" i="7"/>
  <c r="W119" i="7" s="1"/>
  <c r="X99" i="7"/>
  <c r="X61" i="7"/>
  <c r="X118" i="7" s="1"/>
  <c r="AA58" i="7"/>
  <c r="AA115" i="7" s="1"/>
  <c r="AA96" i="7"/>
  <c r="Y42" i="7"/>
  <c r="Y80" i="7"/>
  <c r="Z41" i="7"/>
  <c r="Z79" i="7"/>
  <c r="X43" i="7"/>
  <c r="X81" i="7"/>
  <c r="AA40" i="7"/>
  <c r="AA22" i="7"/>
  <c r="AA79" i="7" s="1"/>
  <c r="AC38" i="7"/>
  <c r="AC20" i="7"/>
  <c r="AC77" i="7" s="1"/>
  <c r="AB21" i="7"/>
  <c r="AB78" i="7" s="1"/>
  <c r="AB39" i="7"/>
  <c r="AE18" i="7"/>
  <c r="AE75" i="7" s="1"/>
  <c r="AE36" i="7"/>
  <c r="AD19" i="7"/>
  <c r="AF17" i="7"/>
  <c r="AI14" i="7"/>
  <c r="Y24" i="7"/>
  <c r="AH15" i="7"/>
  <c r="Z23" i="7"/>
  <c r="AG16" i="7"/>
  <c r="AJ13" i="7"/>
  <c r="AD94" i="7" l="1"/>
  <c r="AD56" i="7"/>
  <c r="AD113" i="7" s="1"/>
  <c r="AH90" i="7"/>
  <c r="AH52" i="7"/>
  <c r="AH109" i="7" s="1"/>
  <c r="AF92" i="7"/>
  <c r="AF54" i="7"/>
  <c r="AF111" i="7" s="1"/>
  <c r="AI89" i="7"/>
  <c r="AI51" i="7"/>
  <c r="AI108" i="7" s="1"/>
  <c r="AG91" i="7"/>
  <c r="AG53" i="7"/>
  <c r="AG110" i="7" s="1"/>
  <c r="AJ88" i="7"/>
  <c r="AJ50" i="7"/>
  <c r="AJ107" i="7" s="1"/>
  <c r="AC57" i="7"/>
  <c r="AC114" i="7" s="1"/>
  <c r="AC95" i="7"/>
  <c r="AB58" i="7"/>
  <c r="AB115" i="7" s="1"/>
  <c r="AB96" i="7"/>
  <c r="AE55" i="7"/>
  <c r="AE112" i="7" s="1"/>
  <c r="AE93" i="7"/>
  <c r="AD38" i="7"/>
  <c r="AD76" i="7"/>
  <c r="AF36" i="7"/>
  <c r="AF74" i="7"/>
  <c r="AI33" i="7"/>
  <c r="AI71" i="7"/>
  <c r="AH34" i="7"/>
  <c r="AH72" i="7"/>
  <c r="AG35" i="7"/>
  <c r="AG73" i="7"/>
  <c r="AJ32" i="7"/>
  <c r="AJ70" i="7"/>
  <c r="Y99" i="7"/>
  <c r="Y61" i="7"/>
  <c r="Y118" i="7" s="1"/>
  <c r="Z98" i="7"/>
  <c r="Z60" i="7"/>
  <c r="Z117" i="7" s="1"/>
  <c r="X100" i="7"/>
  <c r="X62" i="7"/>
  <c r="X119" i="7" s="1"/>
  <c r="AA59" i="7"/>
  <c r="AA116" i="7" s="1"/>
  <c r="AA97" i="7"/>
  <c r="Y43" i="7"/>
  <c r="Y81" i="7"/>
  <c r="Z42" i="7"/>
  <c r="Z80" i="7"/>
  <c r="AA41" i="7"/>
  <c r="AA23" i="7"/>
  <c r="AA80" i="7" s="1"/>
  <c r="AC39" i="7"/>
  <c r="AC21" i="7"/>
  <c r="AC78" i="7" s="1"/>
  <c r="AB40" i="7"/>
  <c r="AB22" i="7"/>
  <c r="AB79" i="7" s="1"/>
  <c r="AE37" i="7"/>
  <c r="AE19" i="7"/>
  <c r="AE76" i="7" s="1"/>
  <c r="AD20" i="7"/>
  <c r="AD77" i="7" s="1"/>
  <c r="AF18" i="7"/>
  <c r="AF75" i="7" s="1"/>
  <c r="AG17" i="7"/>
  <c r="AG74" i="7" s="1"/>
  <c r="AI15" i="7"/>
  <c r="AH16" i="7"/>
  <c r="Z24" i="7"/>
  <c r="AJ14" i="7"/>
  <c r="AD95" i="7" l="1"/>
  <c r="AD57" i="7"/>
  <c r="AD114" i="7" s="1"/>
  <c r="AF93" i="7"/>
  <c r="AF55" i="7"/>
  <c r="AF112" i="7" s="1"/>
  <c r="AI90" i="7"/>
  <c r="AI52" i="7"/>
  <c r="AI109" i="7" s="1"/>
  <c r="AH91" i="7"/>
  <c r="AH53" i="7"/>
  <c r="AH110" i="7" s="1"/>
  <c r="AG92" i="7"/>
  <c r="AG54" i="7"/>
  <c r="AG111" i="7" s="1"/>
  <c r="AJ89" i="7"/>
  <c r="AJ51" i="7"/>
  <c r="AJ108" i="7" s="1"/>
  <c r="AC58" i="7"/>
  <c r="AC115" i="7" s="1"/>
  <c r="AC96" i="7"/>
  <c r="AB59" i="7"/>
  <c r="AB116" i="7" s="1"/>
  <c r="AB97" i="7"/>
  <c r="AE56" i="7"/>
  <c r="AE113" i="7" s="1"/>
  <c r="AE94" i="7"/>
  <c r="AI34" i="7"/>
  <c r="AI72" i="7"/>
  <c r="AH35" i="7"/>
  <c r="AH73" i="7"/>
  <c r="AJ33" i="7"/>
  <c r="AJ71" i="7"/>
  <c r="Y100" i="7"/>
  <c r="Y62" i="7"/>
  <c r="Y119" i="7" s="1"/>
  <c r="Z99" i="7"/>
  <c r="Z61" i="7"/>
  <c r="Z118" i="7" s="1"/>
  <c r="AA60" i="7"/>
  <c r="AA117" i="7" s="1"/>
  <c r="AA98" i="7"/>
  <c r="Z43" i="7"/>
  <c r="Z81" i="7"/>
  <c r="AA42" i="7"/>
  <c r="AA24" i="7"/>
  <c r="AC40" i="7"/>
  <c r="AC22" i="7"/>
  <c r="AC79" i="7" s="1"/>
  <c r="AB41" i="7"/>
  <c r="AB23" i="7"/>
  <c r="AB80" i="7" s="1"/>
  <c r="AG36" i="7"/>
  <c r="AG18" i="7"/>
  <c r="AG75" i="7" s="1"/>
  <c r="AE38" i="7"/>
  <c r="AE20" i="7"/>
  <c r="AE77" i="7" s="1"/>
  <c r="AD21" i="7"/>
  <c r="AD78" i="7" s="1"/>
  <c r="AD39" i="7"/>
  <c r="AF19" i="7"/>
  <c r="AF76" i="7" s="1"/>
  <c r="AF37" i="7"/>
  <c r="AI16" i="7"/>
  <c r="AH17" i="7"/>
  <c r="AJ15" i="7"/>
  <c r="AI91" i="7" l="1"/>
  <c r="AI53" i="7"/>
  <c r="AI110" i="7" s="1"/>
  <c r="AH92" i="7"/>
  <c r="AH54" i="7"/>
  <c r="AH111" i="7" s="1"/>
  <c r="AJ90" i="7"/>
  <c r="AJ52" i="7"/>
  <c r="AJ109" i="7" s="1"/>
  <c r="AC59" i="7"/>
  <c r="AC116" i="7" s="1"/>
  <c r="AC97" i="7"/>
  <c r="AB60" i="7"/>
  <c r="AB117" i="7" s="1"/>
  <c r="AB98" i="7"/>
  <c r="AG55" i="7"/>
  <c r="AG112" i="7" s="1"/>
  <c r="AG93" i="7"/>
  <c r="AE57" i="7"/>
  <c r="AE114" i="7" s="1"/>
  <c r="AE95" i="7"/>
  <c r="AD58" i="7"/>
  <c r="AD115" i="7" s="1"/>
  <c r="AD96" i="7"/>
  <c r="AF56" i="7"/>
  <c r="AF113" i="7" s="1"/>
  <c r="AF94" i="7"/>
  <c r="AI35" i="7"/>
  <c r="AI73" i="7"/>
  <c r="AH36" i="7"/>
  <c r="AH74" i="7"/>
  <c r="AJ34" i="7"/>
  <c r="AJ72" i="7"/>
  <c r="Z100" i="7"/>
  <c r="Z62" i="7"/>
  <c r="Z119" i="7" s="1"/>
  <c r="AA61" i="7"/>
  <c r="AA118" i="7" s="1"/>
  <c r="AA99" i="7"/>
  <c r="AA43" i="7"/>
  <c r="AA81" i="7"/>
  <c r="AB42" i="7"/>
  <c r="AB24" i="7"/>
  <c r="AG37" i="7"/>
  <c r="AG19" i="7"/>
  <c r="AG76" i="7" s="1"/>
  <c r="AC41" i="7"/>
  <c r="AC23" i="7"/>
  <c r="AC80" i="7" s="1"/>
  <c r="AE39" i="7"/>
  <c r="AE21" i="7"/>
  <c r="AE78" i="7" s="1"/>
  <c r="AD40" i="7"/>
  <c r="AD22" i="7"/>
  <c r="AD79" i="7" s="1"/>
  <c r="AF38" i="7"/>
  <c r="AF20" i="7"/>
  <c r="AF77" i="7" s="1"/>
  <c r="AI17" i="7"/>
  <c r="AH18" i="7"/>
  <c r="AJ16" i="7"/>
  <c r="AI92" i="7" l="1"/>
  <c r="AI54" i="7"/>
  <c r="AI111" i="7" s="1"/>
  <c r="AH93" i="7"/>
  <c r="AH55" i="7"/>
  <c r="AH112" i="7" s="1"/>
  <c r="AJ91" i="7"/>
  <c r="AJ53" i="7"/>
  <c r="AJ110" i="7" s="1"/>
  <c r="AB61" i="7"/>
  <c r="AB118" i="7" s="1"/>
  <c r="AB99" i="7"/>
  <c r="AB43" i="7"/>
  <c r="AB81" i="7"/>
  <c r="AG56" i="7"/>
  <c r="AG113" i="7" s="1"/>
  <c r="AG94" i="7"/>
  <c r="AC60" i="7"/>
  <c r="AC117" i="7" s="1"/>
  <c r="AC98" i="7"/>
  <c r="AE58" i="7"/>
  <c r="AE115" i="7" s="1"/>
  <c r="AE96" i="7"/>
  <c r="AD59" i="7"/>
  <c r="AD116" i="7" s="1"/>
  <c r="AD97" i="7"/>
  <c r="AF57" i="7"/>
  <c r="AF114" i="7" s="1"/>
  <c r="AF95" i="7"/>
  <c r="AI36" i="7"/>
  <c r="AI74" i="7"/>
  <c r="AH37" i="7"/>
  <c r="AH75" i="7"/>
  <c r="AJ35" i="7"/>
  <c r="AJ73" i="7"/>
  <c r="AA100" i="7"/>
  <c r="AA62" i="7"/>
  <c r="AA119" i="7" s="1"/>
  <c r="AG38" i="7"/>
  <c r="AG20" i="7"/>
  <c r="AG77" i="7" s="1"/>
  <c r="AC42" i="7"/>
  <c r="AC24" i="7"/>
  <c r="AE40" i="7"/>
  <c r="AE22" i="7"/>
  <c r="AE79" i="7" s="1"/>
  <c r="AD41" i="7"/>
  <c r="AD23" i="7"/>
  <c r="AD80" i="7" s="1"/>
  <c r="AF39" i="7"/>
  <c r="AF21" i="7"/>
  <c r="AF78" i="7" s="1"/>
  <c r="AI18" i="7"/>
  <c r="AH19" i="7"/>
  <c r="AJ17" i="7"/>
  <c r="AB100" i="7" l="1"/>
  <c r="AB62" i="7"/>
  <c r="AB119" i="7" s="1"/>
  <c r="AI93" i="7"/>
  <c r="AI55" i="7"/>
  <c r="AI112" i="7" s="1"/>
  <c r="AH94" i="7"/>
  <c r="AH56" i="7"/>
  <c r="AH113" i="7" s="1"/>
  <c r="AJ92" i="7"/>
  <c r="AJ54" i="7"/>
  <c r="AJ111" i="7" s="1"/>
  <c r="AG57" i="7"/>
  <c r="AG114" i="7" s="1"/>
  <c r="AG95" i="7"/>
  <c r="AC61" i="7"/>
  <c r="AC118" i="7" s="1"/>
  <c r="AC99" i="7"/>
  <c r="AC43" i="7"/>
  <c r="AC81" i="7"/>
  <c r="AE59" i="7"/>
  <c r="AE116" i="7" s="1"/>
  <c r="AE97" i="7"/>
  <c r="AD60" i="7"/>
  <c r="AD117" i="7" s="1"/>
  <c r="AD98" i="7"/>
  <c r="AF58" i="7"/>
  <c r="AF115" i="7" s="1"/>
  <c r="AF96" i="7"/>
  <c r="AI37" i="7"/>
  <c r="AI75" i="7"/>
  <c r="AH38" i="7"/>
  <c r="AH76" i="7"/>
  <c r="AJ36" i="7"/>
  <c r="AJ74" i="7"/>
  <c r="AG39" i="7"/>
  <c r="AG21" i="7"/>
  <c r="AG78" i="7" s="1"/>
  <c r="AE41" i="7"/>
  <c r="AE23" i="7"/>
  <c r="AE80" i="7" s="1"/>
  <c r="AD42" i="7"/>
  <c r="AD24" i="7"/>
  <c r="AF40" i="7"/>
  <c r="AF22" i="7"/>
  <c r="AF79" i="7" s="1"/>
  <c r="AI19" i="7"/>
  <c r="AH20" i="7"/>
  <c r="AJ18" i="7"/>
  <c r="AC100" i="7" l="1"/>
  <c r="AC62" i="7"/>
  <c r="AC119" i="7" s="1"/>
  <c r="AI94" i="7"/>
  <c r="AI56" i="7"/>
  <c r="AI113" i="7" s="1"/>
  <c r="AH95" i="7"/>
  <c r="AH57" i="7"/>
  <c r="AH114" i="7" s="1"/>
  <c r="AJ93" i="7"/>
  <c r="AJ55" i="7"/>
  <c r="AJ112" i="7" s="1"/>
  <c r="AG58" i="7"/>
  <c r="AG115" i="7" s="1"/>
  <c r="AG96" i="7"/>
  <c r="AE60" i="7"/>
  <c r="AE117" i="7" s="1"/>
  <c r="AE98" i="7"/>
  <c r="AD61" i="7"/>
  <c r="AD118" i="7" s="1"/>
  <c r="AD99" i="7"/>
  <c r="AD43" i="7"/>
  <c r="AD81" i="7"/>
  <c r="AF59" i="7"/>
  <c r="AF116" i="7" s="1"/>
  <c r="AF97" i="7"/>
  <c r="AI38" i="7"/>
  <c r="AI76" i="7"/>
  <c r="AH39" i="7"/>
  <c r="AH77" i="7"/>
  <c r="AJ37" i="7"/>
  <c r="AJ75" i="7"/>
  <c r="AG40" i="7"/>
  <c r="AG22" i="7"/>
  <c r="AG79" i="7" s="1"/>
  <c r="AE42" i="7"/>
  <c r="AE24" i="7"/>
  <c r="AF41" i="7"/>
  <c r="AF23" i="7"/>
  <c r="AF80" i="7" s="1"/>
  <c r="AI20" i="7"/>
  <c r="AH21" i="7"/>
  <c r="AJ19" i="7"/>
  <c r="AD100" i="7" l="1"/>
  <c r="AD62" i="7"/>
  <c r="AD119" i="7" s="1"/>
  <c r="AI95" i="7"/>
  <c r="AI57" i="7"/>
  <c r="AI114" i="7" s="1"/>
  <c r="AH96" i="7"/>
  <c r="AH58" i="7"/>
  <c r="AH115" i="7" s="1"/>
  <c r="AJ94" i="7"/>
  <c r="AJ56" i="7"/>
  <c r="AJ113" i="7" s="1"/>
  <c r="AG59" i="7"/>
  <c r="AG116" i="7" s="1"/>
  <c r="AG97" i="7"/>
  <c r="AE61" i="7"/>
  <c r="AE118" i="7" s="1"/>
  <c r="AE99" i="7"/>
  <c r="AE43" i="7"/>
  <c r="AE81" i="7"/>
  <c r="AF60" i="7"/>
  <c r="AF117" i="7" s="1"/>
  <c r="AF98" i="7"/>
  <c r="AI39" i="7"/>
  <c r="AI77" i="7"/>
  <c r="AH40" i="7"/>
  <c r="AH78" i="7"/>
  <c r="AJ38" i="7"/>
  <c r="AJ76" i="7"/>
  <c r="AG41" i="7"/>
  <c r="AG23" i="7"/>
  <c r="AG80" i="7" s="1"/>
  <c r="AF42" i="7"/>
  <c r="AF24" i="7"/>
  <c r="AI21" i="7"/>
  <c r="AH22" i="7"/>
  <c r="AH79" i="7" s="1"/>
  <c r="AJ20" i="7"/>
  <c r="AE100" i="7" l="1"/>
  <c r="AE62" i="7"/>
  <c r="AE119" i="7" s="1"/>
  <c r="AI96" i="7"/>
  <c r="AI58" i="7"/>
  <c r="AI115" i="7" s="1"/>
  <c r="AH97" i="7"/>
  <c r="AH59" i="7"/>
  <c r="AH116" i="7" s="1"/>
  <c r="AJ95" i="7"/>
  <c r="AJ57" i="7"/>
  <c r="AJ114" i="7" s="1"/>
  <c r="AG60" i="7"/>
  <c r="AG117" i="7" s="1"/>
  <c r="AG98" i="7"/>
  <c r="AF61" i="7"/>
  <c r="AF118" i="7" s="1"/>
  <c r="AF99" i="7"/>
  <c r="AF43" i="7"/>
  <c r="AF81" i="7"/>
  <c r="AI40" i="7"/>
  <c r="AI78" i="7"/>
  <c r="AJ39" i="7"/>
  <c r="AJ77" i="7"/>
  <c r="AG42" i="7"/>
  <c r="AG24" i="7"/>
  <c r="AH23" i="7"/>
  <c r="AH80" i="7" s="1"/>
  <c r="AH41" i="7"/>
  <c r="AI22" i="7"/>
  <c r="AI79" i="7" s="1"/>
  <c r="AJ21" i="7"/>
  <c r="AF100" i="7" l="1"/>
  <c r="AF62" i="7"/>
  <c r="AF119" i="7" s="1"/>
  <c r="AI97" i="7"/>
  <c r="AI59" i="7"/>
  <c r="AI116" i="7" s="1"/>
  <c r="AJ96" i="7"/>
  <c r="AJ58" i="7"/>
  <c r="AJ115" i="7" s="1"/>
  <c r="AG61" i="7"/>
  <c r="AG118" i="7" s="1"/>
  <c r="AG99" i="7"/>
  <c r="AG43" i="7"/>
  <c r="AG81" i="7"/>
  <c r="AH60" i="7"/>
  <c r="AH117" i="7" s="1"/>
  <c r="AH98" i="7"/>
  <c r="AJ40" i="7"/>
  <c r="AJ78" i="7"/>
  <c r="AH42" i="7"/>
  <c r="AH24" i="7"/>
  <c r="AI23" i="7"/>
  <c r="AI80" i="7" s="1"/>
  <c r="AI41" i="7"/>
  <c r="AJ22" i="7"/>
  <c r="AG100" i="7" l="1"/>
  <c r="AG62" i="7"/>
  <c r="AG119" i="7" s="1"/>
  <c r="AJ97" i="7"/>
  <c r="AJ59" i="7"/>
  <c r="AJ116" i="7" s="1"/>
  <c r="AH61" i="7"/>
  <c r="AH118" i="7" s="1"/>
  <c r="AH99" i="7"/>
  <c r="AH43" i="7"/>
  <c r="AH81" i="7"/>
  <c r="AI60" i="7"/>
  <c r="AI117" i="7" s="1"/>
  <c r="AI98" i="7"/>
  <c r="AJ41" i="7"/>
  <c r="AJ79" i="7"/>
  <c r="AI42" i="7"/>
  <c r="AI24" i="7"/>
  <c r="AJ23" i="7"/>
  <c r="AH100" i="7" l="1"/>
  <c r="AH62" i="7"/>
  <c r="AH119" i="7" s="1"/>
  <c r="AJ98" i="7"/>
  <c r="AJ60" i="7"/>
  <c r="AJ117" i="7" s="1"/>
  <c r="AI61" i="7"/>
  <c r="AI118" i="7" s="1"/>
  <c r="AI99" i="7"/>
  <c r="AI43" i="7"/>
  <c r="AI81" i="7"/>
  <c r="AJ42" i="7"/>
  <c r="AJ80" i="7"/>
  <c r="AJ24" i="7"/>
  <c r="AI100" i="7" l="1"/>
  <c r="AI62" i="7"/>
  <c r="AI119" i="7" s="1"/>
  <c r="AJ99" i="7"/>
  <c r="AJ61" i="7"/>
  <c r="AJ118" i="7" s="1"/>
  <c r="AJ43" i="7"/>
  <c r="AJ81" i="7"/>
  <c r="AJ100" i="7" l="1"/>
  <c r="AJ62" i="7"/>
  <c r="AJ119" i="7" s="1"/>
</calcChain>
</file>

<file path=xl/sharedStrings.xml><?xml version="1.0" encoding="utf-8"?>
<sst xmlns="http://schemas.openxmlformats.org/spreadsheetml/2006/main" count="865" uniqueCount="139">
  <si>
    <t>Obligor_RCT</t>
  </si>
  <si>
    <t>Rating_origination_obligor_FC</t>
  </si>
  <si>
    <t>Rating_origination_obligor_LC</t>
  </si>
  <si>
    <t>Rating_obligor_FC</t>
  </si>
  <si>
    <t>Rating_obligor_LC</t>
  </si>
  <si>
    <t>Contract_id</t>
  </si>
  <si>
    <t>Operation_id</t>
  </si>
  <si>
    <t>Tranch_bearer_RCT</t>
  </si>
  <si>
    <t>Tranche_type</t>
  </si>
  <si>
    <t>IFRS9_Stage</t>
  </si>
  <si>
    <t>Origin_bucket</t>
  </si>
  <si>
    <t>Exposure_start_date</t>
  </si>
  <si>
    <t>Exposure_end_date</t>
  </si>
  <si>
    <t>Contractual_client_rate</t>
  </si>
  <si>
    <t>IFRS9_PD_Model_Before_CRM</t>
  </si>
  <si>
    <t>IFRS9_PD_Model_After_CRM</t>
  </si>
  <si>
    <t>IFRS9_LGD_Model_Before_CRM</t>
  </si>
  <si>
    <t>IFRS9_LGD_Model_After_CRM</t>
  </si>
  <si>
    <t>Amortization_type</t>
  </si>
  <si>
    <t>Provisioning_basis</t>
  </si>
  <si>
    <t>Accounting_type</t>
  </si>
  <si>
    <t>As_of_date</t>
  </si>
  <si>
    <t>Inital_currency</t>
  </si>
  <si>
    <t>Product_code</t>
  </si>
  <si>
    <t>CCF</t>
  </si>
  <si>
    <t>SEGMENT</t>
  </si>
  <si>
    <t>SCENARIO</t>
  </si>
  <si>
    <t>RATING</t>
  </si>
  <si>
    <t>TIME_STEP_1</t>
  </si>
  <si>
    <t>TIME_STEP_2</t>
  </si>
  <si>
    <t>TIME_STEP_3</t>
  </si>
  <si>
    <t>TIME_STEP_4</t>
  </si>
  <si>
    <t>TIME_STEP_5</t>
  </si>
  <si>
    <t>TIME_STEP_6</t>
  </si>
  <si>
    <t>TIME_STEP_7</t>
  </si>
  <si>
    <t>TIME_STEP_8</t>
  </si>
  <si>
    <t>TIME_STEP_9</t>
  </si>
  <si>
    <t>TIME_STEP_10</t>
  </si>
  <si>
    <t>TIME_STEP_11</t>
  </si>
  <si>
    <t>TIME_STEP_12</t>
  </si>
  <si>
    <t>TIME_STEP_13</t>
  </si>
  <si>
    <t>TIME_STEP_14</t>
  </si>
  <si>
    <t>TIME_STEP_15</t>
  </si>
  <si>
    <t>TIME_STEP_16</t>
  </si>
  <si>
    <t>TIME_STEP_17</t>
  </si>
  <si>
    <t>TIME_STEP_18</t>
  </si>
  <si>
    <t>TIME_STEP_19</t>
  </si>
  <si>
    <t>TIME_STEP_20</t>
  </si>
  <si>
    <t>TIME_STEP_21</t>
  </si>
  <si>
    <t>TIME_STEP_22</t>
  </si>
  <si>
    <t>TIME_STEP_23</t>
  </si>
  <si>
    <t>TIME_STEP_24</t>
  </si>
  <si>
    <t>TIME_STEP_25</t>
  </si>
  <si>
    <t>TIME_STEP_26</t>
  </si>
  <si>
    <t>TIME_STEP_27</t>
  </si>
  <si>
    <t>TIME_STEP_28</t>
  </si>
  <si>
    <t>TIME_STEP_29</t>
  </si>
  <si>
    <t>TIME_STEP_30</t>
  </si>
  <si>
    <t>TIME_STEP_31</t>
  </si>
  <si>
    <t>TIME_STEP_32</t>
  </si>
  <si>
    <t>TIME_STEP_33</t>
  </si>
  <si>
    <t>CENTRAL</t>
  </si>
  <si>
    <t>STRESS</t>
  </si>
  <si>
    <t>A3B</t>
  </si>
  <si>
    <t>2+</t>
  </si>
  <si>
    <t>2-</t>
  </si>
  <si>
    <t>3+</t>
  </si>
  <si>
    <t>3-</t>
  </si>
  <si>
    <t>4+</t>
  </si>
  <si>
    <t>4-</t>
  </si>
  <si>
    <t>5+</t>
  </si>
  <si>
    <t>5-</t>
  </si>
  <si>
    <t>6+</t>
  </si>
  <si>
    <t>6-</t>
  </si>
  <si>
    <t>7+</t>
  </si>
  <si>
    <t>7-</t>
  </si>
  <si>
    <t>OPTIMISTE</t>
  </si>
  <si>
    <t>A4B</t>
  </si>
  <si>
    <t>IFRS9_MODEL_CODE</t>
  </si>
  <si>
    <t>LGD_RATE_WITHOUT_TIME</t>
  </si>
  <si>
    <t>MA9</t>
  </si>
  <si>
    <t>QA0</t>
  </si>
  <si>
    <t>OBLIGOR_RCT</t>
  </si>
  <si>
    <t>RATING_ORIGINATION_OBLIGOR_FOREIGN_CURRENCY</t>
  </si>
  <si>
    <t>RATING_ORIGINATION_OBLIGOR_LOCAL_CURRENCY</t>
  </si>
  <si>
    <t>RATING_OBLIGOR_FC</t>
  </si>
  <si>
    <t>RATING_OBLIGOR_LC</t>
  </si>
  <si>
    <t>CALCULATION_RATING</t>
  </si>
  <si>
    <t>CONTRACT_ID</t>
  </si>
  <si>
    <t>OPERATION_ID</t>
  </si>
  <si>
    <t>TRANCH_BEARER_RCT</t>
  </si>
  <si>
    <t>TRANCHE_TYPE</t>
  </si>
  <si>
    <t>IFRS9_BUCKET</t>
  </si>
  <si>
    <t>IFRS9_BUCKET_REASON</t>
  </si>
  <si>
    <t>EXPOSURE_START_DATE</t>
  </si>
  <si>
    <t>EXPOSURE_END_DATE</t>
  </si>
  <si>
    <t>CONTRACTUAL_CLIENT_RATE</t>
  </si>
  <si>
    <t>IFRS9_PD_MODEL_BEFORE_CRM</t>
  </si>
  <si>
    <t>IFRS9_PD_MODEL_AFTER_CRM</t>
  </si>
  <si>
    <t>IFRS9_LGD_MODEL_BEFORE_CRM</t>
  </si>
  <si>
    <t>IFRS9_LGD_MODEL_AFTER_CRM</t>
  </si>
  <si>
    <t>AMORTIZATION_TYPE</t>
  </si>
  <si>
    <t>PROVISIONING_BASIS</t>
  </si>
  <si>
    <t>ACCOUNTING_TYPE</t>
  </si>
  <si>
    <t>AS_OF_DATE</t>
  </si>
  <si>
    <t>INITAL_CURRENCY</t>
  </si>
  <si>
    <t>PRODUCT_CODE</t>
  </si>
  <si>
    <t>Description, how to</t>
  </si>
  <si>
    <t>Column name</t>
  </si>
  <si>
    <t>Example</t>
  </si>
  <si>
    <t>A1B</t>
  </si>
  <si>
    <t>A1A, A1B</t>
  </si>
  <si>
    <t>A2B</t>
  </si>
  <si>
    <t>A2A, A2B</t>
  </si>
  <si>
    <t>A3A, A3B</t>
  </si>
  <si>
    <t>A5A, A4B</t>
  </si>
  <si>
    <t>A5B</t>
  </si>
  <si>
    <t>A4A, A5B</t>
  </si>
  <si>
    <t>A6B</t>
  </si>
  <si>
    <t>A6A, A6B</t>
  </si>
  <si>
    <t>A7B</t>
  </si>
  <si>
    <t>A6A, A7B</t>
  </si>
  <si>
    <t>START_DATE_VALIDITY</t>
  </si>
  <si>
    <t>END_DATE_VALIDITY</t>
  </si>
  <si>
    <t>A3A</t>
  </si>
  <si>
    <t>Multi</t>
  </si>
  <si>
    <t>A5A</t>
  </si>
  <si>
    <t>A4A</t>
  </si>
  <si>
    <t>A6A</t>
  </si>
  <si>
    <t>Calculation_Rating</t>
  </si>
  <si>
    <t>CCF_WITHOUT_TIME</t>
  </si>
  <si>
    <t>NB_MONTHS</t>
  </si>
  <si>
    <t>STEP</t>
  </si>
  <si>
    <t>CALCULATOR_COLUMN_NAME</t>
  </si>
  <si>
    <t>SIMULATION_DATA_COLUMN_NAME</t>
  </si>
  <si>
    <t>MEANING</t>
  </si>
  <si>
    <t>FORMAT</t>
  </si>
  <si>
    <t>SEGMENT_REPORTING</t>
  </si>
  <si>
    <t>SEGMENT_ORIGINATION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</si>
</sst>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1" applyFont="1"/>
    <xf numFmtId="14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285D-6D44-4E02-BCE2-F5370F6241A5}">
  <dimension ref="A1"/>
  <sheetViews>
    <sheetView workbookViewId="0">
      <selection activeCell="L15" sqref="L15"/>
    </sheetView>
  </sheetViews>
  <sheetFormatPr baseColWidth="10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B49E1-0FC5-41C0-B397-C40A773797BF}">
  <sheetPr>
    <tabColor theme="4"/>
  </sheetPr>
  <dimension ref="A1:D30"/>
  <sheetViews>
    <sheetView tabSelected="1" topLeftCell="A13" zoomScale="85" zoomScaleNormal="85" workbookViewId="0">
      <selection activeCell="H20" sqref="H20"/>
    </sheetView>
  </sheetViews>
  <sheetFormatPr baseColWidth="10" defaultRowHeight="14.5" x14ac:dyDescent="0.35"/>
  <cols>
    <col min="1" max="1" width="48.26953125" customWidth="1"/>
    <col min="2" max="2" width="31.81640625" bestFit="1" customWidth="1"/>
  </cols>
  <sheetData>
    <row r="1" spans="1:4" x14ac:dyDescent="0.35">
      <c r="A1" t="s">
        <v>107</v>
      </c>
    </row>
    <row r="2" spans="1:4" x14ac:dyDescent="0.35">
      <c r="A2" t="s">
        <v>108</v>
      </c>
    </row>
    <row r="3" spans="1:4" x14ac:dyDescent="0.35">
      <c r="A3" t="s">
        <v>109</v>
      </c>
    </row>
    <row r="4" spans="1:4" x14ac:dyDescent="0.35">
      <c r="A4" s="2" t="s">
        <v>133</v>
      </c>
      <c r="B4" s="2" t="s">
        <v>134</v>
      </c>
      <c r="C4" s="2" t="s">
        <v>136</v>
      </c>
      <c r="D4" s="2" t="s">
        <v>135</v>
      </c>
    </row>
    <row r="5" spans="1:4" x14ac:dyDescent="0.35">
      <c r="A5" s="1" t="s">
        <v>82</v>
      </c>
      <c r="B5" t="s">
        <v>0</v>
      </c>
    </row>
    <row r="6" spans="1:4" x14ac:dyDescent="0.35">
      <c r="A6" s="1" t="s">
        <v>83</v>
      </c>
      <c r="B6" s="1" t="s">
        <v>1</v>
      </c>
    </row>
    <row r="7" spans="1:4" x14ac:dyDescent="0.35">
      <c r="A7" s="1" t="s">
        <v>84</v>
      </c>
      <c r="B7" s="1" t="s">
        <v>2</v>
      </c>
    </row>
    <row r="8" spans="1:4" x14ac:dyDescent="0.35">
      <c r="A8" s="1" t="s">
        <v>85</v>
      </c>
      <c r="B8" s="1" t="s">
        <v>3</v>
      </c>
    </row>
    <row r="9" spans="1:4" x14ac:dyDescent="0.35">
      <c r="A9" s="1" t="s">
        <v>86</v>
      </c>
      <c r="B9" s="1" t="s">
        <v>4</v>
      </c>
    </row>
    <row r="10" spans="1:4" x14ac:dyDescent="0.35">
      <c r="A10" s="1" t="s">
        <v>87</v>
      </c>
      <c r="B10" s="1" t="s">
        <v>129</v>
      </c>
    </row>
    <row r="11" spans="1:4" x14ac:dyDescent="0.35">
      <c r="A11" s="1" t="s">
        <v>88</v>
      </c>
      <c r="B11" s="1" t="s">
        <v>5</v>
      </c>
    </row>
    <row r="12" spans="1:4" x14ac:dyDescent="0.35">
      <c r="A12" s="1" t="s">
        <v>89</v>
      </c>
      <c r="B12" s="1" t="s">
        <v>6</v>
      </c>
    </row>
    <row r="13" spans="1:4" x14ac:dyDescent="0.35">
      <c r="A13" s="1" t="s">
        <v>90</v>
      </c>
      <c r="B13" s="1" t="s">
        <v>7</v>
      </c>
    </row>
    <row r="14" spans="1:4" x14ac:dyDescent="0.35">
      <c r="A14" s="1" t="s">
        <v>91</v>
      </c>
      <c r="B14" s="1" t="s">
        <v>8</v>
      </c>
    </row>
    <row r="15" spans="1:4" x14ac:dyDescent="0.35">
      <c r="A15" s="1" t="s">
        <v>92</v>
      </c>
      <c r="B15" s="1" t="s">
        <v>9</v>
      </c>
    </row>
    <row r="16" spans="1:4" x14ac:dyDescent="0.35">
      <c r="A16" s="1" t="s">
        <v>93</v>
      </c>
      <c r="B16" s="1" t="s">
        <v>10</v>
      </c>
    </row>
    <row r="17" spans="1:2" x14ac:dyDescent="0.35">
      <c r="A17" s="1" t="s">
        <v>94</v>
      </c>
      <c r="B17" s="1" t="s">
        <v>11</v>
      </c>
    </row>
    <row r="18" spans="1:2" x14ac:dyDescent="0.35">
      <c r="A18" s="1" t="s">
        <v>95</v>
      </c>
      <c r="B18" s="1" t="s">
        <v>12</v>
      </c>
    </row>
    <row r="19" spans="1:2" x14ac:dyDescent="0.35">
      <c r="A19" s="1" t="s">
        <v>96</v>
      </c>
      <c r="B19" s="1" t="s">
        <v>13</v>
      </c>
    </row>
    <row r="20" spans="1:2" x14ac:dyDescent="0.35">
      <c r="A20" s="1" t="s">
        <v>97</v>
      </c>
      <c r="B20" s="1" t="s">
        <v>14</v>
      </c>
    </row>
    <row r="21" spans="1:2" x14ac:dyDescent="0.35">
      <c r="A21" s="1" t="s">
        <v>98</v>
      </c>
      <c r="B21" s="1" t="s">
        <v>15</v>
      </c>
    </row>
    <row r="22" spans="1:2" x14ac:dyDescent="0.35">
      <c r="A22" s="1" t="s">
        <v>99</v>
      </c>
      <c r="B22" s="1" t="s">
        <v>16</v>
      </c>
    </row>
    <row r="23" spans="1:2" x14ac:dyDescent="0.35">
      <c r="A23" s="1" t="s">
        <v>100</v>
      </c>
      <c r="B23" s="1" t="s">
        <v>17</v>
      </c>
    </row>
    <row r="24" spans="1:2" x14ac:dyDescent="0.35">
      <c r="A24" s="1" t="s">
        <v>101</v>
      </c>
      <c r="B24" s="1" t="s">
        <v>18</v>
      </c>
    </row>
    <row r="25" spans="1:2" x14ac:dyDescent="0.35">
      <c r="A25" s="1" t="s">
        <v>102</v>
      </c>
      <c r="B25" s="1" t="s">
        <v>19</v>
      </c>
    </row>
    <row r="26" spans="1:2" x14ac:dyDescent="0.35">
      <c r="A26" s="1" t="s">
        <v>103</v>
      </c>
      <c r="B26" s="1" t="s">
        <v>20</v>
      </c>
    </row>
    <row r="27" spans="1:2" x14ac:dyDescent="0.35">
      <c r="A27" s="1" t="s">
        <v>104</v>
      </c>
      <c r="B27" s="1" t="s">
        <v>21</v>
      </c>
    </row>
    <row r="28" spans="1:2" x14ac:dyDescent="0.35">
      <c r="A28" s="1"/>
      <c r="B28" s="1"/>
    </row>
    <row r="29" spans="1:2" x14ac:dyDescent="0.35">
      <c r="A29" s="1" t="s">
        <v>106</v>
      </c>
      <c r="B29" s="1" t="s">
        <v>23</v>
      </c>
    </row>
    <row r="30" spans="1:2" x14ac:dyDescent="0.35">
      <c r="A30" s="1" t="s">
        <v>24</v>
      </c>
      <c r="B30" s="1" t="s">
        <v>24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9076-857F-40CF-B87B-B4284B7D0024}">
  <sheetPr>
    <tabColor theme="4"/>
  </sheetPr>
  <dimension ref="A1:D30"/>
  <sheetViews>
    <sheetView zoomScale="85" zoomScaleNormal="85" workbookViewId="0">
      <selection activeCell="D43" sqref="D43"/>
    </sheetView>
  </sheetViews>
  <sheetFormatPr baseColWidth="10" defaultRowHeight="14.5" x14ac:dyDescent="0.35"/>
  <cols>
    <col min="1" max="1" width="48.26953125" customWidth="1"/>
    <col min="2" max="2" width="31.81640625" bestFit="1" customWidth="1"/>
  </cols>
  <sheetData>
    <row r="1" spans="1:4" x14ac:dyDescent="0.35">
      <c r="A1" t="s">
        <v>107</v>
      </c>
    </row>
    <row r="2" spans="1:4" x14ac:dyDescent="0.35">
      <c r="A2" t="s">
        <v>108</v>
      </c>
    </row>
    <row r="3" spans="1:4" x14ac:dyDescent="0.35">
      <c r="A3" t="s">
        <v>109</v>
      </c>
    </row>
    <row r="4" spans="1:4" x14ac:dyDescent="0.35">
      <c r="A4" s="2" t="s">
        <v>133</v>
      </c>
      <c r="B4" s="2" t="s">
        <v>134</v>
      </c>
      <c r="C4" s="2" t="s">
        <v>136</v>
      </c>
      <c r="D4" s="2" t="s">
        <v>135</v>
      </c>
    </row>
    <row r="5" spans="1:4" x14ac:dyDescent="0.35">
      <c r="A5" s="1" t="s">
        <v>82</v>
      </c>
      <c r="B5" t="s">
        <v>0</v>
      </c>
    </row>
    <row r="6" spans="1:4" x14ac:dyDescent="0.35">
      <c r="A6" s="1" t="s">
        <v>83</v>
      </c>
      <c r="B6" s="1" t="s">
        <v>1</v>
      </c>
    </row>
    <row r="7" spans="1:4" x14ac:dyDescent="0.35">
      <c r="A7" s="1" t="s">
        <v>84</v>
      </c>
      <c r="B7" s="1" t="s">
        <v>2</v>
      </c>
    </row>
    <row r="8" spans="1:4" x14ac:dyDescent="0.35">
      <c r="A8" s="1" t="s">
        <v>85</v>
      </c>
      <c r="B8" s="1" t="s">
        <v>3</v>
      </c>
    </row>
    <row r="9" spans="1:4" x14ac:dyDescent="0.35">
      <c r="A9" s="1" t="s">
        <v>86</v>
      </c>
      <c r="B9" s="1" t="s">
        <v>4</v>
      </c>
    </row>
    <row r="10" spans="1:4" x14ac:dyDescent="0.35">
      <c r="A10" s="1" t="s">
        <v>87</v>
      </c>
      <c r="B10" s="1" t="s">
        <v>129</v>
      </c>
    </row>
    <row r="11" spans="1:4" x14ac:dyDescent="0.35">
      <c r="A11" s="1" t="s">
        <v>88</v>
      </c>
      <c r="B11" s="1" t="s">
        <v>5</v>
      </c>
    </row>
    <row r="12" spans="1:4" x14ac:dyDescent="0.35">
      <c r="A12" s="1" t="s">
        <v>89</v>
      </c>
      <c r="B12" s="1" t="s">
        <v>6</v>
      </c>
    </row>
    <row r="13" spans="1:4" x14ac:dyDescent="0.35">
      <c r="A13" s="1" t="s">
        <v>90</v>
      </c>
      <c r="B13" s="1" t="s">
        <v>7</v>
      </c>
    </row>
    <row r="14" spans="1:4" x14ac:dyDescent="0.35">
      <c r="A14" s="1" t="s">
        <v>91</v>
      </c>
      <c r="B14" s="1" t="s">
        <v>8</v>
      </c>
    </row>
    <row r="15" spans="1:4" x14ac:dyDescent="0.35">
      <c r="A15" s="1" t="s">
        <v>92</v>
      </c>
      <c r="B15" s="1" t="s">
        <v>9</v>
      </c>
    </row>
    <row r="16" spans="1:4" x14ac:dyDescent="0.35">
      <c r="A16" s="1" t="s">
        <v>93</v>
      </c>
      <c r="B16" s="1" t="s">
        <v>10</v>
      </c>
    </row>
    <row r="17" spans="1:2" x14ac:dyDescent="0.35">
      <c r="A17" s="1" t="s">
        <v>94</v>
      </c>
      <c r="B17" s="1" t="s">
        <v>11</v>
      </c>
    </row>
    <row r="18" spans="1:2" x14ac:dyDescent="0.35">
      <c r="A18" s="1" t="s">
        <v>95</v>
      </c>
      <c r="B18" s="1" t="s">
        <v>12</v>
      </c>
    </row>
    <row r="19" spans="1:2" x14ac:dyDescent="0.35">
      <c r="A19" s="1" t="s">
        <v>96</v>
      </c>
      <c r="B19" s="1" t="s">
        <v>13</v>
      </c>
    </row>
    <row r="20" spans="1:2" x14ac:dyDescent="0.35">
      <c r="A20" s="1" t="s">
        <v>97</v>
      </c>
      <c r="B20" s="1" t="s">
        <v>14</v>
      </c>
    </row>
    <row r="21" spans="1:2" x14ac:dyDescent="0.35">
      <c r="A21" s="1" t="s">
        <v>98</v>
      </c>
      <c r="B21" s="1" t="s">
        <v>15</v>
      </c>
    </row>
    <row r="22" spans="1:2" x14ac:dyDescent="0.35">
      <c r="A22" s="1" t="s">
        <v>99</v>
      </c>
      <c r="B22" s="1" t="s">
        <v>16</v>
      </c>
    </row>
    <row r="23" spans="1:2" x14ac:dyDescent="0.35">
      <c r="A23" s="1" t="s">
        <v>100</v>
      </c>
      <c r="B23" s="1" t="s">
        <v>17</v>
      </c>
    </row>
    <row r="24" spans="1:2" x14ac:dyDescent="0.35">
      <c r="A24" s="1" t="s">
        <v>101</v>
      </c>
      <c r="B24" s="1" t="s">
        <v>18</v>
      </c>
    </row>
    <row r="25" spans="1:2" x14ac:dyDescent="0.35">
      <c r="A25" s="1" t="s">
        <v>102</v>
      </c>
      <c r="B25" s="1" t="s">
        <v>19</v>
      </c>
    </row>
    <row r="26" spans="1:2" x14ac:dyDescent="0.35">
      <c r="A26" s="1" t="s">
        <v>103</v>
      </c>
      <c r="B26" s="1" t="s">
        <v>20</v>
      </c>
    </row>
    <row r="27" spans="1:2" x14ac:dyDescent="0.35">
      <c r="A27" s="1" t="s">
        <v>104</v>
      </c>
      <c r="B27" s="1" t="s">
        <v>21</v>
      </c>
    </row>
    <row r="28" spans="1:2" x14ac:dyDescent="0.35">
      <c r="A28" s="1" t="s">
        <v>105</v>
      </c>
      <c r="B28" s="1" t="s">
        <v>22</v>
      </c>
    </row>
    <row r="29" spans="1:2" x14ac:dyDescent="0.35">
      <c r="A29" s="1" t="s">
        <v>106</v>
      </c>
      <c r="B29" s="1" t="s">
        <v>23</v>
      </c>
    </row>
    <row r="30" spans="1:2" x14ac:dyDescent="0.35">
      <c r="A30" s="1" t="s">
        <v>24</v>
      </c>
      <c r="B30" s="1" t="s">
        <v>24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86DF-1A67-4137-83F8-AC49BF7AB317}">
  <sheetPr>
    <tabColor theme="4"/>
  </sheetPr>
  <dimension ref="A1:D30"/>
  <sheetViews>
    <sheetView topLeftCell="A13" zoomScale="85" zoomScaleNormal="85" workbookViewId="0">
      <selection activeCell="D30" sqref="D30"/>
    </sheetView>
  </sheetViews>
  <sheetFormatPr baseColWidth="10" defaultRowHeight="14.5" x14ac:dyDescent="0.35"/>
  <cols>
    <col min="1" max="1" width="48.26953125" customWidth="1"/>
    <col min="2" max="2" width="31.81640625" bestFit="1" customWidth="1"/>
  </cols>
  <sheetData>
    <row r="1" spans="1:4" x14ac:dyDescent="0.35">
      <c r="A1" t="s">
        <v>107</v>
      </c>
    </row>
    <row r="2" spans="1:4" x14ac:dyDescent="0.35">
      <c r="A2" t="s">
        <v>108</v>
      </c>
    </row>
    <row r="3" spans="1:4" x14ac:dyDescent="0.35">
      <c r="A3" t="s">
        <v>109</v>
      </c>
    </row>
    <row r="4" spans="1:4" x14ac:dyDescent="0.35">
      <c r="A4" s="2" t="s">
        <v>133</v>
      </c>
      <c r="B4" s="2" t="s">
        <v>134</v>
      </c>
      <c r="C4" s="2" t="s">
        <v>136</v>
      </c>
      <c r="D4" s="2" t="s">
        <v>135</v>
      </c>
    </row>
    <row r="5" spans="1:4" x14ac:dyDescent="0.35">
      <c r="A5" s="1" t="s">
        <v>82</v>
      </c>
      <c r="B5" t="s">
        <v>0</v>
      </c>
    </row>
    <row r="6" spans="1:4" x14ac:dyDescent="0.35">
      <c r="A6" s="1" t="s">
        <v>83</v>
      </c>
      <c r="B6" s="1" t="s">
        <v>1</v>
      </c>
    </row>
    <row r="7" spans="1:4" x14ac:dyDescent="0.35">
      <c r="A7" s="1" t="s">
        <v>84</v>
      </c>
      <c r="B7" s="1" t="s">
        <v>2</v>
      </c>
    </row>
    <row r="8" spans="1:4" x14ac:dyDescent="0.35">
      <c r="A8" s="1" t="s">
        <v>85</v>
      </c>
      <c r="B8" s="1" t="s">
        <v>3</v>
      </c>
    </row>
    <row r="9" spans="1:4" x14ac:dyDescent="0.35">
      <c r="A9" s="1" t="s">
        <v>86</v>
      </c>
      <c r="B9" s="1" t="s">
        <v>4</v>
      </c>
    </row>
    <row r="10" spans="1:4" x14ac:dyDescent="0.35">
      <c r="A10" s="1" t="s">
        <v>87</v>
      </c>
      <c r="B10" s="1" t="s">
        <v>129</v>
      </c>
    </row>
    <row r="11" spans="1:4" x14ac:dyDescent="0.35">
      <c r="A11" s="1" t="s">
        <v>88</v>
      </c>
      <c r="B11" s="1" t="s">
        <v>5</v>
      </c>
    </row>
    <row r="12" spans="1:4" x14ac:dyDescent="0.35">
      <c r="A12" s="1" t="s">
        <v>89</v>
      </c>
      <c r="B12" s="1" t="s">
        <v>6</v>
      </c>
    </row>
    <row r="13" spans="1:4" x14ac:dyDescent="0.35">
      <c r="A13" s="1" t="s">
        <v>90</v>
      </c>
      <c r="B13" s="1" t="s">
        <v>7</v>
      </c>
    </row>
    <row r="14" spans="1:4" x14ac:dyDescent="0.35">
      <c r="A14" s="1" t="s">
        <v>91</v>
      </c>
      <c r="B14" s="1" t="s">
        <v>8</v>
      </c>
    </row>
    <row r="15" spans="1:4" x14ac:dyDescent="0.35">
      <c r="A15" s="1" t="s">
        <v>92</v>
      </c>
      <c r="B15" s="1" t="s">
        <v>9</v>
      </c>
    </row>
    <row r="16" spans="1:4" x14ac:dyDescent="0.35">
      <c r="A16" s="1" t="s">
        <v>93</v>
      </c>
      <c r="B16" s="1" t="s">
        <v>10</v>
      </c>
    </row>
    <row r="17" spans="1:2" x14ac:dyDescent="0.35">
      <c r="A17" s="1" t="s">
        <v>94</v>
      </c>
      <c r="B17" s="1" t="s">
        <v>11</v>
      </c>
    </row>
    <row r="18" spans="1:2" x14ac:dyDescent="0.35">
      <c r="A18" s="1" t="s">
        <v>95</v>
      </c>
      <c r="B18" s="1" t="s">
        <v>12</v>
      </c>
    </row>
    <row r="19" spans="1:2" x14ac:dyDescent="0.35">
      <c r="A19" s="1" t="s">
        <v>96</v>
      </c>
      <c r="B19" s="1" t="s">
        <v>13</v>
      </c>
    </row>
    <row r="20" spans="1:2" x14ac:dyDescent="0.35">
      <c r="A20" s="1" t="s">
        <v>97</v>
      </c>
      <c r="B20" s="1" t="s">
        <v>14</v>
      </c>
    </row>
    <row r="21" spans="1:2" x14ac:dyDescent="0.35">
      <c r="A21" s="1" t="s">
        <v>98</v>
      </c>
      <c r="B21" s="1" t="s">
        <v>15</v>
      </c>
    </row>
    <row r="22" spans="1:2" x14ac:dyDescent="0.35">
      <c r="A22" s="1" t="s">
        <v>99</v>
      </c>
      <c r="B22" s="1" t="s">
        <v>16</v>
      </c>
    </row>
    <row r="23" spans="1:2" x14ac:dyDescent="0.35">
      <c r="A23" s="1" t="s">
        <v>100</v>
      </c>
      <c r="B23" s="1" t="s">
        <v>17</v>
      </c>
    </row>
    <row r="24" spans="1:2" x14ac:dyDescent="0.35">
      <c r="A24" s="1" t="s">
        <v>101</v>
      </c>
      <c r="B24" s="1" t="s">
        <v>18</v>
      </c>
    </row>
    <row r="25" spans="1:2" x14ac:dyDescent="0.35">
      <c r="A25" s="1" t="s">
        <v>102</v>
      </c>
      <c r="B25" s="1" t="s">
        <v>19</v>
      </c>
    </row>
    <row r="26" spans="1:2" x14ac:dyDescent="0.35">
      <c r="A26" s="1" t="s">
        <v>103</v>
      </c>
      <c r="B26" s="1" t="s">
        <v>20</v>
      </c>
    </row>
    <row r="27" spans="1:2" x14ac:dyDescent="0.35">
      <c r="A27" s="1" t="s">
        <v>104</v>
      </c>
      <c r="B27" s="1" t="s">
        <v>21</v>
      </c>
    </row>
    <row r="28" spans="1:2" x14ac:dyDescent="0.35">
      <c r="A28" s="1" t="s">
        <v>105</v>
      </c>
      <c r="B28" s="1"/>
    </row>
    <row r="29" spans="1:2" x14ac:dyDescent="0.35">
      <c r="A29" s="1" t="s">
        <v>106</v>
      </c>
      <c r="B29" s="1" t="s">
        <v>23</v>
      </c>
    </row>
    <row r="30" spans="1:2" x14ac:dyDescent="0.35">
      <c r="A30" s="1" t="s">
        <v>24</v>
      </c>
      <c r="B30" s="1" t="s">
        <v>24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5E5D-1297-4E68-85CF-67EEE28A6AE9}">
  <sheetPr>
    <tabColor theme="4"/>
  </sheetPr>
  <dimension ref="A1:B37"/>
  <sheetViews>
    <sheetView zoomScale="85" zoomScaleNormal="85" workbookViewId="0">
      <selection activeCell="I19" sqref="I19"/>
    </sheetView>
  </sheetViews>
  <sheetFormatPr baseColWidth="10" defaultRowHeight="14.5" x14ac:dyDescent="0.35"/>
  <cols>
    <col min="1" max="1" width="16.453125" bestFit="1" customWidth="1"/>
    <col min="2" max="2" width="17.7265625" bestFit="1" customWidth="1"/>
  </cols>
  <sheetData>
    <row r="1" spans="1:2" x14ac:dyDescent="0.35">
      <c r="A1" t="s">
        <v>107</v>
      </c>
    </row>
    <row r="2" spans="1:2" x14ac:dyDescent="0.35">
      <c r="A2" t="s">
        <v>108</v>
      </c>
    </row>
    <row r="3" spans="1:2" x14ac:dyDescent="0.35">
      <c r="A3" t="s">
        <v>109</v>
      </c>
    </row>
    <row r="4" spans="1:2" x14ac:dyDescent="0.35">
      <c r="A4" s="2" t="s">
        <v>132</v>
      </c>
      <c r="B4" s="2" t="s">
        <v>131</v>
      </c>
    </row>
    <row r="5" spans="1:2" x14ac:dyDescent="0.35">
      <c r="A5">
        <v>1</v>
      </c>
      <c r="B5">
        <v>3</v>
      </c>
    </row>
    <row r="6" spans="1:2" x14ac:dyDescent="0.35">
      <c r="A6">
        <v>2</v>
      </c>
      <c r="B6">
        <v>6</v>
      </c>
    </row>
    <row r="7" spans="1:2" x14ac:dyDescent="0.35">
      <c r="A7">
        <v>3</v>
      </c>
      <c r="B7">
        <v>9</v>
      </c>
    </row>
    <row r="8" spans="1:2" x14ac:dyDescent="0.35">
      <c r="A8">
        <v>4</v>
      </c>
      <c r="B8">
        <v>12</v>
      </c>
    </row>
    <row r="9" spans="1:2" x14ac:dyDescent="0.35">
      <c r="A9">
        <v>5</v>
      </c>
      <c r="B9">
        <v>15</v>
      </c>
    </row>
    <row r="10" spans="1:2" x14ac:dyDescent="0.35">
      <c r="A10">
        <v>6</v>
      </c>
      <c r="B10">
        <v>18</v>
      </c>
    </row>
    <row r="11" spans="1:2" x14ac:dyDescent="0.35">
      <c r="A11">
        <v>7</v>
      </c>
      <c r="B11">
        <v>21</v>
      </c>
    </row>
    <row r="12" spans="1:2" x14ac:dyDescent="0.35">
      <c r="A12">
        <v>8</v>
      </c>
      <c r="B12">
        <v>24</v>
      </c>
    </row>
    <row r="13" spans="1:2" x14ac:dyDescent="0.35">
      <c r="A13">
        <v>9</v>
      </c>
      <c r="B13">
        <v>27</v>
      </c>
    </row>
    <row r="14" spans="1:2" x14ac:dyDescent="0.35">
      <c r="A14">
        <v>10</v>
      </c>
      <c r="B14">
        <v>30</v>
      </c>
    </row>
    <row r="15" spans="1:2" x14ac:dyDescent="0.35">
      <c r="A15">
        <v>11</v>
      </c>
      <c r="B15">
        <v>33</v>
      </c>
    </row>
    <row r="16" spans="1:2" x14ac:dyDescent="0.35">
      <c r="A16">
        <v>12</v>
      </c>
      <c r="B16">
        <v>36</v>
      </c>
    </row>
    <row r="17" spans="1:2" x14ac:dyDescent="0.35">
      <c r="A17">
        <v>13</v>
      </c>
      <c r="B17">
        <v>39</v>
      </c>
    </row>
    <row r="18" spans="1:2" x14ac:dyDescent="0.35">
      <c r="A18">
        <v>14</v>
      </c>
      <c r="B18">
        <v>42</v>
      </c>
    </row>
    <row r="19" spans="1:2" x14ac:dyDescent="0.35">
      <c r="A19">
        <v>15</v>
      </c>
      <c r="B19">
        <v>45</v>
      </c>
    </row>
    <row r="20" spans="1:2" x14ac:dyDescent="0.35">
      <c r="A20">
        <v>16</v>
      </c>
      <c r="B20">
        <v>48</v>
      </c>
    </row>
    <row r="21" spans="1:2" x14ac:dyDescent="0.35">
      <c r="A21">
        <v>17</v>
      </c>
      <c r="B21">
        <v>51</v>
      </c>
    </row>
    <row r="22" spans="1:2" x14ac:dyDescent="0.35">
      <c r="A22">
        <v>18</v>
      </c>
      <c r="B22">
        <v>54</v>
      </c>
    </row>
    <row r="23" spans="1:2" x14ac:dyDescent="0.35">
      <c r="A23">
        <v>19</v>
      </c>
      <c r="B23">
        <v>57</v>
      </c>
    </row>
    <row r="24" spans="1:2" x14ac:dyDescent="0.35">
      <c r="A24">
        <v>20</v>
      </c>
      <c r="B24">
        <v>60</v>
      </c>
    </row>
    <row r="25" spans="1:2" x14ac:dyDescent="0.35">
      <c r="A25">
        <v>21</v>
      </c>
      <c r="B25">
        <v>72</v>
      </c>
    </row>
    <row r="26" spans="1:2" x14ac:dyDescent="0.35">
      <c r="A26">
        <v>22</v>
      </c>
      <c r="B26">
        <v>84</v>
      </c>
    </row>
    <row r="27" spans="1:2" x14ac:dyDescent="0.35">
      <c r="A27">
        <v>23</v>
      </c>
      <c r="B27">
        <v>96</v>
      </c>
    </row>
    <row r="28" spans="1:2" x14ac:dyDescent="0.35">
      <c r="A28">
        <v>24</v>
      </c>
      <c r="B28">
        <v>108</v>
      </c>
    </row>
    <row r="29" spans="1:2" x14ac:dyDescent="0.35">
      <c r="A29">
        <v>25</v>
      </c>
      <c r="B29">
        <v>120</v>
      </c>
    </row>
    <row r="30" spans="1:2" x14ac:dyDescent="0.35">
      <c r="A30">
        <v>26</v>
      </c>
      <c r="B30">
        <v>132</v>
      </c>
    </row>
    <row r="31" spans="1:2" x14ac:dyDescent="0.35">
      <c r="A31">
        <v>27</v>
      </c>
      <c r="B31">
        <v>144</v>
      </c>
    </row>
    <row r="32" spans="1:2" x14ac:dyDescent="0.35">
      <c r="A32">
        <v>28</v>
      </c>
      <c r="B32">
        <v>156</v>
      </c>
    </row>
    <row r="33" spans="1:2" x14ac:dyDescent="0.35">
      <c r="A33">
        <v>29</v>
      </c>
      <c r="B33">
        <v>168</v>
      </c>
    </row>
    <row r="34" spans="1:2" x14ac:dyDescent="0.35">
      <c r="A34">
        <v>30</v>
      </c>
      <c r="B34">
        <v>180</v>
      </c>
    </row>
    <row r="35" spans="1:2" x14ac:dyDescent="0.35">
      <c r="A35">
        <v>31</v>
      </c>
      <c r="B35">
        <v>240</v>
      </c>
    </row>
    <row r="36" spans="1:2" x14ac:dyDescent="0.35">
      <c r="A36">
        <v>32</v>
      </c>
      <c r="B36">
        <v>300</v>
      </c>
    </row>
    <row r="37" spans="1:2" x14ac:dyDescent="0.35">
      <c r="A37">
        <v>33</v>
      </c>
      <c r="B37">
        <v>360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B9B9B-0962-4DD2-BFB0-C7E90BB49F89}">
  <sheetPr>
    <tabColor theme="4"/>
  </sheetPr>
  <dimension ref="A1:B11"/>
  <sheetViews>
    <sheetView zoomScale="83" workbookViewId="0">
      <selection activeCell="I14" sqref="I14"/>
    </sheetView>
  </sheetViews>
  <sheetFormatPr baseColWidth="10" defaultRowHeight="14.5" x14ac:dyDescent="0.35"/>
  <cols>
    <col min="1" max="1" width="19.453125" bestFit="1" customWidth="1"/>
    <col min="2" max="2" width="21.26953125" bestFit="1" customWidth="1"/>
  </cols>
  <sheetData>
    <row r="1" spans="1:2" x14ac:dyDescent="0.35">
      <c r="A1" t="s">
        <v>107</v>
      </c>
    </row>
    <row r="2" spans="1:2" x14ac:dyDescent="0.35">
      <c r="A2" t="s">
        <v>108</v>
      </c>
    </row>
    <row r="3" spans="1:2" x14ac:dyDescent="0.35">
      <c r="A3" t="s">
        <v>109</v>
      </c>
    </row>
    <row r="4" spans="1:2" x14ac:dyDescent="0.35">
      <c r="A4" s="2" t="s">
        <v>137</v>
      </c>
      <c r="B4" s="2" t="s">
        <v>138</v>
      </c>
    </row>
    <row r="5" spans="1:2" x14ac:dyDescent="0.35">
      <c r="A5" t="s">
        <v>110</v>
      </c>
      <c r="B5" t="s">
        <v>111</v>
      </c>
    </row>
    <row r="6" spans="1:2" x14ac:dyDescent="0.35">
      <c r="A6" t="s">
        <v>112</v>
      </c>
      <c r="B6" t="s">
        <v>113</v>
      </c>
    </row>
    <row r="7" spans="1:2" x14ac:dyDescent="0.35">
      <c r="A7" t="s">
        <v>63</v>
      </c>
      <c r="B7" t="s">
        <v>114</v>
      </c>
    </row>
    <row r="8" spans="1:2" x14ac:dyDescent="0.35">
      <c r="A8" t="s">
        <v>77</v>
      </c>
      <c r="B8" t="s">
        <v>115</v>
      </c>
    </row>
    <row r="9" spans="1:2" x14ac:dyDescent="0.35">
      <c r="A9" t="s">
        <v>116</v>
      </c>
      <c r="B9" t="s">
        <v>117</v>
      </c>
    </row>
    <row r="10" spans="1:2" x14ac:dyDescent="0.35">
      <c r="A10" t="s">
        <v>118</v>
      </c>
      <c r="B10" t="s">
        <v>119</v>
      </c>
    </row>
    <row r="11" spans="1:2" x14ac:dyDescent="0.35">
      <c r="A11" t="s">
        <v>120</v>
      </c>
      <c r="B11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F258-023F-432F-92B8-CB6B5D2308B2}">
  <sheetPr>
    <tabColor theme="4"/>
  </sheetPr>
  <dimension ref="A1:AL81"/>
  <sheetViews>
    <sheetView zoomScale="70" zoomScaleNormal="70" workbookViewId="0">
      <selection activeCell="K27" sqref="K27"/>
    </sheetView>
  </sheetViews>
  <sheetFormatPr baseColWidth="10" defaultRowHeight="14.5" x14ac:dyDescent="0.35"/>
  <cols>
    <col min="1" max="1" width="19" bestFit="1" customWidth="1"/>
    <col min="2" max="2" width="17.54296875" bestFit="1" customWidth="1"/>
    <col min="6" max="14" width="11.453125" bestFit="1" customWidth="1"/>
    <col min="15" max="38" width="12.453125" bestFit="1" customWidth="1"/>
  </cols>
  <sheetData>
    <row r="1" spans="1:38" x14ac:dyDescent="0.35">
      <c r="A1" t="s">
        <v>107</v>
      </c>
      <c r="B1" t="s">
        <v>107</v>
      </c>
    </row>
    <row r="2" spans="1:38" x14ac:dyDescent="0.35">
      <c r="A2" t="s">
        <v>108</v>
      </c>
      <c r="B2" t="s">
        <v>108</v>
      </c>
    </row>
    <row r="3" spans="1:38" x14ac:dyDescent="0.35">
      <c r="B3" t="s">
        <v>109</v>
      </c>
      <c r="E3">
        <v>8.9999999999999998E-4</v>
      </c>
      <c r="F3">
        <v>1E-3</v>
      </c>
      <c r="G3">
        <v>3.0000000000000001E-3</v>
      </c>
      <c r="H3">
        <v>5.0000000000000001E-3</v>
      </c>
      <c r="I3">
        <v>7.0000000000000001E-3</v>
      </c>
      <c r="J3">
        <v>8.9999999999999993E-3</v>
      </c>
      <c r="K3">
        <v>1.0999999999999999E-2</v>
      </c>
      <c r="L3">
        <v>1.2999999999999999E-2</v>
      </c>
      <c r="M3">
        <v>1.4999999999999999E-2</v>
      </c>
      <c r="N3">
        <v>1.7000000000000001E-2</v>
      </c>
      <c r="O3">
        <v>1.9E-2</v>
      </c>
      <c r="P3">
        <v>2.1000000000000001E-2</v>
      </c>
      <c r="Q3">
        <v>2.3E-2</v>
      </c>
      <c r="R3">
        <v>2.5000000000000001E-2</v>
      </c>
      <c r="S3">
        <v>2.7E-2</v>
      </c>
      <c r="T3">
        <v>2.9000000000000001E-2</v>
      </c>
      <c r="U3">
        <v>3.1E-2</v>
      </c>
      <c r="V3">
        <v>3.3000000000000002E-2</v>
      </c>
      <c r="W3">
        <v>3.5000000000000003E-2</v>
      </c>
      <c r="X3">
        <v>3.6999999999999998E-2</v>
      </c>
      <c r="Y3">
        <v>3.9E-2</v>
      </c>
      <c r="Z3">
        <f>$Y$3-$U$3+$Y$3</f>
        <v>4.7E-2</v>
      </c>
      <c r="AA3">
        <f t="shared" ref="AA3:AI3" si="0">$Y$3-$U$3+Z3</f>
        <v>5.5E-2</v>
      </c>
      <c r="AB3">
        <f t="shared" si="0"/>
        <v>6.3E-2</v>
      </c>
      <c r="AC3">
        <f t="shared" si="0"/>
        <v>7.1000000000000008E-2</v>
      </c>
      <c r="AD3">
        <f t="shared" si="0"/>
        <v>7.9000000000000015E-2</v>
      </c>
      <c r="AE3">
        <f t="shared" si="0"/>
        <v>8.7000000000000022E-2</v>
      </c>
      <c r="AF3">
        <f t="shared" si="0"/>
        <v>9.5000000000000029E-2</v>
      </c>
      <c r="AG3">
        <f t="shared" si="0"/>
        <v>0.10300000000000004</v>
      </c>
      <c r="AH3">
        <f t="shared" si="0"/>
        <v>0.11100000000000004</v>
      </c>
      <c r="AI3">
        <f t="shared" si="0"/>
        <v>0.11900000000000005</v>
      </c>
      <c r="AJ3">
        <f>AI3+($AI$3-$AD$3)</f>
        <v>0.15900000000000009</v>
      </c>
      <c r="AK3">
        <f t="shared" ref="AK3:AL3" si="1">AJ3+($AI$3-$AD$3)</f>
        <v>0.19900000000000012</v>
      </c>
      <c r="AL3">
        <f t="shared" si="1"/>
        <v>0.23900000000000016</v>
      </c>
    </row>
    <row r="4" spans="1:38" x14ac:dyDescent="0.35">
      <c r="A4" t="s">
        <v>109</v>
      </c>
      <c r="F4">
        <v>3</v>
      </c>
      <c r="G4">
        <v>6</v>
      </c>
      <c r="H4">
        <v>9</v>
      </c>
      <c r="I4">
        <v>12</v>
      </c>
      <c r="J4">
        <v>15</v>
      </c>
      <c r="K4">
        <v>18</v>
      </c>
      <c r="L4">
        <v>21</v>
      </c>
      <c r="M4">
        <v>24</v>
      </c>
      <c r="N4">
        <v>27</v>
      </c>
      <c r="O4">
        <v>30</v>
      </c>
      <c r="P4">
        <v>33</v>
      </c>
      <c r="Q4">
        <v>36</v>
      </c>
      <c r="R4">
        <v>39</v>
      </c>
      <c r="S4">
        <v>42</v>
      </c>
      <c r="T4">
        <v>45</v>
      </c>
      <c r="U4">
        <v>48</v>
      </c>
      <c r="V4">
        <v>51</v>
      </c>
      <c r="W4">
        <v>54</v>
      </c>
      <c r="X4">
        <v>57</v>
      </c>
      <c r="Y4">
        <v>60</v>
      </c>
      <c r="Z4">
        <v>72</v>
      </c>
      <c r="AA4">
        <v>84</v>
      </c>
      <c r="AB4">
        <v>96</v>
      </c>
      <c r="AC4">
        <v>108</v>
      </c>
      <c r="AD4">
        <v>120</v>
      </c>
      <c r="AE4">
        <v>132</v>
      </c>
      <c r="AF4">
        <v>144</v>
      </c>
      <c r="AG4">
        <v>156</v>
      </c>
      <c r="AH4">
        <v>168</v>
      </c>
      <c r="AI4">
        <v>180</v>
      </c>
      <c r="AJ4">
        <v>240</v>
      </c>
      <c r="AK4">
        <v>300</v>
      </c>
      <c r="AL4">
        <v>360</v>
      </c>
    </row>
    <row r="5" spans="1:38" x14ac:dyDescent="0.35">
      <c r="A5" s="2" t="s">
        <v>122</v>
      </c>
      <c r="B5" s="2" t="s">
        <v>123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2" t="s">
        <v>33</v>
      </c>
      <c r="L5" s="2" t="s">
        <v>34</v>
      </c>
      <c r="M5" s="2" t="s">
        <v>35</v>
      </c>
      <c r="N5" s="2" t="s">
        <v>36</v>
      </c>
      <c r="O5" s="2" t="s">
        <v>37</v>
      </c>
      <c r="P5" s="2" t="s">
        <v>38</v>
      </c>
      <c r="Q5" s="2" t="s">
        <v>39</v>
      </c>
      <c r="R5" s="2" t="s">
        <v>40</v>
      </c>
      <c r="S5" s="2" t="s">
        <v>41</v>
      </c>
      <c r="T5" s="2" t="s">
        <v>42</v>
      </c>
      <c r="U5" s="2" t="s">
        <v>43</v>
      </c>
      <c r="V5" s="2" t="s">
        <v>44</v>
      </c>
      <c r="W5" s="2" t="s">
        <v>45</v>
      </c>
      <c r="X5" s="2" t="s">
        <v>46</v>
      </c>
      <c r="Y5" s="2" t="s">
        <v>47</v>
      </c>
      <c r="Z5" s="2" t="s">
        <v>48</v>
      </c>
      <c r="AA5" s="2" t="s">
        <v>49</v>
      </c>
      <c r="AB5" s="2" t="s">
        <v>50</v>
      </c>
      <c r="AC5" s="2" t="s">
        <v>51</v>
      </c>
      <c r="AD5" s="2" t="s">
        <v>52</v>
      </c>
      <c r="AE5" s="2" t="s">
        <v>53</v>
      </c>
      <c r="AF5" s="2" t="s">
        <v>54</v>
      </c>
      <c r="AG5" s="2" t="s">
        <v>55</v>
      </c>
      <c r="AH5" s="2" t="s">
        <v>56</v>
      </c>
      <c r="AI5" s="2" t="s">
        <v>57</v>
      </c>
      <c r="AJ5" s="2" t="s">
        <v>58</v>
      </c>
      <c r="AK5" s="2" t="s">
        <v>59</v>
      </c>
      <c r="AL5" s="2" t="s">
        <v>60</v>
      </c>
    </row>
    <row r="6" spans="1:38" x14ac:dyDescent="0.35">
      <c r="A6" s="7">
        <v>43101</v>
      </c>
      <c r="B6" s="7">
        <v>43190</v>
      </c>
      <c r="C6" t="s">
        <v>124</v>
      </c>
      <c r="D6" t="s">
        <v>125</v>
      </c>
      <c r="E6" s="4">
        <v>1</v>
      </c>
      <c r="F6" s="3">
        <v>9.8723541508006661E-4</v>
      </c>
      <c r="G6" s="3">
        <v>5.2233634294956239E-4</v>
      </c>
      <c r="H6" s="3">
        <v>3.9046312301412385E-3</v>
      </c>
      <c r="I6" s="3">
        <v>2.0590517717537526E-3</v>
      </c>
      <c r="J6" s="3">
        <v>5.2149314083110593E-3</v>
      </c>
      <c r="K6" s="3">
        <v>5.2654462670556571E-3</v>
      </c>
      <c r="L6" s="3">
        <v>6.9821971437631896E-3</v>
      </c>
      <c r="M6" s="3">
        <v>6.3750225391471602E-3</v>
      </c>
      <c r="N6" s="3">
        <v>1.0507892750587852E-2</v>
      </c>
      <c r="O6" s="3">
        <v>6.7065150130467804E-3</v>
      </c>
      <c r="P6" s="3">
        <v>1.3154611745470947E-2</v>
      </c>
      <c r="Q6" s="3">
        <v>8.0682340944428794E-3</v>
      </c>
      <c r="R6" s="3">
        <v>1.5456126253836607E-2</v>
      </c>
      <c r="S6" s="3">
        <v>1.0142726163996979E-2</v>
      </c>
      <c r="T6" s="3">
        <v>1.6907674061615849E-2</v>
      </c>
      <c r="U6" s="3">
        <v>1.2823319048479054E-2</v>
      </c>
      <c r="V6" s="3">
        <v>1.904753562160251E-2</v>
      </c>
      <c r="W6" s="3">
        <v>1.3978029939151655E-2</v>
      </c>
      <c r="X6" s="3">
        <v>2.2194112106792327E-2</v>
      </c>
      <c r="Y6" s="3">
        <v>1.6541921398612769E-2</v>
      </c>
      <c r="Z6" s="3">
        <v>2.5720350031989594E-2</v>
      </c>
      <c r="AA6" s="3">
        <v>2.6938659601285303E-2</v>
      </c>
      <c r="AB6" s="3">
        <v>3.22208891354583E-2</v>
      </c>
      <c r="AC6" s="3">
        <v>3.5598276343003582E-2</v>
      </c>
      <c r="AD6" s="3">
        <v>3.7975244868088717E-2</v>
      </c>
      <c r="AE6" s="3">
        <v>4.5630307613935217E-2</v>
      </c>
      <c r="AF6" s="3">
        <v>4.853026052880377E-2</v>
      </c>
      <c r="AG6" s="3">
        <v>4.7821994417673777E-2</v>
      </c>
      <c r="AH6" s="3">
        <v>6.1201092314036615E-2</v>
      </c>
      <c r="AI6" s="3">
        <v>5.0923580014799824E-2</v>
      </c>
      <c r="AJ6" s="3">
        <v>8.2188999629773274E-2</v>
      </c>
      <c r="AK6" s="3">
        <v>0.11588203667397348</v>
      </c>
      <c r="AL6" s="3">
        <v>8.3382830424295451E-2</v>
      </c>
    </row>
    <row r="7" spans="1:38" x14ac:dyDescent="0.35">
      <c r="A7" s="7">
        <v>43101</v>
      </c>
      <c r="B7" s="7">
        <v>43190</v>
      </c>
      <c r="C7" t="s">
        <v>124</v>
      </c>
      <c r="D7" t="s">
        <v>125</v>
      </c>
      <c r="E7" s="4" t="s">
        <v>64</v>
      </c>
      <c r="F7" s="3">
        <v>1.9555046283066726E-3</v>
      </c>
      <c r="G7" s="3">
        <v>1.4444817733707499E-3</v>
      </c>
      <c r="H7" s="3">
        <v>4.8506266060747323E-3</v>
      </c>
      <c r="I7" s="3">
        <v>2.9689251011853386E-3</v>
      </c>
      <c r="J7" s="3">
        <v>6.1332831557499856E-3</v>
      </c>
      <c r="K7" s="3">
        <v>6.2230620024443378E-3</v>
      </c>
      <c r="L7" s="3">
        <v>7.9341159321329683E-3</v>
      </c>
      <c r="M7" s="3">
        <v>7.2808199776805086E-3</v>
      </c>
      <c r="N7" s="3">
        <v>1.1450059642861695E-2</v>
      </c>
      <c r="O7" s="3">
        <v>7.642785468758395E-3</v>
      </c>
      <c r="P7" s="3">
        <v>1.4118841964526537E-2</v>
      </c>
      <c r="Q7" s="3">
        <v>8.979868013520546E-3</v>
      </c>
      <c r="R7" s="3">
        <v>1.6439336595061631E-2</v>
      </c>
      <c r="S7" s="3">
        <v>1.1073364823084355E-2</v>
      </c>
      <c r="T7" s="3">
        <v>1.7881617977735499E-2</v>
      </c>
      <c r="U7" s="3">
        <v>1.373890625363945E-2</v>
      </c>
      <c r="V7" s="3">
        <v>2.0018330733574292E-2</v>
      </c>
      <c r="W7" s="3">
        <v>1.4924668227140765E-2</v>
      </c>
      <c r="X7" s="3">
        <v>2.3173292504344783E-2</v>
      </c>
      <c r="Y7" s="3">
        <v>1.7464646138943565E-2</v>
      </c>
      <c r="Z7" s="3">
        <v>2.6663966833701071E-2</v>
      </c>
      <c r="AA7" s="3">
        <v>2.7893391600233453E-2</v>
      </c>
      <c r="AB7" s="3">
        <v>3.3139843977245197E-2</v>
      </c>
      <c r="AC7" s="3">
        <v>3.6548496431847793E-2</v>
      </c>
      <c r="AD7" s="3">
        <v>3.8929948312430664E-2</v>
      </c>
      <c r="AE7" s="3">
        <v>4.6537761203292317E-2</v>
      </c>
      <c r="AF7" s="3">
        <v>4.9498060155195492E-2</v>
      </c>
      <c r="AG7" s="3">
        <v>4.8743308851667146E-2</v>
      </c>
      <c r="AH7" s="3">
        <v>6.2159836721572548E-2</v>
      </c>
      <c r="AI7" s="3">
        <v>5.1836736383455005E-2</v>
      </c>
      <c r="AJ7" s="3">
        <v>8.3118740122663751E-2</v>
      </c>
      <c r="AK7" s="3">
        <v>0.1168205734558888</v>
      </c>
      <c r="AL7" s="3">
        <v>8.4284808505095662E-2</v>
      </c>
    </row>
    <row r="8" spans="1:38" x14ac:dyDescent="0.35">
      <c r="A8" s="7">
        <v>43101</v>
      </c>
      <c r="B8" s="7">
        <v>43190</v>
      </c>
      <c r="C8" t="s">
        <v>124</v>
      </c>
      <c r="D8" t="s">
        <v>125</v>
      </c>
      <c r="E8" s="4">
        <v>2</v>
      </c>
      <c r="F8" s="3">
        <v>2.8970218996252142E-3</v>
      </c>
      <c r="G8" s="3">
        <v>2.3689152749164387E-3</v>
      </c>
      <c r="H8" s="3">
        <v>5.8484518920303586E-3</v>
      </c>
      <c r="I8" s="3">
        <v>3.9556911621240762E-3</v>
      </c>
      <c r="J8" s="3">
        <v>7.0601310643130044E-3</v>
      </c>
      <c r="K8" s="3">
        <v>7.1981062270383362E-3</v>
      </c>
      <c r="L8" s="3">
        <v>8.8450446295011212E-3</v>
      </c>
      <c r="M8" s="3">
        <v>8.2346432484778458E-3</v>
      </c>
      <c r="N8" s="3">
        <v>1.238232419933108E-2</v>
      </c>
      <c r="O8" s="3">
        <v>8.5946840775588326E-3</v>
      </c>
      <c r="P8" s="3">
        <v>1.504054701935875E-2</v>
      </c>
      <c r="Q8" s="3">
        <v>9.9192192002095156E-3</v>
      </c>
      <c r="R8" s="3">
        <v>1.7371166603959768E-2</v>
      </c>
      <c r="S8" s="3">
        <v>1.2041012010300826E-2</v>
      </c>
      <c r="T8" s="3">
        <v>1.8831479692354037E-2</v>
      </c>
      <c r="U8" s="3">
        <v>1.4687198648127538E-2</v>
      </c>
      <c r="V8" s="3">
        <v>2.0993338675699427E-2</v>
      </c>
      <c r="W8" s="3">
        <v>1.5890880083179657E-2</v>
      </c>
      <c r="X8" s="3">
        <v>2.414075459663979E-2</v>
      </c>
      <c r="Y8" s="3">
        <v>1.8458963417643245E-2</v>
      </c>
      <c r="Z8" s="3">
        <v>2.7599887843882988E-2</v>
      </c>
      <c r="AA8" s="3">
        <v>2.8867198078455506E-2</v>
      </c>
      <c r="AB8" s="3">
        <v>3.4078492929563477E-2</v>
      </c>
      <c r="AC8" s="3">
        <v>3.7451398081860633E-2</v>
      </c>
      <c r="AD8" s="3">
        <v>3.984576144832034E-2</v>
      </c>
      <c r="AE8" s="3">
        <v>4.744267502963543E-2</v>
      </c>
      <c r="AF8" s="3">
        <v>5.0471262341356134E-2</v>
      </c>
      <c r="AG8" s="3">
        <v>4.9721406261892226E-2</v>
      </c>
      <c r="AH8" s="3">
        <v>6.3088969605302594E-2</v>
      </c>
      <c r="AI8" s="3">
        <v>5.2827014311840927E-2</v>
      </c>
      <c r="AJ8" s="3">
        <v>8.4050826477839929E-2</v>
      </c>
      <c r="AK8" s="3">
        <v>0.11776338686442323</v>
      </c>
      <c r="AL8" s="3">
        <v>8.5187624453367236E-2</v>
      </c>
    </row>
    <row r="9" spans="1:38" x14ac:dyDescent="0.35">
      <c r="A9" s="7">
        <v>43101</v>
      </c>
      <c r="B9" s="7">
        <v>43190</v>
      </c>
      <c r="C9" t="s">
        <v>124</v>
      </c>
      <c r="D9" t="s">
        <v>125</v>
      </c>
      <c r="E9" s="4" t="s">
        <v>65</v>
      </c>
      <c r="F9" s="3">
        <v>3.8925880436026291E-3</v>
      </c>
      <c r="G9" s="3">
        <v>3.3293087884667567E-3</v>
      </c>
      <c r="H9" s="3">
        <v>6.8196563712744074E-3</v>
      </c>
      <c r="I9" s="3">
        <v>4.8932082139034102E-3</v>
      </c>
      <c r="J9" s="3">
        <v>8.0132646367332746E-3</v>
      </c>
      <c r="K9" s="3">
        <v>8.1358307951268742E-3</v>
      </c>
      <c r="L9" s="3">
        <v>9.7746624752325668E-3</v>
      </c>
      <c r="M9" s="3">
        <v>9.1797473929750139E-3</v>
      </c>
      <c r="N9" s="3">
        <v>1.3293207543458285E-2</v>
      </c>
      <c r="O9" s="3">
        <v>9.5448669156472064E-3</v>
      </c>
      <c r="P9" s="3">
        <v>1.6028482383182132E-2</v>
      </c>
      <c r="Q9" s="3">
        <v>1.0902780731733957E-2</v>
      </c>
      <c r="R9" s="3">
        <v>1.8290724980076223E-2</v>
      </c>
      <c r="S9" s="3">
        <v>1.2959929011024785E-2</v>
      </c>
      <c r="T9" s="3">
        <v>1.9744417994947586E-2</v>
      </c>
      <c r="U9" s="3">
        <v>1.5652317576269625E-2</v>
      </c>
      <c r="V9" s="3">
        <v>2.1913480248590571E-2</v>
      </c>
      <c r="W9" s="3">
        <v>1.6850251791674657E-2</v>
      </c>
      <c r="X9" s="3">
        <v>2.5122262773781382E-2</v>
      </c>
      <c r="Y9" s="3">
        <v>1.9373228437165709E-2</v>
      </c>
      <c r="Z9" s="3">
        <v>2.8590145397651652E-2</v>
      </c>
      <c r="AA9" s="3">
        <v>2.9820686831295171E-2</v>
      </c>
      <c r="AB9" s="3">
        <v>3.5042504808221867E-2</v>
      </c>
      <c r="AC9" s="3">
        <v>3.8366638261812719E-2</v>
      </c>
      <c r="AD9" s="3">
        <v>4.0762272908770117E-2</v>
      </c>
      <c r="AE9" s="3">
        <v>4.8423160064546077E-2</v>
      </c>
      <c r="AF9" s="3">
        <v>5.1429679229339921E-2</v>
      </c>
      <c r="AG9" s="3">
        <v>5.0661021251319487E-2</v>
      </c>
      <c r="AH9" s="3">
        <v>6.4006290793609949E-2</v>
      </c>
      <c r="AI9" s="3">
        <v>5.3762463089604771E-2</v>
      </c>
      <c r="AJ9" s="3">
        <v>8.4999678600142931E-2</v>
      </c>
      <c r="AK9" s="3">
        <v>0.11869337850398419</v>
      </c>
      <c r="AL9" s="3">
        <v>8.6170594043826487E-2</v>
      </c>
    </row>
    <row r="10" spans="1:38" x14ac:dyDescent="0.35">
      <c r="A10" s="7">
        <v>43101</v>
      </c>
      <c r="B10" s="7">
        <v>43190</v>
      </c>
      <c r="C10" t="s">
        <v>124</v>
      </c>
      <c r="D10" t="s">
        <v>125</v>
      </c>
      <c r="E10" s="4" t="s">
        <v>66</v>
      </c>
      <c r="F10" s="3">
        <v>4.8164316239651976E-3</v>
      </c>
      <c r="G10" s="3">
        <v>4.2797589194579228E-3</v>
      </c>
      <c r="H10" s="3">
        <v>7.8081053091731585E-3</v>
      </c>
      <c r="I10" s="3">
        <v>5.8671138528759836E-3</v>
      </c>
      <c r="J10" s="3">
        <v>8.9852878840056237E-3</v>
      </c>
      <c r="K10" s="3">
        <v>9.0839267564754595E-3</v>
      </c>
      <c r="L10" s="3">
        <v>1.0760408681570018E-2</v>
      </c>
      <c r="M10" s="3">
        <v>1.0139345117331524E-2</v>
      </c>
      <c r="N10" s="3">
        <v>1.4274630476066415E-2</v>
      </c>
      <c r="O10" s="3">
        <v>1.0495680412953486E-2</v>
      </c>
      <c r="P10" s="3">
        <v>1.6990447680038118E-2</v>
      </c>
      <c r="Q10" s="3">
        <v>1.1867473360407806E-2</v>
      </c>
      <c r="R10" s="3">
        <v>1.9253792917843317E-2</v>
      </c>
      <c r="S10" s="3">
        <v>1.393208750331036E-2</v>
      </c>
      <c r="T10" s="3">
        <v>2.0668036280152662E-2</v>
      </c>
      <c r="U10" s="3">
        <v>1.6594488698087415E-2</v>
      </c>
      <c r="V10" s="3">
        <v>2.2858979945907135E-2</v>
      </c>
      <c r="W10" s="3">
        <v>1.7841963462791443E-2</v>
      </c>
      <c r="X10" s="3">
        <v>2.6025110373458438E-2</v>
      </c>
      <c r="Y10" s="3">
        <v>2.0349523078769728E-2</v>
      </c>
      <c r="Z10" s="3">
        <v>2.9543861718213046E-2</v>
      </c>
      <c r="AA10" s="3">
        <v>3.0733705693309476E-2</v>
      </c>
      <c r="AB10" s="3">
        <v>3.5989763352759906E-2</v>
      </c>
      <c r="AC10" s="3">
        <v>3.9327036642431687E-2</v>
      </c>
      <c r="AD10" s="3">
        <v>4.1690749612420919E-2</v>
      </c>
      <c r="AE10" s="3">
        <v>4.9419860058073889E-2</v>
      </c>
      <c r="AF10" s="3">
        <v>5.2365926051764183E-2</v>
      </c>
      <c r="AG10" s="3">
        <v>5.1587901413566957E-2</v>
      </c>
      <c r="AH10" s="3">
        <v>6.4992861093754614E-2</v>
      </c>
      <c r="AI10" s="3">
        <v>5.473896489795009E-2</v>
      </c>
      <c r="AJ10" s="3">
        <v>8.5927084835442799E-2</v>
      </c>
      <c r="AK10" s="3">
        <v>0.11969048553650631</v>
      </c>
      <c r="AL10" s="3">
        <v>8.7084027690595589E-2</v>
      </c>
    </row>
    <row r="11" spans="1:38" x14ac:dyDescent="0.35">
      <c r="A11" s="7">
        <v>43101</v>
      </c>
      <c r="B11" s="7">
        <v>43190</v>
      </c>
      <c r="C11" t="s">
        <v>124</v>
      </c>
      <c r="D11" t="s">
        <v>125</v>
      </c>
      <c r="E11" s="4">
        <v>3</v>
      </c>
      <c r="F11" s="3">
        <v>5.8093132293695927E-3</v>
      </c>
      <c r="G11" s="3">
        <v>5.2059708113497121E-3</v>
      </c>
      <c r="H11" s="3">
        <v>8.7994041119458764E-3</v>
      </c>
      <c r="I11" s="3">
        <v>6.7806188390019022E-3</v>
      </c>
      <c r="J11" s="3">
        <v>9.9273131857093039E-3</v>
      </c>
      <c r="K11" s="3">
        <v>1.0058551719849628E-2</v>
      </c>
      <c r="L11" s="3">
        <v>1.1707387777530491E-2</v>
      </c>
      <c r="M11" s="3">
        <v>1.1118831932959119E-2</v>
      </c>
      <c r="N11" s="3">
        <v>1.519713920879525E-2</v>
      </c>
      <c r="O11" s="3">
        <v>1.1479170774394741E-2</v>
      </c>
      <c r="P11" s="3">
        <v>1.7981297683726239E-2</v>
      </c>
      <c r="Q11" s="3">
        <v>1.2781588451177517E-2</v>
      </c>
      <c r="R11" s="3">
        <v>2.0192268792738499E-2</v>
      </c>
      <c r="S11" s="3">
        <v>1.4930679296247284E-2</v>
      </c>
      <c r="T11" s="3">
        <v>2.1601194914300653E-2</v>
      </c>
      <c r="U11" s="3">
        <v>1.749763379652771E-2</v>
      </c>
      <c r="V11" s="3">
        <v>2.3767134065234195E-2</v>
      </c>
      <c r="W11" s="3">
        <v>1.8762297852789871E-2</v>
      </c>
      <c r="X11" s="3">
        <v>2.6956300324280601E-2</v>
      </c>
      <c r="Y11" s="3">
        <v>2.129224629278198E-2</v>
      </c>
      <c r="Z11" s="3">
        <v>3.0504517540770239E-2</v>
      </c>
      <c r="AA11" s="3">
        <v>3.173032040789113E-2</v>
      </c>
      <c r="AB11" s="3">
        <v>3.6903407085099336E-2</v>
      </c>
      <c r="AC11" s="3">
        <v>4.0289714971796502E-2</v>
      </c>
      <c r="AD11" s="3">
        <v>4.2671491768077573E-2</v>
      </c>
      <c r="AE11" s="3">
        <v>5.0325299562678429E-2</v>
      </c>
      <c r="AF11" s="3">
        <v>5.3270462377958912E-2</v>
      </c>
      <c r="AG11" s="3">
        <v>5.2507018551669837E-2</v>
      </c>
      <c r="AH11" s="3">
        <v>6.5920201824883395E-2</v>
      </c>
      <c r="AI11" s="3">
        <v>5.5656346334527179E-2</v>
      </c>
      <c r="AJ11" s="3">
        <v>8.6834155019339318E-2</v>
      </c>
      <c r="AK11" s="3">
        <v>0.1206366766033987</v>
      </c>
      <c r="AL11" s="3">
        <v>8.7987526266215171E-2</v>
      </c>
    </row>
    <row r="12" spans="1:38" x14ac:dyDescent="0.35">
      <c r="A12" s="7">
        <v>43101</v>
      </c>
      <c r="B12" s="7">
        <v>43190</v>
      </c>
      <c r="C12" t="s">
        <v>124</v>
      </c>
      <c r="D12" t="s">
        <v>125</v>
      </c>
      <c r="E12" s="4" t="s">
        <v>67</v>
      </c>
      <c r="F12" s="3">
        <v>6.7583386736877332E-3</v>
      </c>
      <c r="G12" s="3">
        <v>6.1140668603792189E-3</v>
      </c>
      <c r="H12" s="3">
        <v>9.7349615351173327E-3</v>
      </c>
      <c r="I12" s="3">
        <v>7.7164836331189762E-3</v>
      </c>
      <c r="J12" s="3">
        <v>1.084636742679331E-2</v>
      </c>
      <c r="K12" s="3">
        <v>1.1010486371479274E-2</v>
      </c>
      <c r="L12" s="3">
        <v>1.2665024302281877E-2</v>
      </c>
      <c r="M12" s="3">
        <v>1.2085829953676566E-2</v>
      </c>
      <c r="N12" s="3">
        <v>1.6100322924584062E-2</v>
      </c>
      <c r="O12" s="3">
        <v>1.2446438544002566E-2</v>
      </c>
      <c r="P12" s="3">
        <v>1.8887358319701071E-2</v>
      </c>
      <c r="Q12" s="3">
        <v>1.3705992518516546E-2</v>
      </c>
      <c r="R12" s="3">
        <v>2.1104972754014864E-2</v>
      </c>
      <c r="S12" s="3">
        <v>1.5890796136354191E-2</v>
      </c>
      <c r="T12" s="3">
        <v>2.2517306360080137E-2</v>
      </c>
      <c r="U12" s="3">
        <v>1.8481023873773615E-2</v>
      </c>
      <c r="V12" s="3">
        <v>2.4733842563750844E-2</v>
      </c>
      <c r="W12" s="3">
        <v>1.9669938527937057E-2</v>
      </c>
      <c r="X12" s="3">
        <v>2.7875780282546468E-2</v>
      </c>
      <c r="Y12" s="3">
        <v>2.2260285664062861E-2</v>
      </c>
      <c r="Z12" s="3">
        <v>3.1447037965201673E-2</v>
      </c>
      <c r="AA12" s="3">
        <v>3.2681929848966049E-2</v>
      </c>
      <c r="AB12" s="3">
        <v>3.7820791014653327E-2</v>
      </c>
      <c r="AC12" s="3">
        <v>4.1225848263291689E-2</v>
      </c>
      <c r="AD12" s="3">
        <v>4.3575165230735007E-2</v>
      </c>
      <c r="AE12" s="3">
        <v>5.1305686528439115E-2</v>
      </c>
      <c r="AF12" s="3">
        <v>5.4233725413743869E-2</v>
      </c>
      <c r="AG12" s="3">
        <v>5.3482815954358526E-2</v>
      </c>
      <c r="AH12" s="3">
        <v>6.6849924185783408E-2</v>
      </c>
      <c r="AI12" s="3">
        <v>5.6643603818231331E-2</v>
      </c>
      <c r="AJ12" s="3">
        <v>8.7792846378674474E-2</v>
      </c>
      <c r="AK12" s="3">
        <v>0.12163408093916621</v>
      </c>
      <c r="AL12" s="3">
        <v>8.8952963912685618E-2</v>
      </c>
    </row>
    <row r="13" spans="1:38" x14ac:dyDescent="0.35">
      <c r="A13" s="7">
        <v>43101</v>
      </c>
      <c r="B13" s="7">
        <v>43190</v>
      </c>
      <c r="C13" t="s">
        <v>124</v>
      </c>
      <c r="D13" t="s">
        <v>125</v>
      </c>
      <c r="E13" s="4" t="s">
        <v>68</v>
      </c>
      <c r="F13" s="3">
        <v>7.7391976220217767E-3</v>
      </c>
      <c r="G13" s="3">
        <v>7.0401123839988729E-3</v>
      </c>
      <c r="H13" s="3">
        <v>1.0642241261176211E-2</v>
      </c>
      <c r="I13" s="3">
        <v>8.7080170457777273E-3</v>
      </c>
      <c r="J13" s="3">
        <v>1.1757571708418508E-2</v>
      </c>
      <c r="K13" s="3">
        <v>1.1966037413180702E-2</v>
      </c>
      <c r="L13" s="3">
        <v>1.3653307044733314E-2</v>
      </c>
      <c r="M13" s="3">
        <v>1.3027658446906204E-2</v>
      </c>
      <c r="N13" s="3">
        <v>1.700772108729889E-2</v>
      </c>
      <c r="O13" s="3">
        <v>1.3405401536441366E-2</v>
      </c>
      <c r="P13" s="3">
        <v>1.9876462331655482E-2</v>
      </c>
      <c r="Q13" s="3">
        <v>1.4671343263786902E-2</v>
      </c>
      <c r="R13" s="3">
        <v>2.203438301816343E-2</v>
      </c>
      <c r="S13" s="3">
        <v>1.6820873196983933E-2</v>
      </c>
      <c r="T13" s="3">
        <v>2.3433727451292765E-2</v>
      </c>
      <c r="U13" s="3">
        <v>1.9477800013649862E-2</v>
      </c>
      <c r="V13" s="3">
        <v>2.5709102113335696E-2</v>
      </c>
      <c r="W13" s="3">
        <v>2.065798921465448E-2</v>
      </c>
      <c r="X13" s="3">
        <v>2.8801267945788959E-2</v>
      </c>
      <c r="Y13" s="3">
        <v>2.3207699194427795E-2</v>
      </c>
      <c r="Z13" s="3">
        <v>3.2390312450374541E-2</v>
      </c>
      <c r="AA13" s="3">
        <v>3.365309053550835E-2</v>
      </c>
      <c r="AB13" s="3">
        <v>3.8781201174315112E-2</v>
      </c>
      <c r="AC13" s="3">
        <v>4.2188469893734454E-2</v>
      </c>
      <c r="AD13" s="3">
        <v>4.448037654250861E-2</v>
      </c>
      <c r="AE13" s="3">
        <v>5.2223518133722273E-2</v>
      </c>
      <c r="AF13" s="3">
        <v>5.5186289388047011E-2</v>
      </c>
      <c r="AG13" s="3">
        <v>5.4406298040132625E-2</v>
      </c>
      <c r="AH13" s="3">
        <v>6.7754335980998129E-2</v>
      </c>
      <c r="AI13" s="3">
        <v>5.7604606311731983E-2</v>
      </c>
      <c r="AJ13" s="3">
        <v>8.8773460343661181E-2</v>
      </c>
      <c r="AK13" s="3">
        <v>0.12258290963650199</v>
      </c>
      <c r="AL13" s="3">
        <v>8.9900851408525939E-2</v>
      </c>
    </row>
    <row r="14" spans="1:38" x14ac:dyDescent="0.35">
      <c r="A14" s="7">
        <v>43101</v>
      </c>
      <c r="B14" s="7">
        <v>43190</v>
      </c>
      <c r="C14" t="s">
        <v>124</v>
      </c>
      <c r="D14" t="s">
        <v>125</v>
      </c>
      <c r="E14" s="4">
        <v>4</v>
      </c>
      <c r="F14" s="3">
        <v>8.6871118527651198E-3</v>
      </c>
      <c r="G14" s="3">
        <v>7.9551358344736259E-3</v>
      </c>
      <c r="H14" s="3">
        <v>1.1574657158047511E-2</v>
      </c>
      <c r="I14" s="3">
        <v>9.6494885959371116E-3</v>
      </c>
      <c r="J14" s="3">
        <v>1.2728649950114241E-2</v>
      </c>
      <c r="K14" s="3">
        <v>1.2933984380575959E-2</v>
      </c>
      <c r="L14" s="3">
        <v>1.460077636818825E-2</v>
      </c>
      <c r="M14" s="3">
        <v>1.3930131542778522E-2</v>
      </c>
      <c r="N14" s="3">
        <v>1.7946966069131612E-2</v>
      </c>
      <c r="O14" s="3">
        <v>1.4338873967426632E-2</v>
      </c>
      <c r="P14" s="3">
        <v>2.0856967046642347E-2</v>
      </c>
      <c r="Q14" s="3">
        <v>1.5664872848888501E-2</v>
      </c>
      <c r="R14" s="3">
        <v>2.2977525764767102E-2</v>
      </c>
      <c r="S14" s="3">
        <v>1.7791025093767298E-2</v>
      </c>
      <c r="T14" s="3">
        <v>2.4378022305578263E-2</v>
      </c>
      <c r="U14" s="3">
        <v>2.0468649631014298E-2</v>
      </c>
      <c r="V14" s="3">
        <v>2.6666048141618878E-2</v>
      </c>
      <c r="W14" s="3">
        <v>2.1580033371126336E-2</v>
      </c>
      <c r="X14" s="3">
        <v>2.9741895793428758E-2</v>
      </c>
      <c r="Y14" s="3">
        <v>2.4140618258473624E-2</v>
      </c>
      <c r="Z14" s="3">
        <v>3.3390188726632124E-2</v>
      </c>
      <c r="AA14" s="3">
        <v>3.4575139555686148E-2</v>
      </c>
      <c r="AB14" s="3">
        <v>3.9705172164359759E-2</v>
      </c>
      <c r="AC14" s="3">
        <v>4.3171971954915601E-2</v>
      </c>
      <c r="AD14" s="3">
        <v>4.5385210637260101E-2</v>
      </c>
      <c r="AE14" s="3">
        <v>5.3193441864314989E-2</v>
      </c>
      <c r="AF14" s="3">
        <v>5.6117816364555241E-2</v>
      </c>
      <c r="AG14" s="3">
        <v>5.5348939251239015E-2</v>
      </c>
      <c r="AH14" s="3">
        <v>6.8749052053499321E-2</v>
      </c>
      <c r="AI14" s="3">
        <v>5.8571938732369364E-2</v>
      </c>
      <c r="AJ14" s="3">
        <v>8.9715422799307734E-2</v>
      </c>
      <c r="AK14" s="3">
        <v>0.12356655400287085</v>
      </c>
      <c r="AL14" s="3">
        <v>9.0817861900126778E-2</v>
      </c>
    </row>
    <row r="15" spans="1:38" x14ac:dyDescent="0.35">
      <c r="A15" s="7">
        <v>43101</v>
      </c>
      <c r="B15" s="7">
        <v>43190</v>
      </c>
      <c r="C15" t="s">
        <v>124</v>
      </c>
      <c r="D15" t="s">
        <v>125</v>
      </c>
      <c r="E15" s="4" t="s">
        <v>69</v>
      </c>
      <c r="F15" s="3">
        <v>9.6633406642420705E-3</v>
      </c>
      <c r="G15" s="3">
        <v>8.8567841877101317E-3</v>
      </c>
      <c r="H15" s="3">
        <v>1.2516670482588144E-2</v>
      </c>
      <c r="I15" s="3">
        <v>1.0613877354440141E-2</v>
      </c>
      <c r="J15" s="3">
        <v>1.3665005216227521E-2</v>
      </c>
      <c r="K15" s="3">
        <v>1.3896986844783427E-2</v>
      </c>
      <c r="L15" s="3">
        <v>1.5517567647322292E-2</v>
      </c>
      <c r="M15" s="3">
        <v>1.4913898212994449E-2</v>
      </c>
      <c r="N15" s="3">
        <v>1.8902640946801167E-2</v>
      </c>
      <c r="O15" s="3">
        <v>1.5285534809126988E-2</v>
      </c>
      <c r="P15" s="3">
        <v>2.1782291759152264E-2</v>
      </c>
      <c r="Q15" s="3">
        <v>1.662869558926414E-2</v>
      </c>
      <c r="R15" s="3">
        <v>2.391445965152484E-2</v>
      </c>
      <c r="S15" s="3">
        <v>1.8763060110870457E-2</v>
      </c>
      <c r="T15" s="3">
        <v>2.5316843693128623E-2</v>
      </c>
      <c r="U15" s="3">
        <v>2.1445309033417466E-2</v>
      </c>
      <c r="V15" s="3">
        <v>2.7583538133656129E-2</v>
      </c>
      <c r="W15" s="3">
        <v>2.2500495259273386E-2</v>
      </c>
      <c r="X15" s="3">
        <v>3.0730557773519358E-2</v>
      </c>
      <c r="Y15" s="3">
        <v>2.5049873203161498E-2</v>
      </c>
      <c r="Z15" s="3">
        <v>3.4380516132835014E-2</v>
      </c>
      <c r="AA15" s="3">
        <v>3.5536616039588888E-2</v>
      </c>
      <c r="AB15" s="3">
        <v>4.0674492333930001E-2</v>
      </c>
      <c r="AC15" s="3">
        <v>4.4144902683848131E-2</v>
      </c>
      <c r="AD15" s="3">
        <v>4.6289604606180174E-2</v>
      </c>
      <c r="AE15" s="3">
        <v>5.4180960165628241E-2</v>
      </c>
      <c r="AF15" s="3">
        <v>5.7053919066883008E-2</v>
      </c>
      <c r="AG15" s="3">
        <v>5.6257482062810907E-2</v>
      </c>
      <c r="AH15" s="3">
        <v>6.9699819231343885E-2</v>
      </c>
      <c r="AI15" s="3">
        <v>5.9562776545488701E-2</v>
      </c>
      <c r="AJ15" s="3">
        <v>9.0707800169766276E-2</v>
      </c>
      <c r="AK15" s="3">
        <v>0.12451313615786119</v>
      </c>
      <c r="AL15" s="3">
        <v>9.1732767645065466E-2</v>
      </c>
    </row>
    <row r="16" spans="1:38" x14ac:dyDescent="0.35">
      <c r="A16" s="7">
        <v>43101</v>
      </c>
      <c r="B16" s="7">
        <v>43190</v>
      </c>
      <c r="C16" t="s">
        <v>124</v>
      </c>
      <c r="D16" t="s">
        <v>125</v>
      </c>
      <c r="E16" s="4" t="s">
        <v>70</v>
      </c>
      <c r="F16" s="3">
        <v>1.0615006950827514E-2</v>
      </c>
      <c r="G16" s="3">
        <v>9.7629176956889521E-3</v>
      </c>
      <c r="H16" s="3">
        <v>1.3502258168549955E-2</v>
      </c>
      <c r="I16" s="3">
        <v>1.1532143139689066E-2</v>
      </c>
      <c r="J16" s="3">
        <v>1.4610253000537966E-2</v>
      </c>
      <c r="K16" s="3">
        <v>1.4871243633954574E-2</v>
      </c>
      <c r="L16" s="3">
        <v>1.6506458227018361E-2</v>
      </c>
      <c r="M16" s="3">
        <v>1.5822139340595884E-2</v>
      </c>
      <c r="N16" s="3">
        <v>1.9879240678301116E-2</v>
      </c>
      <c r="O16" s="3">
        <v>1.6241603607676743E-2</v>
      </c>
      <c r="P16" s="3">
        <v>2.2699213581187008E-2</v>
      </c>
      <c r="Q16" s="3">
        <v>1.7624472251490889E-2</v>
      </c>
      <c r="R16" s="3">
        <v>2.4870656963362825E-2</v>
      </c>
      <c r="S16" s="3">
        <v>1.9729596604833866E-2</v>
      </c>
      <c r="T16" s="3">
        <v>2.6228818340475298E-2</v>
      </c>
      <c r="U16" s="3">
        <v>2.2352468210182243E-2</v>
      </c>
      <c r="V16" s="3">
        <v>2.8513458477405225E-2</v>
      </c>
      <c r="W16" s="3">
        <v>2.349646393134789E-2</v>
      </c>
      <c r="X16" s="3">
        <v>3.171025966002905E-2</v>
      </c>
      <c r="Y16" s="3">
        <v>2.6007331566039356E-2</v>
      </c>
      <c r="Z16" s="3">
        <v>3.5298731543727931E-2</v>
      </c>
      <c r="AA16" s="3">
        <v>3.6467788080590161E-2</v>
      </c>
      <c r="AB16" s="3">
        <v>4.1609447758682513E-2</v>
      </c>
      <c r="AC16" s="3">
        <v>4.506852192541988E-2</v>
      </c>
      <c r="AD16" s="3">
        <v>4.7195598965229249E-2</v>
      </c>
      <c r="AE16" s="3">
        <v>5.5159910045503073E-2</v>
      </c>
      <c r="AF16" s="3">
        <v>5.801261041153194E-2</v>
      </c>
      <c r="AG16" s="3">
        <v>5.7181077966933225E-2</v>
      </c>
      <c r="AH16" s="3">
        <v>7.068823897740123E-2</v>
      </c>
      <c r="AI16" s="3">
        <v>6.0478159208486031E-2</v>
      </c>
      <c r="AJ16" s="3">
        <v>9.161490997768823E-2</v>
      </c>
      <c r="AK16" s="3">
        <v>0.1254369045674463</v>
      </c>
      <c r="AL16" s="3">
        <v>9.27167941862439E-2</v>
      </c>
    </row>
    <row r="17" spans="1:38" x14ac:dyDescent="0.35">
      <c r="A17" s="7">
        <v>43101</v>
      </c>
      <c r="B17" s="7">
        <v>43190</v>
      </c>
      <c r="C17" t="s">
        <v>124</v>
      </c>
      <c r="D17" t="s">
        <v>125</v>
      </c>
      <c r="E17" s="4">
        <v>5</v>
      </c>
      <c r="F17" s="3">
        <v>1.153703461634195E-2</v>
      </c>
      <c r="G17" s="3">
        <v>1.0701871493965603E-2</v>
      </c>
      <c r="H17" s="3">
        <v>1.4445141600718848E-2</v>
      </c>
      <c r="I17" s="3">
        <v>1.2501354570931673E-2</v>
      </c>
      <c r="J17" s="3">
        <v>1.5587162076532107E-2</v>
      </c>
      <c r="K17" s="3">
        <v>1.5857435763598306E-2</v>
      </c>
      <c r="L17" s="3">
        <v>1.7430411032710386E-2</v>
      </c>
      <c r="M17" s="3">
        <v>1.6758382469180051E-2</v>
      </c>
      <c r="N17" s="3">
        <v>2.0798630295579261E-2</v>
      </c>
      <c r="O17" s="3">
        <v>1.72040035593766E-2</v>
      </c>
      <c r="P17" s="3">
        <v>2.360787218744272E-2</v>
      </c>
      <c r="Q17" s="3">
        <v>1.8617434133182263E-2</v>
      </c>
      <c r="R17" s="3">
        <v>2.5787960327398798E-2</v>
      </c>
      <c r="S17" s="3">
        <v>2.0703405383414305E-2</v>
      </c>
      <c r="T17" s="3">
        <v>2.7149752994239301E-2</v>
      </c>
      <c r="U17" s="3">
        <v>2.3294855162885611E-2</v>
      </c>
      <c r="V17" s="3">
        <v>2.9445158938770949E-2</v>
      </c>
      <c r="W17" s="3">
        <v>2.4435172399565139E-2</v>
      </c>
      <c r="X17" s="3">
        <v>3.2687938236702893E-2</v>
      </c>
      <c r="Y17" s="3">
        <v>2.6914191192636463E-2</v>
      </c>
      <c r="Z17" s="3">
        <v>3.6274350429703735E-2</v>
      </c>
      <c r="AA17" s="3">
        <v>3.7416623636127196E-2</v>
      </c>
      <c r="AB17" s="3">
        <v>4.2529849427629184E-2</v>
      </c>
      <c r="AC17" s="3">
        <v>4.6045960511612784E-2</v>
      </c>
      <c r="AD17" s="3">
        <v>4.8128988861040549E-2</v>
      </c>
      <c r="AE17" s="3">
        <v>5.6095845061382758E-2</v>
      </c>
      <c r="AF17" s="3">
        <v>5.8952002646676112E-2</v>
      </c>
      <c r="AG17" s="3">
        <v>5.8096016217194402E-2</v>
      </c>
      <c r="AH17" s="3">
        <v>7.1637865264380846E-2</v>
      </c>
      <c r="AI17" s="3">
        <v>6.1439136470290402E-2</v>
      </c>
      <c r="AJ17" s="3">
        <v>9.2555173913923219E-2</v>
      </c>
      <c r="AK17" s="3">
        <v>0.12637465627533181</v>
      </c>
      <c r="AL17" s="3">
        <v>9.3630237274814329E-2</v>
      </c>
    </row>
    <row r="18" spans="1:38" x14ac:dyDescent="0.35">
      <c r="A18" s="7">
        <v>43101</v>
      </c>
      <c r="B18" s="7">
        <v>43190</v>
      </c>
      <c r="C18" t="s">
        <v>124</v>
      </c>
      <c r="D18" t="s">
        <v>125</v>
      </c>
      <c r="E18" s="4" t="s">
        <v>71</v>
      </c>
      <c r="F18" s="3">
        <v>1.245224753299351E-2</v>
      </c>
      <c r="G18" s="3">
        <v>1.1654426749807153E-2</v>
      </c>
      <c r="H18" s="3">
        <v>1.5363432166752955E-2</v>
      </c>
      <c r="I18" s="3">
        <v>1.3483817499054614E-2</v>
      </c>
      <c r="J18" s="3">
        <v>1.6515522119146912E-2</v>
      </c>
      <c r="K18" s="3">
        <v>1.6823752741559953E-2</v>
      </c>
      <c r="L18" s="3">
        <v>1.8378703526991808E-2</v>
      </c>
      <c r="M18" s="3">
        <v>1.7729505019661453E-2</v>
      </c>
      <c r="N18" s="3">
        <v>2.1743765763705465E-2</v>
      </c>
      <c r="O18" s="3">
        <v>1.8147549646481919E-2</v>
      </c>
      <c r="P18" s="3">
        <v>2.4550369849464026E-2</v>
      </c>
      <c r="Q18" s="3">
        <v>1.9553807159928726E-2</v>
      </c>
      <c r="R18" s="3">
        <v>2.6760856877947638E-2</v>
      </c>
      <c r="S18" s="3">
        <v>2.16326614592347E-2</v>
      </c>
      <c r="T18" s="3">
        <v>2.814608545157446E-2</v>
      </c>
      <c r="U18" s="3">
        <v>2.4256183992917527E-2</v>
      </c>
      <c r="V18" s="3">
        <v>3.0377722287246611E-2</v>
      </c>
      <c r="W18" s="3">
        <v>2.5363475537645862E-2</v>
      </c>
      <c r="X18" s="3">
        <v>3.3639852635564363E-2</v>
      </c>
      <c r="Y18" s="3">
        <v>2.7890286602368895E-2</v>
      </c>
      <c r="Z18" s="3">
        <v>3.7238787352116498E-2</v>
      </c>
      <c r="AA18" s="3">
        <v>3.8342734437073867E-2</v>
      </c>
      <c r="AB18" s="3">
        <v>4.3497644430090965E-2</v>
      </c>
      <c r="AC18" s="3">
        <v>4.69918284991825E-2</v>
      </c>
      <c r="AD18" s="3">
        <v>4.9106986994260957E-2</v>
      </c>
      <c r="AE18" s="3">
        <v>5.6996109513219109E-2</v>
      </c>
      <c r="AF18" s="3">
        <v>5.9944347119404856E-2</v>
      </c>
      <c r="AG18" s="3">
        <v>5.9024576265395139E-2</v>
      </c>
      <c r="AH18" s="3">
        <v>7.2586131170948864E-2</v>
      </c>
      <c r="AI18" s="3">
        <v>6.2356007964590066E-2</v>
      </c>
      <c r="AJ18" s="3">
        <v>9.3491764138789096E-2</v>
      </c>
      <c r="AK18" s="3">
        <v>0.12733627909692014</v>
      </c>
      <c r="AL18" s="3">
        <v>9.4620321119172929E-2</v>
      </c>
    </row>
    <row r="19" spans="1:38" x14ac:dyDescent="0.35">
      <c r="A19" s="7">
        <v>43101</v>
      </c>
      <c r="B19" s="7">
        <v>43190</v>
      </c>
      <c r="C19" t="s">
        <v>124</v>
      </c>
      <c r="D19" t="s">
        <v>125</v>
      </c>
      <c r="E19" s="4" t="s">
        <v>72</v>
      </c>
      <c r="F19" s="3">
        <v>1.3450044671522951E-2</v>
      </c>
      <c r="G19" s="3">
        <v>1.2597382233771229E-2</v>
      </c>
      <c r="H19" s="3">
        <v>1.6342643582357916E-2</v>
      </c>
      <c r="I19" s="3">
        <v>1.4385083984993944E-2</v>
      </c>
      <c r="J19" s="3">
        <v>1.7439457241266824E-2</v>
      </c>
      <c r="K19" s="3">
        <v>1.7751167672111452E-2</v>
      </c>
      <c r="L19" s="3">
        <v>1.9302334066026029E-2</v>
      </c>
      <c r="M19" s="3">
        <v>1.8652328412065006E-2</v>
      </c>
      <c r="N19" s="3">
        <v>2.2725725299334882E-2</v>
      </c>
      <c r="O19" s="3">
        <v>1.9140423901663064E-2</v>
      </c>
      <c r="P19" s="3">
        <v>2.5457192690454405E-2</v>
      </c>
      <c r="Q19" s="3">
        <v>2.048045621830168E-2</v>
      </c>
      <c r="R19" s="3">
        <v>2.7759113026973644E-2</v>
      </c>
      <c r="S19" s="3">
        <v>2.259962150081939E-2</v>
      </c>
      <c r="T19" s="3">
        <v>2.907939710107179E-2</v>
      </c>
      <c r="U19" s="3">
        <v>2.5217342664606346E-2</v>
      </c>
      <c r="V19" s="3">
        <v>3.1302257703269831E-2</v>
      </c>
      <c r="W19" s="3">
        <v>2.6357885367248684E-2</v>
      </c>
      <c r="X19" s="3">
        <v>3.463615542369796E-2</v>
      </c>
      <c r="Y19" s="3">
        <v>2.8804233856917435E-2</v>
      </c>
      <c r="Z19" s="3">
        <v>3.8147907091145454E-2</v>
      </c>
      <c r="AA19" s="3">
        <v>3.9309724026127174E-2</v>
      </c>
      <c r="AB19" s="3">
        <v>4.4488798515799476E-2</v>
      </c>
      <c r="AC19" s="3">
        <v>4.792984619827844E-2</v>
      </c>
      <c r="AD19" s="3">
        <v>5.0088608205711052E-2</v>
      </c>
      <c r="AE19" s="3">
        <v>5.7913454609532261E-2</v>
      </c>
      <c r="AF19" s="3">
        <v>6.0888516304205165E-2</v>
      </c>
      <c r="AG19" s="3">
        <v>5.9967069472016528E-2</v>
      </c>
      <c r="AH19" s="3">
        <v>7.3548762409441124E-2</v>
      </c>
      <c r="AI19" s="3">
        <v>6.3265720475586096E-2</v>
      </c>
      <c r="AJ19" s="3">
        <v>9.4423095300345858E-2</v>
      </c>
      <c r="AK19" s="3">
        <v>0.12824715508668147</v>
      </c>
      <c r="AL19" s="3">
        <v>9.5599606762433398E-2</v>
      </c>
    </row>
    <row r="20" spans="1:38" x14ac:dyDescent="0.35">
      <c r="A20" s="7">
        <v>43101</v>
      </c>
      <c r="B20" s="7">
        <v>43190</v>
      </c>
      <c r="C20" t="s">
        <v>124</v>
      </c>
      <c r="D20" t="s">
        <v>125</v>
      </c>
      <c r="E20" s="4">
        <v>6</v>
      </c>
      <c r="F20" s="3">
        <v>1.4354710843880236E-2</v>
      </c>
      <c r="G20" s="3">
        <v>1.3514300466315894E-2</v>
      </c>
      <c r="H20" s="3">
        <v>1.7340015876603176E-2</v>
      </c>
      <c r="I20" s="3">
        <v>1.5287553075633288E-2</v>
      </c>
      <c r="J20" s="3">
        <v>1.8343677994122679E-2</v>
      </c>
      <c r="K20" s="3">
        <v>1.8711866595613344E-2</v>
      </c>
      <c r="L20" s="3">
        <v>2.0205108654712537E-2</v>
      </c>
      <c r="M20" s="3">
        <v>1.9600622392565027E-2</v>
      </c>
      <c r="N20" s="3">
        <v>2.3686311833625705E-2</v>
      </c>
      <c r="O20" s="3">
        <v>2.0132774067928759E-2</v>
      </c>
      <c r="P20" s="3">
        <v>2.6358899286446989E-2</v>
      </c>
      <c r="Q20" s="3">
        <v>2.1464201327189191E-2</v>
      </c>
      <c r="R20" s="3">
        <v>2.8697114376885581E-2</v>
      </c>
      <c r="S20" s="3">
        <v>2.3529621074183445E-2</v>
      </c>
      <c r="T20" s="3">
        <v>3.0015743625293943E-2</v>
      </c>
      <c r="U20" s="3">
        <v>2.6216862234903306E-2</v>
      </c>
      <c r="V20" s="3">
        <v>3.230073576320746E-2</v>
      </c>
      <c r="W20" s="3">
        <v>2.7262787163677034E-2</v>
      </c>
      <c r="X20" s="3">
        <v>3.561369834049085E-2</v>
      </c>
      <c r="Y20" s="3">
        <v>2.973475792981161E-2</v>
      </c>
      <c r="Z20" s="3">
        <v>3.9087418767790733E-2</v>
      </c>
      <c r="AA20" s="3">
        <v>4.0306843346533047E-2</v>
      </c>
      <c r="AB20" s="3">
        <v>4.5420502837275466E-2</v>
      </c>
      <c r="AC20" s="3">
        <v>4.8884595950778494E-2</v>
      </c>
      <c r="AD20" s="3">
        <v>5.1050407256270192E-2</v>
      </c>
      <c r="AE20" s="3">
        <v>5.8893066680813289E-2</v>
      </c>
      <c r="AF20" s="3">
        <v>6.1864382115662565E-2</v>
      </c>
      <c r="AG20" s="3">
        <v>6.0938529481590481E-2</v>
      </c>
      <c r="AH20" s="3">
        <v>7.449188301553189E-2</v>
      </c>
      <c r="AI20" s="3">
        <v>6.4234623648672856E-2</v>
      </c>
      <c r="AJ20" s="3">
        <v>9.5357824946687292E-2</v>
      </c>
      <c r="AK20" s="3">
        <v>0.1291501469799699</v>
      </c>
      <c r="AL20" s="3">
        <v>9.6550800991794569E-2</v>
      </c>
    </row>
    <row r="21" spans="1:38" x14ac:dyDescent="0.35">
      <c r="A21" s="7">
        <v>43101</v>
      </c>
      <c r="B21" s="7">
        <v>43190</v>
      </c>
      <c r="C21" t="s">
        <v>124</v>
      </c>
      <c r="D21" t="s">
        <v>125</v>
      </c>
      <c r="E21" s="4" t="s">
        <v>73</v>
      </c>
      <c r="F21" s="3">
        <v>1.5312982379720074E-2</v>
      </c>
      <c r="G21" s="3">
        <v>1.4470863826427659E-2</v>
      </c>
      <c r="H21" s="3">
        <v>1.8272189463267363E-2</v>
      </c>
      <c r="I21" s="3">
        <v>1.6251364017709529E-2</v>
      </c>
      <c r="J21" s="3">
        <v>1.9343484503988224E-2</v>
      </c>
      <c r="K21" s="3">
        <v>1.9691342019618512E-2</v>
      </c>
      <c r="L21" s="3">
        <v>2.1162612339023008E-2</v>
      </c>
      <c r="M21" s="3">
        <v>2.0555545551511262E-2</v>
      </c>
      <c r="N21" s="3">
        <v>2.4618632179344738E-2</v>
      </c>
      <c r="O21" s="3">
        <v>2.1106025837637675E-2</v>
      </c>
      <c r="P21" s="3">
        <v>2.7346096550348659E-2</v>
      </c>
      <c r="Q21" s="3">
        <v>2.2377473187230702E-2</v>
      </c>
      <c r="R21" s="3">
        <v>2.9660540987732849E-2</v>
      </c>
      <c r="S21" s="3">
        <v>2.4450464703823917E-2</v>
      </c>
      <c r="T21" s="3">
        <v>3.0969993380739844E-2</v>
      </c>
      <c r="U21" s="3">
        <v>2.7159888659726593E-2</v>
      </c>
      <c r="V21" s="3">
        <v>3.3258205706464358E-2</v>
      </c>
      <c r="W21" s="3">
        <v>2.8245864887336613E-2</v>
      </c>
      <c r="X21" s="3">
        <v>3.6565189098086058E-2</v>
      </c>
      <c r="Y21" s="3">
        <v>3.0693615381737826E-2</v>
      </c>
      <c r="Z21" s="3">
        <v>4.0085669834437107E-2</v>
      </c>
      <c r="AA21" s="3">
        <v>4.122605395002267E-2</v>
      </c>
      <c r="AB21" s="3">
        <v>4.6387327504087472E-2</v>
      </c>
      <c r="AC21" s="3">
        <v>4.9850499388342871E-2</v>
      </c>
      <c r="AD21" s="3">
        <v>5.199554172111405E-2</v>
      </c>
      <c r="AE21" s="3">
        <v>5.9813620383519554E-2</v>
      </c>
      <c r="AF21" s="3">
        <v>6.2833211364047278E-2</v>
      </c>
      <c r="AG21" s="3">
        <v>6.1856344163987477E-2</v>
      </c>
      <c r="AH21" s="3">
        <v>7.5407203055284769E-2</v>
      </c>
      <c r="AI21" s="3">
        <v>6.5160503509014353E-2</v>
      </c>
      <c r="AJ21" s="3">
        <v>9.6303598878923286E-2</v>
      </c>
      <c r="AK21" s="3">
        <v>0.13011849031913039</v>
      </c>
      <c r="AL21" s="3">
        <v>9.7468812547561789E-2</v>
      </c>
    </row>
    <row r="22" spans="1:38" x14ac:dyDescent="0.35">
      <c r="A22" s="7">
        <v>43101</v>
      </c>
      <c r="B22" s="7">
        <v>43190</v>
      </c>
      <c r="C22" t="s">
        <v>124</v>
      </c>
      <c r="D22" t="s">
        <v>125</v>
      </c>
      <c r="E22" s="4" t="s">
        <v>74</v>
      </c>
      <c r="F22" s="3">
        <v>1.6290655936053604E-2</v>
      </c>
      <c r="G22" s="3">
        <v>1.5415482453008581E-2</v>
      </c>
      <c r="H22" s="3">
        <v>1.9192327521774254E-2</v>
      </c>
      <c r="I22" s="3">
        <v>1.7167024517393371E-2</v>
      </c>
      <c r="J22" s="3">
        <v>2.0298200600403268E-2</v>
      </c>
      <c r="K22" s="3">
        <v>2.0669033421348501E-2</v>
      </c>
      <c r="L22" s="3">
        <v>2.2106092157626923E-2</v>
      </c>
      <c r="M22" s="3">
        <v>2.1545130551937467E-2</v>
      </c>
      <c r="N22" s="3">
        <v>2.5578105083387995E-2</v>
      </c>
      <c r="O22" s="3">
        <v>2.204120607577428E-2</v>
      </c>
      <c r="P22" s="3">
        <v>2.8272222742774852E-2</v>
      </c>
      <c r="Q22" s="3">
        <v>2.3288973979576768E-2</v>
      </c>
      <c r="R22" s="3">
        <v>3.0609713962831183E-2</v>
      </c>
      <c r="S22" s="3">
        <v>2.542336786006209E-2</v>
      </c>
      <c r="T22" s="3">
        <v>3.1900284765182828E-2</v>
      </c>
      <c r="U22" s="3">
        <v>2.8116043510631933E-2</v>
      </c>
      <c r="V22" s="3">
        <v>3.4186005067337315E-2</v>
      </c>
      <c r="W22" s="3">
        <v>2.9200134180994541E-2</v>
      </c>
      <c r="X22" s="3">
        <v>3.7472847689605307E-2</v>
      </c>
      <c r="Y22" s="3">
        <v>3.1598365149331155E-2</v>
      </c>
      <c r="Z22" s="3">
        <v>4.1011640450528096E-2</v>
      </c>
      <c r="AA22" s="3">
        <v>4.2220768312793533E-2</v>
      </c>
      <c r="AB22" s="3">
        <v>4.7295568211983774E-2</v>
      </c>
      <c r="AC22" s="3">
        <v>5.0817523142215132E-2</v>
      </c>
      <c r="AD22" s="3">
        <v>5.2934228027242791E-2</v>
      </c>
      <c r="AE22" s="3">
        <v>6.0742569693424418E-2</v>
      </c>
      <c r="AF22" s="3">
        <v>6.3746419203997554E-2</v>
      </c>
      <c r="AG22" s="3">
        <v>6.2804327105100019E-2</v>
      </c>
      <c r="AH22" s="3">
        <v>7.6403550330891065E-2</v>
      </c>
      <c r="AI22" s="3">
        <v>6.6092727841256096E-2</v>
      </c>
      <c r="AJ22" s="3">
        <v>9.7220330762728374E-2</v>
      </c>
      <c r="AK22" s="3">
        <v>0.1310672106212174</v>
      </c>
      <c r="AL22" s="3">
        <v>9.8425010059577878E-2</v>
      </c>
    </row>
    <row r="23" spans="1:38" x14ac:dyDescent="0.35">
      <c r="A23" s="7">
        <v>43101</v>
      </c>
      <c r="B23" s="7">
        <v>43190</v>
      </c>
      <c r="C23" t="s">
        <v>124</v>
      </c>
      <c r="D23" t="s">
        <v>125</v>
      </c>
      <c r="E23" s="4">
        <v>7</v>
      </c>
      <c r="F23" s="3">
        <v>1.7278276553716283E-2</v>
      </c>
      <c r="G23" s="3">
        <v>1.6329177705657585E-2</v>
      </c>
      <c r="H23" s="3">
        <v>2.0099318153345837E-2</v>
      </c>
      <c r="I23" s="3">
        <v>1.8083811526251506E-2</v>
      </c>
      <c r="J23" s="3">
        <v>2.1213419842575455E-2</v>
      </c>
      <c r="K23" s="3">
        <v>2.158380085956102E-2</v>
      </c>
      <c r="L23" s="3">
        <v>2.3092812186156275E-2</v>
      </c>
      <c r="M23" s="3">
        <v>2.2540381363158706E-2</v>
      </c>
      <c r="N23" s="3">
        <v>2.6541323345427748E-2</v>
      </c>
      <c r="O23" s="3">
        <v>2.2991421638006951E-2</v>
      </c>
      <c r="P23" s="3">
        <v>2.9236981442763748E-2</v>
      </c>
      <c r="Q23" s="3">
        <v>2.4234541478731421E-2</v>
      </c>
      <c r="R23" s="3">
        <v>3.1559390111168401E-2</v>
      </c>
      <c r="S23" s="3">
        <v>2.6346904198118623E-2</v>
      </c>
      <c r="T23" s="3">
        <v>3.2816080504292425E-2</v>
      </c>
      <c r="U23" s="3">
        <v>2.9027736685895592E-2</v>
      </c>
      <c r="V23" s="3">
        <v>3.5124858987900853E-2</v>
      </c>
      <c r="W23" s="3">
        <v>3.0144763825180405E-2</v>
      </c>
      <c r="X23" s="3">
        <v>3.8388336794213065E-2</v>
      </c>
      <c r="Y23" s="3">
        <v>3.259125705272968E-2</v>
      </c>
      <c r="Z23" s="3">
        <v>4.1977016347356205E-2</v>
      </c>
      <c r="AA23" s="3">
        <v>4.3209543585266665E-2</v>
      </c>
      <c r="AB23" s="3">
        <v>4.8258125568611837E-2</v>
      </c>
      <c r="AC23" s="3">
        <v>5.1742287354191972E-2</v>
      </c>
      <c r="AD23" s="3">
        <v>5.3887157903794752E-2</v>
      </c>
      <c r="AE23" s="3">
        <v>6.1662762776687488E-2</v>
      </c>
      <c r="AF23" s="3">
        <v>6.4712813964452512E-2</v>
      </c>
      <c r="AG23" s="3">
        <v>6.3782994599508799E-2</v>
      </c>
      <c r="AH23" s="3">
        <v>7.7382315806652655E-2</v>
      </c>
      <c r="AI23" s="3">
        <v>6.7077913935211592E-2</v>
      </c>
      <c r="AJ23" s="3">
        <v>9.8205983513070985E-2</v>
      </c>
      <c r="AK23" s="3">
        <v>0.13197013151438969</v>
      </c>
      <c r="AL23" s="3">
        <v>9.9385016335746867E-2</v>
      </c>
    </row>
    <row r="24" spans="1:38" x14ac:dyDescent="0.35">
      <c r="A24" s="7">
        <v>43101</v>
      </c>
      <c r="B24" s="7">
        <v>43190</v>
      </c>
      <c r="C24" t="s">
        <v>124</v>
      </c>
      <c r="D24" t="s">
        <v>125</v>
      </c>
      <c r="E24" s="4" t="s">
        <v>75</v>
      </c>
      <c r="F24" s="3">
        <v>1.818248827263521E-2</v>
      </c>
      <c r="G24" s="3">
        <v>1.7301753966505143E-2</v>
      </c>
      <c r="H24" s="3">
        <v>2.1026838639232933E-2</v>
      </c>
      <c r="I24" s="3">
        <v>1.9067557852125033E-2</v>
      </c>
      <c r="J24" s="3">
        <v>2.2201709327723484E-2</v>
      </c>
      <c r="K24" s="3">
        <v>2.2550622839863751E-2</v>
      </c>
      <c r="L24" s="3">
        <v>2.4066014601750962E-2</v>
      </c>
      <c r="M24" s="3">
        <v>2.3515759061131503E-2</v>
      </c>
      <c r="N24" s="3">
        <v>2.7527017636710616E-2</v>
      </c>
      <c r="O24" s="3">
        <v>2.39567489982212E-2</v>
      </c>
      <c r="P24" s="3">
        <v>3.0147315452805593E-2</v>
      </c>
      <c r="Q24" s="3">
        <v>2.5200116122030655E-2</v>
      </c>
      <c r="R24" s="3">
        <v>3.2524190394425521E-2</v>
      </c>
      <c r="S24" s="3">
        <v>2.7342902962852914E-2</v>
      </c>
      <c r="T24" s="3">
        <v>3.3756386656798407E-2</v>
      </c>
      <c r="U24" s="3">
        <v>3.0005559472231803E-2</v>
      </c>
      <c r="V24" s="3">
        <v>3.6047358524636863E-2</v>
      </c>
      <c r="W24" s="3">
        <v>3.1140598489951501E-2</v>
      </c>
      <c r="X24" s="3">
        <v>3.9328808699077421E-2</v>
      </c>
      <c r="Y24" s="3">
        <v>3.3560360891625424E-2</v>
      </c>
      <c r="Z24" s="3">
        <v>4.2974746221220002E-2</v>
      </c>
      <c r="AA24" s="3">
        <v>4.4143034001964808E-2</v>
      </c>
      <c r="AB24" s="3">
        <v>4.9196010653543364E-2</v>
      </c>
      <c r="AC24" s="3">
        <v>5.2649617469505111E-2</v>
      </c>
      <c r="AD24" s="3">
        <v>5.4819400436061254E-2</v>
      </c>
      <c r="AE24" s="3">
        <v>6.2639145127280957E-2</v>
      </c>
      <c r="AF24" s="3">
        <v>6.5675499657925518E-2</v>
      </c>
      <c r="AG24" s="3">
        <v>6.4723641932776493E-2</v>
      </c>
      <c r="AH24" s="3">
        <v>7.8313030512954712E-2</v>
      </c>
      <c r="AI24" s="3">
        <v>6.803977311247475E-2</v>
      </c>
      <c r="AJ24" s="3">
        <v>9.9160320959379489E-2</v>
      </c>
      <c r="AK24" s="3">
        <v>0.13292404775594543</v>
      </c>
      <c r="AL24" s="3">
        <v>0.10032571407201984</v>
      </c>
    </row>
    <row r="25" spans="1:38" x14ac:dyDescent="0.35">
      <c r="A25" s="7">
        <v>43101</v>
      </c>
      <c r="B25" s="7">
        <v>43190</v>
      </c>
      <c r="C25" t="s">
        <v>127</v>
      </c>
      <c r="D25" t="s">
        <v>125</v>
      </c>
      <c r="E25" s="4">
        <v>1</v>
      </c>
      <c r="F25" s="3">
        <v>2.3987235415080067E-2</v>
      </c>
      <c r="G25" s="3">
        <v>2.3522336342949562E-2</v>
      </c>
      <c r="H25" s="3">
        <v>2.6904631230141238E-2</v>
      </c>
      <c r="I25" s="3">
        <v>2.5059051771753754E-2</v>
      </c>
      <c r="J25" s="3">
        <v>2.8214931408311057E-2</v>
      </c>
      <c r="K25" s="3">
        <v>2.8265446267055655E-2</v>
      </c>
      <c r="L25" s="3">
        <v>2.9982197143763191E-2</v>
      </c>
      <c r="M25" s="3">
        <v>2.9375022539147158E-2</v>
      </c>
      <c r="N25" s="3">
        <v>3.3507892750587853E-2</v>
      </c>
      <c r="O25" s="3">
        <v>2.9706515013046782E-2</v>
      </c>
      <c r="P25" s="3">
        <v>3.6154611745470945E-2</v>
      </c>
      <c r="Q25" s="3">
        <v>3.1068234094442877E-2</v>
      </c>
      <c r="R25" s="3">
        <v>3.8456126253836605E-2</v>
      </c>
      <c r="S25" s="3">
        <v>3.314272616399698E-2</v>
      </c>
      <c r="T25" s="3">
        <v>3.9907674061615848E-2</v>
      </c>
      <c r="U25" s="3">
        <v>3.5823319048479053E-2</v>
      </c>
      <c r="V25" s="3">
        <v>4.204753562160251E-2</v>
      </c>
      <c r="W25" s="3">
        <v>3.6978029939151655E-2</v>
      </c>
      <c r="X25" s="3">
        <v>4.5194112106792327E-2</v>
      </c>
      <c r="Y25" s="3">
        <v>3.9541921398612769E-2</v>
      </c>
      <c r="Z25" s="3">
        <v>4.8720350031989594E-2</v>
      </c>
      <c r="AA25" s="3">
        <v>4.9938659601285303E-2</v>
      </c>
      <c r="AB25" s="3">
        <v>5.52208891354583E-2</v>
      </c>
      <c r="AC25" s="3">
        <v>5.8598276343003582E-2</v>
      </c>
      <c r="AD25" s="3">
        <v>6.0975244868088717E-2</v>
      </c>
      <c r="AE25" s="3">
        <v>6.863030761393521E-2</v>
      </c>
      <c r="AF25" s="3">
        <v>7.1530260528803763E-2</v>
      </c>
      <c r="AG25" s="3">
        <v>7.0821994417673784E-2</v>
      </c>
      <c r="AH25" s="3">
        <v>8.4201092314036607E-2</v>
      </c>
      <c r="AI25" s="3">
        <v>7.3923580014799817E-2</v>
      </c>
      <c r="AJ25" s="3">
        <v>0.10518899962977327</v>
      </c>
      <c r="AK25" s="3">
        <v>0.13888203667397347</v>
      </c>
      <c r="AL25" s="3">
        <v>0.10638283042429544</v>
      </c>
    </row>
    <row r="26" spans="1:38" x14ac:dyDescent="0.35">
      <c r="A26" s="7">
        <v>43101</v>
      </c>
      <c r="B26" s="7">
        <v>43190</v>
      </c>
      <c r="C26" t="s">
        <v>127</v>
      </c>
      <c r="D26" t="s">
        <v>125</v>
      </c>
      <c r="E26" s="4" t="s">
        <v>64</v>
      </c>
      <c r="F26" s="3">
        <v>2.4955504628306674E-2</v>
      </c>
      <c r="G26" s="3">
        <v>2.444448177337075E-2</v>
      </c>
      <c r="H26" s="3">
        <v>2.7850626606074732E-2</v>
      </c>
      <c r="I26" s="3">
        <v>2.5968925101185338E-2</v>
      </c>
      <c r="J26" s="3">
        <v>2.9133283155749985E-2</v>
      </c>
      <c r="K26" s="3">
        <v>2.9223062002444337E-2</v>
      </c>
      <c r="L26" s="3">
        <v>3.0934115932132966E-2</v>
      </c>
      <c r="M26" s="3">
        <v>3.0280819977680506E-2</v>
      </c>
      <c r="N26" s="3">
        <v>3.4450059642861693E-2</v>
      </c>
      <c r="O26" s="3">
        <v>3.0642785468758395E-2</v>
      </c>
      <c r="P26" s="3">
        <v>3.7118841964526535E-2</v>
      </c>
      <c r="Q26" s="3">
        <v>3.1979868013520547E-2</v>
      </c>
      <c r="R26" s="3">
        <v>3.943933659506163E-2</v>
      </c>
      <c r="S26" s="3">
        <v>3.4073364823084352E-2</v>
      </c>
      <c r="T26" s="3">
        <v>4.0881617977735499E-2</v>
      </c>
      <c r="U26" s="3">
        <v>3.6738906253639451E-2</v>
      </c>
      <c r="V26" s="3">
        <v>4.3018330733574292E-2</v>
      </c>
      <c r="W26" s="3">
        <v>3.7924668227140766E-2</v>
      </c>
      <c r="X26" s="3">
        <v>4.6173292504344779E-2</v>
      </c>
      <c r="Y26" s="3">
        <v>4.0464646138943565E-2</v>
      </c>
      <c r="Z26" s="3">
        <v>4.966396683370107E-2</v>
      </c>
      <c r="AA26" s="3">
        <v>5.0893391600233456E-2</v>
      </c>
      <c r="AB26" s="3">
        <v>5.6139843977245196E-2</v>
      </c>
      <c r="AC26" s="3">
        <v>5.9548496431847793E-2</v>
      </c>
      <c r="AD26" s="3">
        <v>6.1929948312430663E-2</v>
      </c>
      <c r="AE26" s="3">
        <v>6.9537761203292317E-2</v>
      </c>
      <c r="AF26" s="3">
        <v>7.2498060155195498E-2</v>
      </c>
      <c r="AG26" s="3">
        <v>7.1743308851667145E-2</v>
      </c>
      <c r="AH26" s="3">
        <v>8.515983672157254E-2</v>
      </c>
      <c r="AI26" s="3">
        <v>7.4836736383455005E-2</v>
      </c>
      <c r="AJ26" s="3">
        <v>0.10611874012266376</v>
      </c>
      <c r="AK26" s="3">
        <v>0.1398205734558888</v>
      </c>
      <c r="AL26" s="3">
        <v>0.10728480850509567</v>
      </c>
    </row>
    <row r="27" spans="1:38" x14ac:dyDescent="0.35">
      <c r="A27" s="7">
        <v>43101</v>
      </c>
      <c r="B27" s="7">
        <v>43190</v>
      </c>
      <c r="C27" t="s">
        <v>127</v>
      </c>
      <c r="D27" t="s">
        <v>125</v>
      </c>
      <c r="E27" s="4">
        <v>2</v>
      </c>
      <c r="F27" s="3">
        <v>2.5897021899625214E-2</v>
      </c>
      <c r="G27" s="3">
        <v>2.5368915274916439E-2</v>
      </c>
      <c r="H27" s="3">
        <v>2.8848451892030356E-2</v>
      </c>
      <c r="I27" s="3">
        <v>2.6955691162124075E-2</v>
      </c>
      <c r="J27" s="3">
        <v>3.0060131064313003E-2</v>
      </c>
      <c r="K27" s="3">
        <v>3.0198106227038335E-2</v>
      </c>
      <c r="L27" s="3">
        <v>3.1845044629501121E-2</v>
      </c>
      <c r="M27" s="3">
        <v>3.1234643248477845E-2</v>
      </c>
      <c r="N27" s="3">
        <v>3.5382324199331079E-2</v>
      </c>
      <c r="O27" s="3">
        <v>3.1594684077558832E-2</v>
      </c>
      <c r="P27" s="3">
        <v>3.8040547019358752E-2</v>
      </c>
      <c r="Q27" s="3">
        <v>3.2919219200209515E-2</v>
      </c>
      <c r="R27" s="3">
        <v>4.0371166603959771E-2</v>
      </c>
      <c r="S27" s="3">
        <v>3.5041012010300826E-2</v>
      </c>
      <c r="T27" s="3">
        <v>4.183147969235404E-2</v>
      </c>
      <c r="U27" s="3">
        <v>3.7687198648127536E-2</v>
      </c>
      <c r="V27" s="3">
        <v>4.3993338675699427E-2</v>
      </c>
      <c r="W27" s="3">
        <v>3.889088008317966E-2</v>
      </c>
      <c r="X27" s="3">
        <v>4.7140754596639786E-2</v>
      </c>
      <c r="Y27" s="3">
        <v>4.1458963417643241E-2</v>
      </c>
      <c r="Z27" s="3">
        <v>5.0599887843882987E-2</v>
      </c>
      <c r="AA27" s="3">
        <v>5.1867198078455509E-2</v>
      </c>
      <c r="AB27" s="3">
        <v>5.7078492929563476E-2</v>
      </c>
      <c r="AC27" s="3">
        <v>6.0451398081860633E-2</v>
      </c>
      <c r="AD27" s="3">
        <v>6.2845761448320339E-2</v>
      </c>
      <c r="AE27" s="3">
        <v>7.0442675029635429E-2</v>
      </c>
      <c r="AF27" s="3">
        <v>7.3471262341356133E-2</v>
      </c>
      <c r="AG27" s="3">
        <v>7.2721406261892219E-2</v>
      </c>
      <c r="AH27" s="3">
        <v>8.6088969605302601E-2</v>
      </c>
      <c r="AI27" s="3">
        <v>7.5827014311840926E-2</v>
      </c>
      <c r="AJ27" s="3">
        <v>0.10705082647783992</v>
      </c>
      <c r="AK27" s="3">
        <v>0.14076338686442322</v>
      </c>
      <c r="AL27" s="3">
        <v>0.10818762445336724</v>
      </c>
    </row>
    <row r="28" spans="1:38" x14ac:dyDescent="0.35">
      <c r="A28" s="7">
        <v>43101</v>
      </c>
      <c r="B28" s="7">
        <v>43190</v>
      </c>
      <c r="C28" t="s">
        <v>127</v>
      </c>
      <c r="D28" t="s">
        <v>125</v>
      </c>
      <c r="E28" s="4" t="s">
        <v>65</v>
      </c>
      <c r="F28" s="3">
        <v>2.689258804360263E-2</v>
      </c>
      <c r="G28" s="3">
        <v>2.6329308788466756E-2</v>
      </c>
      <c r="H28" s="3">
        <v>2.9819656371274407E-2</v>
      </c>
      <c r="I28" s="3">
        <v>2.7893208213903412E-2</v>
      </c>
      <c r="J28" s="3">
        <v>3.1013264636733276E-2</v>
      </c>
      <c r="K28" s="3">
        <v>3.1135830795126874E-2</v>
      </c>
      <c r="L28" s="3">
        <v>3.2774662475232565E-2</v>
      </c>
      <c r="M28" s="3">
        <v>3.2179747392975015E-2</v>
      </c>
      <c r="N28" s="3">
        <v>3.6293207543458286E-2</v>
      </c>
      <c r="O28" s="3">
        <v>3.2544866915647203E-2</v>
      </c>
      <c r="P28" s="3">
        <v>3.9028482383182128E-2</v>
      </c>
      <c r="Q28" s="3">
        <v>3.3902780731733959E-2</v>
      </c>
      <c r="R28" s="3">
        <v>4.1290724980076222E-2</v>
      </c>
      <c r="S28" s="3">
        <v>3.5959929011024787E-2</v>
      </c>
      <c r="T28" s="3">
        <v>4.2744417994947589E-2</v>
      </c>
      <c r="U28" s="3">
        <v>3.8652317576269621E-2</v>
      </c>
      <c r="V28" s="3">
        <v>4.491348024859057E-2</v>
      </c>
      <c r="W28" s="3">
        <v>3.985025179167466E-2</v>
      </c>
      <c r="X28" s="3">
        <v>4.8122262773781385E-2</v>
      </c>
      <c r="Y28" s="3">
        <v>4.2373228437165705E-2</v>
      </c>
      <c r="Z28" s="3">
        <v>5.1590145397651652E-2</v>
      </c>
      <c r="AA28" s="3">
        <v>5.282068683129517E-2</v>
      </c>
      <c r="AB28" s="3">
        <v>5.8042504808221866E-2</v>
      </c>
      <c r="AC28" s="3">
        <v>6.1366638261812718E-2</v>
      </c>
      <c r="AD28" s="3">
        <v>6.3762272908770123E-2</v>
      </c>
      <c r="AE28" s="3">
        <v>7.1423160064546076E-2</v>
      </c>
      <c r="AF28" s="3">
        <v>7.4429679229339921E-2</v>
      </c>
      <c r="AG28" s="3">
        <v>7.3661021251319486E-2</v>
      </c>
      <c r="AH28" s="3">
        <v>8.7006290793609942E-2</v>
      </c>
      <c r="AI28" s="3">
        <v>7.6762463089604771E-2</v>
      </c>
      <c r="AJ28" s="3">
        <v>0.10799967860014292</v>
      </c>
      <c r="AK28" s="3">
        <v>0.1416933785039842</v>
      </c>
      <c r="AL28" s="3">
        <v>0.10917059404382648</v>
      </c>
    </row>
    <row r="29" spans="1:38" x14ac:dyDescent="0.35">
      <c r="A29" s="7">
        <v>43101</v>
      </c>
      <c r="B29" s="7">
        <v>43190</v>
      </c>
      <c r="C29" t="s">
        <v>127</v>
      </c>
      <c r="D29" t="s">
        <v>125</v>
      </c>
      <c r="E29" s="4" t="s">
        <v>66</v>
      </c>
      <c r="F29" s="3">
        <v>2.7816431623965198E-2</v>
      </c>
      <c r="G29" s="3">
        <v>2.7279758919457921E-2</v>
      </c>
      <c r="H29" s="3">
        <v>3.0808105309173158E-2</v>
      </c>
      <c r="I29" s="3">
        <v>2.8867113852875985E-2</v>
      </c>
      <c r="J29" s="3">
        <v>3.198528788400562E-2</v>
      </c>
      <c r="K29" s="3">
        <v>3.2083926756475457E-2</v>
      </c>
      <c r="L29" s="3">
        <v>3.3760408681570014E-2</v>
      </c>
      <c r="M29" s="3">
        <v>3.313934511733152E-2</v>
      </c>
      <c r="N29" s="3">
        <v>3.7274630476066412E-2</v>
      </c>
      <c r="O29" s="3">
        <v>3.3495680412953484E-2</v>
      </c>
      <c r="P29" s="3">
        <v>3.9990447680038121E-2</v>
      </c>
      <c r="Q29" s="3">
        <v>3.4867473360407804E-2</v>
      </c>
      <c r="R29" s="3">
        <v>4.2253792917843314E-2</v>
      </c>
      <c r="S29" s="3">
        <v>3.6932087503310361E-2</v>
      </c>
      <c r="T29" s="3">
        <v>4.3668036280152658E-2</v>
      </c>
      <c r="U29" s="3">
        <v>3.9594488698087418E-2</v>
      </c>
      <c r="V29" s="3">
        <v>4.5858979945907138E-2</v>
      </c>
      <c r="W29" s="3">
        <v>4.0841963462791439E-2</v>
      </c>
      <c r="X29" s="3">
        <v>4.9025110373458441E-2</v>
      </c>
      <c r="Y29" s="3">
        <v>4.3349523078769728E-2</v>
      </c>
      <c r="Z29" s="3">
        <v>5.2543861718213042E-2</v>
      </c>
      <c r="AA29" s="3">
        <v>5.3733705693309472E-2</v>
      </c>
      <c r="AB29" s="3">
        <v>5.8989763352759905E-2</v>
      </c>
      <c r="AC29" s="3">
        <v>6.2327036642431687E-2</v>
      </c>
      <c r="AD29" s="3">
        <v>6.4690749612420911E-2</v>
      </c>
      <c r="AE29" s="3">
        <v>7.2419860058073882E-2</v>
      </c>
      <c r="AF29" s="3">
        <v>7.5365926051764176E-2</v>
      </c>
      <c r="AG29" s="3">
        <v>7.4587901413566957E-2</v>
      </c>
      <c r="AH29" s="3">
        <v>8.7992861093754621E-2</v>
      </c>
      <c r="AI29" s="3">
        <v>7.7738964897950097E-2</v>
      </c>
      <c r="AJ29" s="3">
        <v>0.10892708483544281</v>
      </c>
      <c r="AK29" s="3">
        <v>0.14269048553650632</v>
      </c>
      <c r="AL29" s="3">
        <v>0.11008402769059558</v>
      </c>
    </row>
    <row r="30" spans="1:38" x14ac:dyDescent="0.35">
      <c r="A30" s="7">
        <v>43101</v>
      </c>
      <c r="B30" s="7">
        <v>43190</v>
      </c>
      <c r="C30" t="s">
        <v>127</v>
      </c>
      <c r="D30" t="s">
        <v>125</v>
      </c>
      <c r="E30" s="4">
        <v>3</v>
      </c>
      <c r="F30" s="3">
        <v>2.8809313229369592E-2</v>
      </c>
      <c r="G30" s="3">
        <v>2.8205970811349713E-2</v>
      </c>
      <c r="H30" s="3">
        <v>3.1799404111945873E-2</v>
      </c>
      <c r="I30" s="3">
        <v>2.9780618839001901E-2</v>
      </c>
      <c r="J30" s="3">
        <v>3.2927313185709302E-2</v>
      </c>
      <c r="K30" s="3">
        <v>3.305855171984963E-2</v>
      </c>
      <c r="L30" s="3">
        <v>3.4707387777530491E-2</v>
      </c>
      <c r="M30" s="3">
        <v>3.4118831932959115E-2</v>
      </c>
      <c r="N30" s="3">
        <v>3.819713920879525E-2</v>
      </c>
      <c r="O30" s="3">
        <v>3.4479170774394739E-2</v>
      </c>
      <c r="P30" s="3">
        <v>4.0981297683726242E-2</v>
      </c>
      <c r="Q30" s="3">
        <v>3.5781588451177515E-2</v>
      </c>
      <c r="R30" s="3">
        <v>4.3192268792738499E-2</v>
      </c>
      <c r="S30" s="3">
        <v>3.7930679296247286E-2</v>
      </c>
      <c r="T30" s="3">
        <v>4.4601194914300653E-2</v>
      </c>
      <c r="U30" s="3">
        <v>4.049763379652771E-2</v>
      </c>
      <c r="V30" s="3">
        <v>4.6767134065234195E-2</v>
      </c>
      <c r="W30" s="3">
        <v>4.176229785278987E-2</v>
      </c>
      <c r="X30" s="3">
        <v>4.9956300324280598E-2</v>
      </c>
      <c r="Y30" s="3">
        <v>4.429224629278198E-2</v>
      </c>
      <c r="Z30" s="3">
        <v>5.3504517540770236E-2</v>
      </c>
      <c r="AA30" s="3">
        <v>5.473032040789113E-2</v>
      </c>
      <c r="AB30" s="3">
        <v>5.9903407085099336E-2</v>
      </c>
      <c r="AC30" s="3">
        <v>6.3289714971796501E-2</v>
      </c>
      <c r="AD30" s="3">
        <v>6.5671491768077572E-2</v>
      </c>
      <c r="AE30" s="3">
        <v>7.3325299562678428E-2</v>
      </c>
      <c r="AF30" s="3">
        <v>7.6270462377958911E-2</v>
      </c>
      <c r="AG30" s="3">
        <v>7.550701855166983E-2</v>
      </c>
      <c r="AH30" s="3">
        <v>8.8920201824883388E-2</v>
      </c>
      <c r="AI30" s="3">
        <v>7.8656346334527172E-2</v>
      </c>
      <c r="AJ30" s="3">
        <v>0.10983415501933932</v>
      </c>
      <c r="AK30" s="3">
        <v>0.14363667660339871</v>
      </c>
      <c r="AL30" s="3">
        <v>0.11098752626621516</v>
      </c>
    </row>
    <row r="31" spans="1:38" x14ac:dyDescent="0.35">
      <c r="A31" s="7">
        <v>43101</v>
      </c>
      <c r="B31" s="7">
        <v>43190</v>
      </c>
      <c r="C31" t="s">
        <v>127</v>
      </c>
      <c r="D31" t="s">
        <v>125</v>
      </c>
      <c r="E31" s="4" t="s">
        <v>67</v>
      </c>
      <c r="F31" s="3">
        <v>2.9758338673687733E-2</v>
      </c>
      <c r="G31" s="3">
        <v>2.911406686037922E-2</v>
      </c>
      <c r="H31" s="3">
        <v>3.2734961535117332E-2</v>
      </c>
      <c r="I31" s="3">
        <v>3.0716483633118977E-2</v>
      </c>
      <c r="J31" s="3">
        <v>3.3846367426793311E-2</v>
      </c>
      <c r="K31" s="3">
        <v>3.401048637147927E-2</v>
      </c>
      <c r="L31" s="3">
        <v>3.5665024302281877E-2</v>
      </c>
      <c r="M31" s="3">
        <v>3.5085829953676567E-2</v>
      </c>
      <c r="N31" s="3">
        <v>3.9100322924584062E-2</v>
      </c>
      <c r="O31" s="3">
        <v>3.5446438544002562E-2</v>
      </c>
      <c r="P31" s="3">
        <v>4.1887358319701071E-2</v>
      </c>
      <c r="Q31" s="3">
        <v>3.6705992518516542E-2</v>
      </c>
      <c r="R31" s="3">
        <v>4.4104972754014864E-2</v>
      </c>
      <c r="S31" s="3">
        <v>3.889079613635419E-2</v>
      </c>
      <c r="T31" s="3">
        <v>4.551730636008014E-2</v>
      </c>
      <c r="U31" s="3">
        <v>4.1481023873773615E-2</v>
      </c>
      <c r="V31" s="3">
        <v>4.7733842563750843E-2</v>
      </c>
      <c r="W31" s="3">
        <v>4.266993852793706E-2</v>
      </c>
      <c r="X31" s="3">
        <v>5.0875780282546468E-2</v>
      </c>
      <c r="Y31" s="3">
        <v>4.5260285664062858E-2</v>
      </c>
      <c r="Z31" s="3">
        <v>5.4447037965201672E-2</v>
      </c>
      <c r="AA31" s="3">
        <v>5.5681929848966048E-2</v>
      </c>
      <c r="AB31" s="3">
        <v>6.0820791014653326E-2</v>
      </c>
      <c r="AC31" s="3">
        <v>6.4225848263291696E-2</v>
      </c>
      <c r="AD31" s="3">
        <v>6.6575165230735006E-2</v>
      </c>
      <c r="AE31" s="3">
        <v>7.4305686528439108E-2</v>
      </c>
      <c r="AF31" s="3">
        <v>7.7233725413743876E-2</v>
      </c>
      <c r="AG31" s="3">
        <v>7.6482815954358518E-2</v>
      </c>
      <c r="AH31" s="3">
        <v>8.9849924185783414E-2</v>
      </c>
      <c r="AI31" s="3">
        <v>7.9643603818231323E-2</v>
      </c>
      <c r="AJ31" s="3">
        <v>0.11079284637867448</v>
      </c>
      <c r="AK31" s="3">
        <v>0.14463408093916622</v>
      </c>
      <c r="AL31" s="3">
        <v>0.11195296391268561</v>
      </c>
    </row>
    <row r="32" spans="1:38" x14ac:dyDescent="0.35">
      <c r="A32" s="7">
        <v>43101</v>
      </c>
      <c r="B32" s="7">
        <v>43190</v>
      </c>
      <c r="C32" t="s">
        <v>127</v>
      </c>
      <c r="D32" t="s">
        <v>125</v>
      </c>
      <c r="E32" s="4" t="s">
        <v>68</v>
      </c>
      <c r="F32" s="3">
        <v>3.0739197622021777E-2</v>
      </c>
      <c r="G32" s="3">
        <v>3.0040112383998872E-2</v>
      </c>
      <c r="H32" s="3">
        <v>3.3642241261176209E-2</v>
      </c>
      <c r="I32" s="3">
        <v>3.1708017045777727E-2</v>
      </c>
      <c r="J32" s="3">
        <v>3.4757571708418505E-2</v>
      </c>
      <c r="K32" s="3">
        <v>3.4966037413180703E-2</v>
      </c>
      <c r="L32" s="3">
        <v>3.665330704473331E-2</v>
      </c>
      <c r="M32" s="3">
        <v>3.6027658446906204E-2</v>
      </c>
      <c r="N32" s="3">
        <v>4.0007721087298886E-2</v>
      </c>
      <c r="O32" s="3">
        <v>3.6405401536441367E-2</v>
      </c>
      <c r="P32" s="3">
        <v>4.2876462331655485E-2</v>
      </c>
      <c r="Q32" s="3">
        <v>3.7671343263786905E-2</v>
      </c>
      <c r="R32" s="3">
        <v>4.5034383018163426E-2</v>
      </c>
      <c r="S32" s="3">
        <v>3.9820873196983936E-2</v>
      </c>
      <c r="T32" s="3">
        <v>4.6433727451292761E-2</v>
      </c>
      <c r="U32" s="3">
        <v>4.2477800013649862E-2</v>
      </c>
      <c r="V32" s="3">
        <v>4.8709102113335692E-2</v>
      </c>
      <c r="W32" s="3">
        <v>4.3657989214654483E-2</v>
      </c>
      <c r="X32" s="3">
        <v>5.1801267945788959E-2</v>
      </c>
      <c r="Y32" s="3">
        <v>4.6207699194427798E-2</v>
      </c>
      <c r="Z32" s="3">
        <v>5.539031245037454E-2</v>
      </c>
      <c r="AA32" s="3">
        <v>5.6653090535508349E-2</v>
      </c>
      <c r="AB32" s="3">
        <v>6.1781201174315112E-2</v>
      </c>
      <c r="AC32" s="3">
        <v>6.5188469893734446E-2</v>
      </c>
      <c r="AD32" s="3">
        <v>6.7480376542508602E-2</v>
      </c>
      <c r="AE32" s="3">
        <v>7.5223518133722272E-2</v>
      </c>
      <c r="AF32" s="3">
        <v>7.8186289388047003E-2</v>
      </c>
      <c r="AG32" s="3">
        <v>7.7406298040132632E-2</v>
      </c>
      <c r="AH32" s="3">
        <v>9.0754335980998135E-2</v>
      </c>
      <c r="AI32" s="3">
        <v>8.0604606311731983E-2</v>
      </c>
      <c r="AJ32" s="3">
        <v>0.11177346034366117</v>
      </c>
      <c r="AK32" s="3">
        <v>0.145582909636502</v>
      </c>
      <c r="AL32" s="3">
        <v>0.11290085140852593</v>
      </c>
    </row>
    <row r="33" spans="1:38" x14ac:dyDescent="0.35">
      <c r="A33" s="7">
        <v>43101</v>
      </c>
      <c r="B33" s="7">
        <v>43190</v>
      </c>
      <c r="C33" t="s">
        <v>127</v>
      </c>
      <c r="D33" t="s">
        <v>125</v>
      </c>
      <c r="E33" s="4">
        <v>4</v>
      </c>
      <c r="F33" s="3">
        <v>3.1687111852765119E-2</v>
      </c>
      <c r="G33" s="3">
        <v>3.0955135834473624E-2</v>
      </c>
      <c r="H33" s="3">
        <v>3.4574657158047514E-2</v>
      </c>
      <c r="I33" s="3">
        <v>3.264948859593711E-2</v>
      </c>
      <c r="J33" s="3">
        <v>3.5728649950114238E-2</v>
      </c>
      <c r="K33" s="3">
        <v>3.5933984380575962E-2</v>
      </c>
      <c r="L33" s="3">
        <v>3.7600776368188246E-2</v>
      </c>
      <c r="M33" s="3">
        <v>3.6930131542778522E-2</v>
      </c>
      <c r="N33" s="3">
        <v>4.0946966069131611E-2</v>
      </c>
      <c r="O33" s="3">
        <v>3.7338873967426633E-2</v>
      </c>
      <c r="P33" s="3">
        <v>4.3856967046642346E-2</v>
      </c>
      <c r="Q33" s="3">
        <v>3.8664872848888504E-2</v>
      </c>
      <c r="R33" s="3">
        <v>4.5977525764767102E-2</v>
      </c>
      <c r="S33" s="3">
        <v>4.0791025093767294E-2</v>
      </c>
      <c r="T33" s="3">
        <v>4.7378022305578263E-2</v>
      </c>
      <c r="U33" s="3">
        <v>4.3468649631014294E-2</v>
      </c>
      <c r="V33" s="3">
        <v>4.9666048141618874E-2</v>
      </c>
      <c r="W33" s="3">
        <v>4.4580033371126336E-2</v>
      </c>
      <c r="X33" s="3">
        <v>5.2741895793428757E-2</v>
      </c>
      <c r="Y33" s="3">
        <v>4.7140618258473627E-2</v>
      </c>
      <c r="Z33" s="3">
        <v>5.6390188726632123E-2</v>
      </c>
      <c r="AA33" s="3">
        <v>5.7575139555686147E-2</v>
      </c>
      <c r="AB33" s="3">
        <v>6.2705172164359751E-2</v>
      </c>
      <c r="AC33" s="3">
        <v>6.6171971954915601E-2</v>
      </c>
      <c r="AD33" s="3">
        <v>6.8385210637260108E-2</v>
      </c>
      <c r="AE33" s="3">
        <v>7.6193441864314981E-2</v>
      </c>
      <c r="AF33" s="3">
        <v>7.9117816364555241E-2</v>
      </c>
      <c r="AG33" s="3">
        <v>7.8348939251239008E-2</v>
      </c>
      <c r="AH33" s="3">
        <v>9.1749052053499314E-2</v>
      </c>
      <c r="AI33" s="3">
        <v>8.157193873236937E-2</v>
      </c>
      <c r="AJ33" s="3">
        <v>0.11271542279930774</v>
      </c>
      <c r="AK33" s="3">
        <v>0.14656655400287086</v>
      </c>
      <c r="AL33" s="3">
        <v>0.11381786190012677</v>
      </c>
    </row>
    <row r="34" spans="1:38" x14ac:dyDescent="0.35">
      <c r="A34" s="7">
        <v>43101</v>
      </c>
      <c r="B34" s="7">
        <v>43190</v>
      </c>
      <c r="C34" t="s">
        <v>127</v>
      </c>
      <c r="D34" t="s">
        <v>125</v>
      </c>
      <c r="E34" s="4" t="s">
        <v>69</v>
      </c>
      <c r="F34" s="3">
        <v>3.266334066424207E-2</v>
      </c>
      <c r="G34" s="3">
        <v>3.1856784187710131E-2</v>
      </c>
      <c r="H34" s="3">
        <v>3.5516670482588143E-2</v>
      </c>
      <c r="I34" s="3">
        <v>3.3613877354440144E-2</v>
      </c>
      <c r="J34" s="3">
        <v>3.6665005216227523E-2</v>
      </c>
      <c r="K34" s="3">
        <v>3.689698684478343E-2</v>
      </c>
      <c r="L34" s="3">
        <v>3.8517567647322296E-2</v>
      </c>
      <c r="M34" s="3">
        <v>3.791389821299445E-2</v>
      </c>
      <c r="N34" s="3">
        <v>4.190264094680117E-2</v>
      </c>
      <c r="O34" s="3">
        <v>3.8285534809126984E-2</v>
      </c>
      <c r="P34" s="3">
        <v>4.4782291759152264E-2</v>
      </c>
      <c r="Q34" s="3">
        <v>3.9628695589264143E-2</v>
      </c>
      <c r="R34" s="3">
        <v>4.691445965152484E-2</v>
      </c>
      <c r="S34" s="3">
        <v>4.1763060110870456E-2</v>
      </c>
      <c r="T34" s="3">
        <v>4.8316843693128622E-2</v>
      </c>
      <c r="U34" s="3">
        <v>4.4445309033417466E-2</v>
      </c>
      <c r="V34" s="3">
        <v>5.0583538133656125E-2</v>
      </c>
      <c r="W34" s="3">
        <v>4.5500495259273382E-2</v>
      </c>
      <c r="X34" s="3">
        <v>5.3730557773519358E-2</v>
      </c>
      <c r="Y34" s="3">
        <v>4.8049873203161494E-2</v>
      </c>
      <c r="Z34" s="3">
        <v>5.7380516132835013E-2</v>
      </c>
      <c r="AA34" s="3">
        <v>5.8536616039588887E-2</v>
      </c>
      <c r="AB34" s="3">
        <v>6.3674492333929994E-2</v>
      </c>
      <c r="AC34" s="3">
        <v>6.7144902683848123E-2</v>
      </c>
      <c r="AD34" s="3">
        <v>6.9289604606180166E-2</v>
      </c>
      <c r="AE34" s="3">
        <v>7.718096016562824E-2</v>
      </c>
      <c r="AF34" s="3">
        <v>8.0053919066883E-2</v>
      </c>
      <c r="AG34" s="3">
        <v>7.9257482062810913E-2</v>
      </c>
      <c r="AH34" s="3">
        <v>9.2699819231343877E-2</v>
      </c>
      <c r="AI34" s="3">
        <v>8.25627765454887E-2</v>
      </c>
      <c r="AJ34" s="3">
        <v>0.11370780016976628</v>
      </c>
      <c r="AK34" s="3">
        <v>0.14751313615786119</v>
      </c>
      <c r="AL34" s="3">
        <v>0.11473276764506546</v>
      </c>
    </row>
    <row r="35" spans="1:38" x14ac:dyDescent="0.35">
      <c r="A35" s="7">
        <v>43101</v>
      </c>
      <c r="B35" s="7">
        <v>43190</v>
      </c>
      <c r="C35" t="s">
        <v>127</v>
      </c>
      <c r="D35" t="s">
        <v>125</v>
      </c>
      <c r="E35" s="4" t="s">
        <v>70</v>
      </c>
      <c r="F35" s="3">
        <v>3.3615006950827517E-2</v>
      </c>
      <c r="G35" s="3">
        <v>3.2762917695688953E-2</v>
      </c>
      <c r="H35" s="3">
        <v>3.6502258168549954E-2</v>
      </c>
      <c r="I35" s="3">
        <v>3.4532143139689067E-2</v>
      </c>
      <c r="J35" s="3">
        <v>3.7610253000537969E-2</v>
      </c>
      <c r="K35" s="3">
        <v>3.7871243633954575E-2</v>
      </c>
      <c r="L35" s="3">
        <v>3.9506458227018357E-2</v>
      </c>
      <c r="M35" s="3">
        <v>3.8822139340595883E-2</v>
      </c>
      <c r="N35" s="3">
        <v>4.2879240678301116E-2</v>
      </c>
      <c r="O35" s="3">
        <v>3.9241603607676742E-2</v>
      </c>
      <c r="P35" s="3">
        <v>4.5699213581187004E-2</v>
      </c>
      <c r="Q35" s="3">
        <v>4.0624472251490892E-2</v>
      </c>
      <c r="R35" s="3">
        <v>4.7870656963362825E-2</v>
      </c>
      <c r="S35" s="3">
        <v>4.2729596604833865E-2</v>
      </c>
      <c r="T35" s="3">
        <v>4.9228818340475294E-2</v>
      </c>
      <c r="U35" s="3">
        <v>4.535246821018224E-2</v>
      </c>
      <c r="V35" s="3">
        <v>5.1513458477405225E-2</v>
      </c>
      <c r="W35" s="3">
        <v>4.6496463931347889E-2</v>
      </c>
      <c r="X35" s="3">
        <v>5.4710259660029049E-2</v>
      </c>
      <c r="Y35" s="3">
        <v>4.9007331566039355E-2</v>
      </c>
      <c r="Z35" s="3">
        <v>5.829873154372793E-2</v>
      </c>
      <c r="AA35" s="3">
        <v>5.946778808059016E-2</v>
      </c>
      <c r="AB35" s="3">
        <v>6.460944775868252E-2</v>
      </c>
      <c r="AC35" s="3">
        <v>6.8068521925419873E-2</v>
      </c>
      <c r="AD35" s="3">
        <v>7.0195598965229256E-2</v>
      </c>
      <c r="AE35" s="3">
        <v>7.8159910045503073E-2</v>
      </c>
      <c r="AF35" s="3">
        <v>8.1012610411531932E-2</v>
      </c>
      <c r="AG35" s="3">
        <v>8.0181077966933217E-2</v>
      </c>
      <c r="AH35" s="3">
        <v>9.3688238977401223E-2</v>
      </c>
      <c r="AI35" s="3">
        <v>8.347815920848603E-2</v>
      </c>
      <c r="AJ35" s="3">
        <v>0.11461490997768822</v>
      </c>
      <c r="AK35" s="3">
        <v>0.14843690456744629</v>
      </c>
      <c r="AL35" s="3">
        <v>0.11571679418624389</v>
      </c>
    </row>
    <row r="36" spans="1:38" x14ac:dyDescent="0.35">
      <c r="A36" s="7">
        <v>43101</v>
      </c>
      <c r="B36" s="7">
        <v>43190</v>
      </c>
      <c r="C36" t="s">
        <v>127</v>
      </c>
      <c r="D36" t="s">
        <v>125</v>
      </c>
      <c r="E36" s="4">
        <v>5</v>
      </c>
      <c r="F36" s="3">
        <v>3.4537034616341951E-2</v>
      </c>
      <c r="G36" s="3">
        <v>3.3701871493965599E-2</v>
      </c>
      <c r="H36" s="3">
        <v>3.7445141600718851E-2</v>
      </c>
      <c r="I36" s="3">
        <v>3.5501354570931676E-2</v>
      </c>
      <c r="J36" s="3">
        <v>3.8587162076532108E-2</v>
      </c>
      <c r="K36" s="3">
        <v>3.8857435763598305E-2</v>
      </c>
      <c r="L36" s="3">
        <v>4.0430411032710389E-2</v>
      </c>
      <c r="M36" s="3">
        <v>3.9758382469180051E-2</v>
      </c>
      <c r="N36" s="3">
        <v>4.3798630295579261E-2</v>
      </c>
      <c r="O36" s="3">
        <v>4.0204003559376603E-2</v>
      </c>
      <c r="P36" s="3">
        <v>4.6607872187442723E-2</v>
      </c>
      <c r="Q36" s="3">
        <v>4.1617434133182266E-2</v>
      </c>
      <c r="R36" s="3">
        <v>4.8787960327398794E-2</v>
      </c>
      <c r="S36" s="3">
        <v>4.3703405383414301E-2</v>
      </c>
      <c r="T36" s="3">
        <v>5.0149752994239301E-2</v>
      </c>
      <c r="U36" s="3">
        <v>4.6294855162885611E-2</v>
      </c>
      <c r="V36" s="3">
        <v>5.2445158938770949E-2</v>
      </c>
      <c r="W36" s="3">
        <v>4.7435172399565143E-2</v>
      </c>
      <c r="X36" s="3">
        <v>5.5687938236702893E-2</v>
      </c>
      <c r="Y36" s="3">
        <v>4.9914191192636459E-2</v>
      </c>
      <c r="Z36" s="3">
        <v>5.9274350429703734E-2</v>
      </c>
      <c r="AA36" s="3">
        <v>6.0416623636127195E-2</v>
      </c>
      <c r="AB36" s="3">
        <v>6.5529849427629183E-2</v>
      </c>
      <c r="AC36" s="3">
        <v>6.9045960511612783E-2</v>
      </c>
      <c r="AD36" s="3">
        <v>7.1128988861040549E-2</v>
      </c>
      <c r="AE36" s="3">
        <v>7.9095845061382758E-2</v>
      </c>
      <c r="AF36" s="3">
        <v>8.1952002646676111E-2</v>
      </c>
      <c r="AG36" s="3">
        <v>8.1096016217194394E-2</v>
      </c>
      <c r="AH36" s="3">
        <v>9.4637865264380838E-2</v>
      </c>
      <c r="AI36" s="3">
        <v>8.4439136470290402E-2</v>
      </c>
      <c r="AJ36" s="3">
        <v>0.11555517391392323</v>
      </c>
      <c r="AK36" s="3">
        <v>0.14937465627533181</v>
      </c>
      <c r="AL36" s="3">
        <v>0.11663023727481434</v>
      </c>
    </row>
    <row r="37" spans="1:38" x14ac:dyDescent="0.35">
      <c r="A37" s="7">
        <v>43101</v>
      </c>
      <c r="B37" s="7">
        <v>43190</v>
      </c>
      <c r="C37" t="s">
        <v>127</v>
      </c>
      <c r="D37" t="s">
        <v>125</v>
      </c>
      <c r="E37" s="4" t="s">
        <v>71</v>
      </c>
      <c r="F37" s="3">
        <v>3.545224753299351E-2</v>
      </c>
      <c r="G37" s="3">
        <v>3.4654426749807149E-2</v>
      </c>
      <c r="H37" s="3">
        <v>3.8363432166752955E-2</v>
      </c>
      <c r="I37" s="3">
        <v>3.6483817499054612E-2</v>
      </c>
      <c r="J37" s="3">
        <v>3.9515522119146912E-2</v>
      </c>
      <c r="K37" s="3">
        <v>3.9823752741559956E-2</v>
      </c>
      <c r="L37" s="3">
        <v>4.1378703526991807E-2</v>
      </c>
      <c r="M37" s="3">
        <v>4.0729505019661452E-2</v>
      </c>
      <c r="N37" s="3">
        <v>4.4743765763705465E-2</v>
      </c>
      <c r="O37" s="3">
        <v>4.1147549646481915E-2</v>
      </c>
      <c r="P37" s="3">
        <v>4.7550369849464022E-2</v>
      </c>
      <c r="Q37" s="3">
        <v>4.2553807159928722E-2</v>
      </c>
      <c r="R37" s="3">
        <v>4.9760856877947637E-2</v>
      </c>
      <c r="S37" s="3">
        <v>4.4632661459234696E-2</v>
      </c>
      <c r="T37" s="3">
        <v>5.1146085451574459E-2</v>
      </c>
      <c r="U37" s="3">
        <v>4.7256183992917526E-2</v>
      </c>
      <c r="V37" s="3">
        <v>5.3377722287246611E-2</v>
      </c>
      <c r="W37" s="3">
        <v>4.8363475537645861E-2</v>
      </c>
      <c r="X37" s="3">
        <v>5.6639852635564363E-2</v>
      </c>
      <c r="Y37" s="3">
        <v>5.0890286602368898E-2</v>
      </c>
      <c r="Z37" s="3">
        <v>6.0238787352116498E-2</v>
      </c>
      <c r="AA37" s="3">
        <v>6.1342734437073866E-2</v>
      </c>
      <c r="AB37" s="3">
        <v>6.6497644430090957E-2</v>
      </c>
      <c r="AC37" s="3">
        <v>6.9991828499182507E-2</v>
      </c>
      <c r="AD37" s="3">
        <v>7.2106986994260963E-2</v>
      </c>
      <c r="AE37" s="3">
        <v>7.9996109513219116E-2</v>
      </c>
      <c r="AF37" s="3">
        <v>8.2944347119404849E-2</v>
      </c>
      <c r="AG37" s="3">
        <v>8.2024576265395138E-2</v>
      </c>
      <c r="AH37" s="3">
        <v>9.5586131170948857E-2</v>
      </c>
      <c r="AI37" s="3">
        <v>8.5356007964590058E-2</v>
      </c>
      <c r="AJ37" s="3">
        <v>0.11649176413878909</v>
      </c>
      <c r="AK37" s="3">
        <v>0.15033627909692013</v>
      </c>
      <c r="AL37" s="3">
        <v>0.11762032111917292</v>
      </c>
    </row>
    <row r="38" spans="1:38" x14ac:dyDescent="0.35">
      <c r="A38" s="7">
        <v>43101</v>
      </c>
      <c r="B38" s="7">
        <v>43190</v>
      </c>
      <c r="C38" t="s">
        <v>127</v>
      </c>
      <c r="D38" t="s">
        <v>125</v>
      </c>
      <c r="E38" s="4" t="s">
        <v>72</v>
      </c>
      <c r="F38" s="3">
        <v>3.6450044671522949E-2</v>
      </c>
      <c r="G38" s="3">
        <v>3.5597382233771228E-2</v>
      </c>
      <c r="H38" s="3">
        <v>3.9342643582357915E-2</v>
      </c>
      <c r="I38" s="3">
        <v>3.7385083984993947E-2</v>
      </c>
      <c r="J38" s="3">
        <v>4.0439457241266824E-2</v>
      </c>
      <c r="K38" s="3">
        <v>4.0751167672111455E-2</v>
      </c>
      <c r="L38" s="3">
        <v>4.2302334066026029E-2</v>
      </c>
      <c r="M38" s="3">
        <v>4.1652328412065009E-2</v>
      </c>
      <c r="N38" s="3">
        <v>4.5725725299334885E-2</v>
      </c>
      <c r="O38" s="3">
        <v>4.214042390166306E-2</v>
      </c>
      <c r="P38" s="3">
        <v>4.8457192690454405E-2</v>
      </c>
      <c r="Q38" s="3">
        <v>4.3480456218301683E-2</v>
      </c>
      <c r="R38" s="3">
        <v>5.075911302697364E-2</v>
      </c>
      <c r="S38" s="3">
        <v>4.5599621500819393E-2</v>
      </c>
      <c r="T38" s="3">
        <v>5.2079397101071789E-2</v>
      </c>
      <c r="U38" s="3">
        <v>4.8217342664606345E-2</v>
      </c>
      <c r="V38" s="3">
        <v>5.4302257703269831E-2</v>
      </c>
      <c r="W38" s="3">
        <v>4.935788536724868E-2</v>
      </c>
      <c r="X38" s="3">
        <v>5.763615542369796E-2</v>
      </c>
      <c r="Y38" s="3">
        <v>5.1804233856917431E-2</v>
      </c>
      <c r="Z38" s="3">
        <v>6.1147907091145454E-2</v>
      </c>
      <c r="AA38" s="3">
        <v>6.2309724026127174E-2</v>
      </c>
      <c r="AB38" s="3">
        <v>6.7488798515799475E-2</v>
      </c>
      <c r="AC38" s="3">
        <v>7.092984619827844E-2</v>
      </c>
      <c r="AD38" s="3">
        <v>7.3088608205711059E-2</v>
      </c>
      <c r="AE38" s="3">
        <v>8.0913454609532254E-2</v>
      </c>
      <c r="AF38" s="3">
        <v>8.3888516304205157E-2</v>
      </c>
      <c r="AG38" s="3">
        <v>8.2967069472016527E-2</v>
      </c>
      <c r="AH38" s="3">
        <v>9.654876240944113E-2</v>
      </c>
      <c r="AI38" s="3">
        <v>8.6265720475586088E-2</v>
      </c>
      <c r="AJ38" s="3">
        <v>0.11742309530034586</v>
      </c>
      <c r="AK38" s="3">
        <v>0.15124715508668146</v>
      </c>
      <c r="AL38" s="3">
        <v>0.11859960676243339</v>
      </c>
    </row>
    <row r="39" spans="1:38" x14ac:dyDescent="0.35">
      <c r="A39" s="7">
        <v>43101</v>
      </c>
      <c r="B39" s="7">
        <v>43190</v>
      </c>
      <c r="C39" t="s">
        <v>127</v>
      </c>
      <c r="D39" t="s">
        <v>125</v>
      </c>
      <c r="E39" s="4">
        <v>6</v>
      </c>
      <c r="F39" s="3">
        <v>3.7354710843880236E-2</v>
      </c>
      <c r="G39" s="3">
        <v>3.6514300466315895E-2</v>
      </c>
      <c r="H39" s="3">
        <v>4.0340015876603172E-2</v>
      </c>
      <c r="I39" s="3">
        <v>3.8287553075633286E-2</v>
      </c>
      <c r="J39" s="3">
        <v>4.1343677994122682E-2</v>
      </c>
      <c r="K39" s="3">
        <v>4.1711866595613344E-2</v>
      </c>
      <c r="L39" s="3">
        <v>4.320510865471254E-2</v>
      </c>
      <c r="M39" s="3">
        <v>4.2600622392565027E-2</v>
      </c>
      <c r="N39" s="3">
        <v>4.6686311833625704E-2</v>
      </c>
      <c r="O39" s="3">
        <v>4.3132774067928759E-2</v>
      </c>
      <c r="P39" s="3">
        <v>4.9358899286446989E-2</v>
      </c>
      <c r="Q39" s="3">
        <v>4.4464201327189187E-2</v>
      </c>
      <c r="R39" s="3">
        <v>5.1697114376885581E-2</v>
      </c>
      <c r="S39" s="3">
        <v>4.6529621074183444E-2</v>
      </c>
      <c r="T39" s="3">
        <v>5.3015743625293946E-2</v>
      </c>
      <c r="U39" s="3">
        <v>4.9216862234903305E-2</v>
      </c>
      <c r="V39" s="3">
        <v>5.5300735763207459E-2</v>
      </c>
      <c r="W39" s="3">
        <v>5.0262787163677033E-2</v>
      </c>
      <c r="X39" s="3">
        <v>5.861369834049085E-2</v>
      </c>
      <c r="Y39" s="3">
        <v>5.273475792981161E-2</v>
      </c>
      <c r="Z39" s="3">
        <v>6.2087418767790732E-2</v>
      </c>
      <c r="AA39" s="3">
        <v>6.3306843346533054E-2</v>
      </c>
      <c r="AB39" s="3">
        <v>6.8420502837275465E-2</v>
      </c>
      <c r="AC39" s="3">
        <v>7.1884595950778493E-2</v>
      </c>
      <c r="AD39" s="3">
        <v>7.4050407256270184E-2</v>
      </c>
      <c r="AE39" s="3">
        <v>8.1893066680813281E-2</v>
      </c>
      <c r="AF39" s="3">
        <v>8.4864382115662565E-2</v>
      </c>
      <c r="AG39" s="3">
        <v>8.3938529481590474E-2</v>
      </c>
      <c r="AH39" s="3">
        <v>9.7491883015531883E-2</v>
      </c>
      <c r="AI39" s="3">
        <v>8.7234623648672849E-2</v>
      </c>
      <c r="AJ39" s="3">
        <v>0.11835782494668728</v>
      </c>
      <c r="AK39" s="3">
        <v>0.1521501469799699</v>
      </c>
      <c r="AL39" s="3">
        <v>0.11955080099179458</v>
      </c>
    </row>
    <row r="40" spans="1:38" x14ac:dyDescent="0.35">
      <c r="A40" s="7">
        <v>43101</v>
      </c>
      <c r="B40" s="7">
        <v>43190</v>
      </c>
      <c r="C40" t="s">
        <v>127</v>
      </c>
      <c r="D40" t="s">
        <v>125</v>
      </c>
      <c r="E40" s="4" t="s">
        <v>73</v>
      </c>
      <c r="F40" s="3">
        <v>3.831298237972007E-2</v>
      </c>
      <c r="G40" s="3">
        <v>3.7470863826427656E-2</v>
      </c>
      <c r="H40" s="3">
        <v>4.1272189463267363E-2</v>
      </c>
      <c r="I40" s="3">
        <v>3.9251364017709525E-2</v>
      </c>
      <c r="J40" s="3">
        <v>4.2343484503988227E-2</v>
      </c>
      <c r="K40" s="3">
        <v>4.2691342019618508E-2</v>
      </c>
      <c r="L40" s="3">
        <v>4.4162612339023008E-2</v>
      </c>
      <c r="M40" s="3">
        <v>4.3555545551511261E-2</v>
      </c>
      <c r="N40" s="3">
        <v>4.7618632179344741E-2</v>
      </c>
      <c r="O40" s="3">
        <v>4.4106025837637675E-2</v>
      </c>
      <c r="P40" s="3">
        <v>5.0346096550348662E-2</v>
      </c>
      <c r="Q40" s="3">
        <v>4.5377473187230705E-2</v>
      </c>
      <c r="R40" s="3">
        <v>5.2660540987732846E-2</v>
      </c>
      <c r="S40" s="3">
        <v>4.7450464703823914E-2</v>
      </c>
      <c r="T40" s="3">
        <v>5.3969993380739843E-2</v>
      </c>
      <c r="U40" s="3">
        <v>5.0159888659726592E-2</v>
      </c>
      <c r="V40" s="3">
        <v>5.6258205706464358E-2</v>
      </c>
      <c r="W40" s="3">
        <v>5.1245864887336609E-2</v>
      </c>
      <c r="X40" s="3">
        <v>5.9565189098086058E-2</v>
      </c>
      <c r="Y40" s="3">
        <v>5.3693615381737822E-2</v>
      </c>
      <c r="Z40" s="3">
        <v>6.3085669834437114E-2</v>
      </c>
      <c r="AA40" s="3">
        <v>6.4226053950022677E-2</v>
      </c>
      <c r="AB40" s="3">
        <v>6.9387327504087465E-2</v>
      </c>
      <c r="AC40" s="3">
        <v>7.2850499388342871E-2</v>
      </c>
      <c r="AD40" s="3">
        <v>7.4995541721114056E-2</v>
      </c>
      <c r="AE40" s="3">
        <v>8.2813620383519554E-2</v>
      </c>
      <c r="AF40" s="3">
        <v>8.5833211364047285E-2</v>
      </c>
      <c r="AG40" s="3">
        <v>8.4856344163987477E-2</v>
      </c>
      <c r="AH40" s="3">
        <v>9.8407203055284775E-2</v>
      </c>
      <c r="AI40" s="3">
        <v>8.816050350901436E-2</v>
      </c>
      <c r="AJ40" s="3">
        <v>0.11930359887892328</v>
      </c>
      <c r="AK40" s="3">
        <v>0.15311849031913038</v>
      </c>
      <c r="AL40" s="3">
        <v>0.12046881254756178</v>
      </c>
    </row>
    <row r="41" spans="1:38" x14ac:dyDescent="0.35">
      <c r="A41" s="7">
        <v>43101</v>
      </c>
      <c r="B41" s="7">
        <v>43190</v>
      </c>
      <c r="C41" t="s">
        <v>127</v>
      </c>
      <c r="D41" t="s">
        <v>125</v>
      </c>
      <c r="E41" s="4" t="s">
        <v>74</v>
      </c>
      <c r="F41" s="3">
        <v>3.9290655936053603E-2</v>
      </c>
      <c r="G41" s="3">
        <v>3.8415482453008583E-2</v>
      </c>
      <c r="H41" s="3">
        <v>4.219232752177425E-2</v>
      </c>
      <c r="I41" s="3">
        <v>4.0167024517393374E-2</v>
      </c>
      <c r="J41" s="3">
        <v>4.3298200600403264E-2</v>
      </c>
      <c r="K41" s="3">
        <v>4.3669033421348501E-2</v>
      </c>
      <c r="L41" s="3">
        <v>4.5106092157626926E-2</v>
      </c>
      <c r="M41" s="3">
        <v>4.454513055193747E-2</v>
      </c>
      <c r="N41" s="3">
        <v>4.8578105083387994E-2</v>
      </c>
      <c r="O41" s="3">
        <v>4.5041206075774276E-2</v>
      </c>
      <c r="P41" s="3">
        <v>5.1272222742774848E-2</v>
      </c>
      <c r="Q41" s="3">
        <v>4.6288973979576764E-2</v>
      </c>
      <c r="R41" s="3">
        <v>5.3609713962831179E-2</v>
      </c>
      <c r="S41" s="3">
        <v>4.8423367860062086E-2</v>
      </c>
      <c r="T41" s="3">
        <v>5.4900284765182827E-2</v>
      </c>
      <c r="U41" s="3">
        <v>5.1116043510631932E-2</v>
      </c>
      <c r="V41" s="3">
        <v>5.7186005067337314E-2</v>
      </c>
      <c r="W41" s="3">
        <v>5.2200134180994541E-2</v>
      </c>
      <c r="X41" s="3">
        <v>6.0472847689605307E-2</v>
      </c>
      <c r="Y41" s="3">
        <v>5.4598365149331154E-2</v>
      </c>
      <c r="Z41" s="3">
        <v>6.4011640450528096E-2</v>
      </c>
      <c r="AA41" s="3">
        <v>6.5220768312793526E-2</v>
      </c>
      <c r="AB41" s="3">
        <v>7.0295568211983767E-2</v>
      </c>
      <c r="AC41" s="3">
        <v>7.3817523142215125E-2</v>
      </c>
      <c r="AD41" s="3">
        <v>7.5934228027242784E-2</v>
      </c>
      <c r="AE41" s="3">
        <v>8.3742569693424418E-2</v>
      </c>
      <c r="AF41" s="3">
        <v>8.674641920399756E-2</v>
      </c>
      <c r="AG41" s="3">
        <v>8.5804327105100026E-2</v>
      </c>
      <c r="AH41" s="3">
        <v>9.9403550330891072E-2</v>
      </c>
      <c r="AI41" s="3">
        <v>8.9092727841256103E-2</v>
      </c>
      <c r="AJ41" s="3">
        <v>0.12022033076272837</v>
      </c>
      <c r="AK41" s="3">
        <v>0.15406721062121739</v>
      </c>
      <c r="AL41" s="3">
        <v>0.12142501005957787</v>
      </c>
    </row>
    <row r="42" spans="1:38" x14ac:dyDescent="0.35">
      <c r="A42" s="7">
        <v>43101</v>
      </c>
      <c r="B42" s="7">
        <v>43190</v>
      </c>
      <c r="C42" t="s">
        <v>127</v>
      </c>
      <c r="D42" t="s">
        <v>125</v>
      </c>
      <c r="E42" s="4">
        <v>7</v>
      </c>
      <c r="F42" s="3">
        <v>4.0278276553716283E-2</v>
      </c>
      <c r="G42" s="3">
        <v>3.9329177705657581E-2</v>
      </c>
      <c r="H42" s="3">
        <v>4.3099318153345834E-2</v>
      </c>
      <c r="I42" s="3">
        <v>4.1083811526251506E-2</v>
      </c>
      <c r="J42" s="3">
        <v>4.4213419842575458E-2</v>
      </c>
      <c r="K42" s="3">
        <v>4.4583800859561019E-2</v>
      </c>
      <c r="L42" s="3">
        <v>4.6092812186156275E-2</v>
      </c>
      <c r="M42" s="3">
        <v>4.5540381363158702E-2</v>
      </c>
      <c r="N42" s="3">
        <v>4.9541323345427747E-2</v>
      </c>
      <c r="O42" s="3">
        <v>4.599142163800695E-2</v>
      </c>
      <c r="P42" s="3">
        <v>5.2236981442763744E-2</v>
      </c>
      <c r="Q42" s="3">
        <v>4.7234541478731421E-2</v>
      </c>
      <c r="R42" s="3">
        <v>5.45593901111684E-2</v>
      </c>
      <c r="S42" s="3">
        <v>4.9346904198118623E-2</v>
      </c>
      <c r="T42" s="3">
        <v>5.5816080504292424E-2</v>
      </c>
      <c r="U42" s="3">
        <v>5.2027736685895595E-2</v>
      </c>
      <c r="V42" s="3">
        <v>5.8124858987900853E-2</v>
      </c>
      <c r="W42" s="3">
        <v>5.3144763825180408E-2</v>
      </c>
      <c r="X42" s="3">
        <v>6.1388336794213065E-2</v>
      </c>
      <c r="Y42" s="3">
        <v>5.559125705272968E-2</v>
      </c>
      <c r="Z42" s="3">
        <v>6.4977016347356198E-2</v>
      </c>
      <c r="AA42" s="3">
        <v>6.6209543585266664E-2</v>
      </c>
      <c r="AB42" s="3">
        <v>7.125812556861183E-2</v>
      </c>
      <c r="AC42" s="3">
        <v>7.4742287354191972E-2</v>
      </c>
      <c r="AD42" s="3">
        <v>7.6887157903794745E-2</v>
      </c>
      <c r="AE42" s="3">
        <v>8.4662762776687495E-2</v>
      </c>
      <c r="AF42" s="3">
        <v>8.7712813964452518E-2</v>
      </c>
      <c r="AG42" s="3">
        <v>8.6782994599508806E-2</v>
      </c>
      <c r="AH42" s="3">
        <v>0.10038231580665266</v>
      </c>
      <c r="AI42" s="3">
        <v>9.0077913935211584E-2</v>
      </c>
      <c r="AJ42" s="3">
        <v>0.12120598351307099</v>
      </c>
      <c r="AK42" s="3">
        <v>0.15497013151438968</v>
      </c>
      <c r="AL42" s="3">
        <v>0.12238501633574686</v>
      </c>
    </row>
    <row r="43" spans="1:38" x14ac:dyDescent="0.35">
      <c r="A43" s="7">
        <v>43101</v>
      </c>
      <c r="B43" s="7">
        <v>43190</v>
      </c>
      <c r="C43" t="s">
        <v>127</v>
      </c>
      <c r="D43" t="s">
        <v>125</v>
      </c>
      <c r="E43" s="4" t="s">
        <v>75</v>
      </c>
      <c r="F43" s="3">
        <v>4.1182488272635209E-2</v>
      </c>
      <c r="G43" s="3">
        <v>4.0301753966505142E-2</v>
      </c>
      <c r="H43" s="3">
        <v>4.4026838639232929E-2</v>
      </c>
      <c r="I43" s="3">
        <v>4.2067557852125029E-2</v>
      </c>
      <c r="J43" s="3">
        <v>4.520170932772348E-2</v>
      </c>
      <c r="K43" s="3">
        <v>4.5550622839863747E-2</v>
      </c>
      <c r="L43" s="3">
        <v>4.7066014601750958E-2</v>
      </c>
      <c r="M43" s="3">
        <v>4.6515759061131506E-2</v>
      </c>
      <c r="N43" s="3">
        <v>5.0527017636710615E-2</v>
      </c>
      <c r="O43" s="3">
        <v>4.69567489982212E-2</v>
      </c>
      <c r="P43" s="3">
        <v>5.3147315452805592E-2</v>
      </c>
      <c r="Q43" s="3">
        <v>4.8200116122030651E-2</v>
      </c>
      <c r="R43" s="3">
        <v>5.5524190394425521E-2</v>
      </c>
      <c r="S43" s="3">
        <v>5.0342902962852917E-2</v>
      </c>
      <c r="T43" s="3">
        <v>5.6756386656798406E-2</v>
      </c>
      <c r="U43" s="3">
        <v>5.3005559472231803E-2</v>
      </c>
      <c r="V43" s="3">
        <v>5.9047358524636863E-2</v>
      </c>
      <c r="W43" s="3">
        <v>5.4140598489951501E-2</v>
      </c>
      <c r="X43" s="3">
        <v>6.232880869907742E-2</v>
      </c>
      <c r="Y43" s="3">
        <v>5.6560360891625423E-2</v>
      </c>
      <c r="Z43" s="3">
        <v>6.5974746221220001E-2</v>
      </c>
      <c r="AA43" s="3">
        <v>6.7143034001964808E-2</v>
      </c>
      <c r="AB43" s="3">
        <v>7.2196010653543363E-2</v>
      </c>
      <c r="AC43" s="3">
        <v>7.5649617469505104E-2</v>
      </c>
      <c r="AD43" s="3">
        <v>7.7819400436061253E-2</v>
      </c>
      <c r="AE43" s="3">
        <v>8.5639145127280963E-2</v>
      </c>
      <c r="AF43" s="3">
        <v>8.8675499657925511E-2</v>
      </c>
      <c r="AG43" s="3">
        <v>8.7723641932776486E-2</v>
      </c>
      <c r="AH43" s="3">
        <v>0.1013130305129547</v>
      </c>
      <c r="AI43" s="3">
        <v>9.1039773112474742E-2</v>
      </c>
      <c r="AJ43" s="3">
        <v>0.12216032095937948</v>
      </c>
      <c r="AK43" s="3">
        <v>0.15592404775594543</v>
      </c>
      <c r="AL43" s="3">
        <v>0.12332571407201984</v>
      </c>
    </row>
    <row r="44" spans="1:38" x14ac:dyDescent="0.35">
      <c r="A44" s="7">
        <v>43101</v>
      </c>
      <c r="B44" s="7">
        <v>43190</v>
      </c>
      <c r="C44" t="s">
        <v>126</v>
      </c>
      <c r="D44" t="s">
        <v>125</v>
      </c>
      <c r="E44" s="4">
        <v>1</v>
      </c>
      <c r="F44" s="3">
        <v>2.4987235415080068E-2</v>
      </c>
      <c r="G44" s="3">
        <v>2.4522336342949563E-2</v>
      </c>
      <c r="H44" s="3">
        <v>2.7904631230141239E-2</v>
      </c>
      <c r="I44" s="3">
        <v>2.6059051771753751E-2</v>
      </c>
      <c r="J44" s="3">
        <v>2.9214931408311058E-2</v>
      </c>
      <c r="K44" s="3">
        <v>2.9265446267055656E-2</v>
      </c>
      <c r="L44" s="3">
        <v>3.0982197143763188E-2</v>
      </c>
      <c r="M44" s="3">
        <v>3.0375022539147159E-2</v>
      </c>
      <c r="N44" s="3">
        <v>3.4507892750587854E-2</v>
      </c>
      <c r="O44" s="3">
        <v>3.0706515013046779E-2</v>
      </c>
      <c r="P44" s="3">
        <v>3.7154611745470946E-2</v>
      </c>
      <c r="Q44" s="3">
        <v>3.2068234094442878E-2</v>
      </c>
      <c r="R44" s="3">
        <v>3.9456126253836606E-2</v>
      </c>
      <c r="S44" s="3">
        <v>3.4142726163996981E-2</v>
      </c>
      <c r="T44" s="3">
        <v>4.0907674061615849E-2</v>
      </c>
      <c r="U44" s="3">
        <v>3.6823319048479054E-2</v>
      </c>
      <c r="V44" s="3">
        <v>4.304753562160251E-2</v>
      </c>
      <c r="W44" s="3">
        <v>3.7978029939151656E-2</v>
      </c>
      <c r="X44" s="3">
        <v>4.6194112106792327E-2</v>
      </c>
      <c r="Y44" s="3">
        <v>4.0541921398612769E-2</v>
      </c>
      <c r="Z44" s="3">
        <v>4.9720350031989595E-2</v>
      </c>
      <c r="AA44" s="3">
        <v>5.0938659601285304E-2</v>
      </c>
      <c r="AB44" s="3">
        <v>5.62208891354583E-2</v>
      </c>
      <c r="AC44" s="3">
        <v>5.9598276343003583E-2</v>
      </c>
      <c r="AD44" s="3">
        <v>6.1975244868088718E-2</v>
      </c>
      <c r="AE44" s="3">
        <v>6.9630307613935211E-2</v>
      </c>
      <c r="AF44" s="3">
        <v>7.2530260528803764E-2</v>
      </c>
      <c r="AG44" s="3">
        <v>7.1821994417673785E-2</v>
      </c>
      <c r="AH44" s="3">
        <v>8.5201092314036608E-2</v>
      </c>
      <c r="AI44" s="3">
        <v>7.4923580014799818E-2</v>
      </c>
      <c r="AJ44" s="3">
        <v>0.10618899962977327</v>
      </c>
      <c r="AK44" s="3">
        <v>0.13988203667397348</v>
      </c>
      <c r="AL44" s="3">
        <v>0.10738283042429544</v>
      </c>
    </row>
    <row r="45" spans="1:38" x14ac:dyDescent="0.35">
      <c r="A45" s="7">
        <v>43101</v>
      </c>
      <c r="B45" s="7">
        <v>43190</v>
      </c>
      <c r="C45" t="s">
        <v>126</v>
      </c>
      <c r="D45" t="s">
        <v>125</v>
      </c>
      <c r="E45" s="4" t="s">
        <v>64</v>
      </c>
      <c r="F45" s="3">
        <v>2.5955504628306671E-2</v>
      </c>
      <c r="G45" s="3">
        <v>2.5444481773370751E-2</v>
      </c>
      <c r="H45" s="3">
        <v>2.8850626606074733E-2</v>
      </c>
      <c r="I45" s="3">
        <v>2.6968925101185339E-2</v>
      </c>
      <c r="J45" s="3">
        <v>3.0133283155749986E-2</v>
      </c>
      <c r="K45" s="3">
        <v>3.0223062002444338E-2</v>
      </c>
      <c r="L45" s="3">
        <v>3.1934115932132967E-2</v>
      </c>
      <c r="M45" s="3">
        <v>3.1280819977680507E-2</v>
      </c>
      <c r="N45" s="3">
        <v>3.5450059642861693E-2</v>
      </c>
      <c r="O45" s="3">
        <v>3.1642785468758393E-2</v>
      </c>
      <c r="P45" s="3">
        <v>3.8118841964526536E-2</v>
      </c>
      <c r="Q45" s="3">
        <v>3.2979868013520541E-2</v>
      </c>
      <c r="R45" s="3">
        <v>4.0439336595061631E-2</v>
      </c>
      <c r="S45" s="3">
        <v>3.5073364823084353E-2</v>
      </c>
      <c r="T45" s="3">
        <v>4.18816179777355E-2</v>
      </c>
      <c r="U45" s="3">
        <v>3.7738906253639445E-2</v>
      </c>
      <c r="V45" s="3">
        <v>4.4018330733574293E-2</v>
      </c>
      <c r="W45" s="3">
        <v>3.892466822714076E-2</v>
      </c>
      <c r="X45" s="3">
        <v>4.717329250434478E-2</v>
      </c>
      <c r="Y45" s="3">
        <v>4.1464646138943566E-2</v>
      </c>
      <c r="Z45" s="3">
        <v>5.0663966833701071E-2</v>
      </c>
      <c r="AA45" s="3">
        <v>5.1893391600233457E-2</v>
      </c>
      <c r="AB45" s="3">
        <v>5.7139843977245197E-2</v>
      </c>
      <c r="AC45" s="3">
        <v>6.0548496431847794E-2</v>
      </c>
      <c r="AD45" s="3">
        <v>6.2929948312430664E-2</v>
      </c>
      <c r="AE45" s="3">
        <v>7.0537761203292318E-2</v>
      </c>
      <c r="AF45" s="3">
        <v>7.3498060155195499E-2</v>
      </c>
      <c r="AG45" s="3">
        <v>7.2743308851667146E-2</v>
      </c>
      <c r="AH45" s="3">
        <v>8.6159836721572541E-2</v>
      </c>
      <c r="AI45" s="3">
        <v>7.5836736383455006E-2</v>
      </c>
      <c r="AJ45" s="3">
        <v>0.10711874012266376</v>
      </c>
      <c r="AK45" s="3">
        <v>0.1408205734558888</v>
      </c>
      <c r="AL45" s="3">
        <v>0.10828480850509567</v>
      </c>
    </row>
    <row r="46" spans="1:38" x14ac:dyDescent="0.35">
      <c r="A46" s="7">
        <v>43101</v>
      </c>
      <c r="B46" s="7">
        <v>43190</v>
      </c>
      <c r="C46" t="s">
        <v>126</v>
      </c>
      <c r="D46" t="s">
        <v>125</v>
      </c>
      <c r="E46" s="4">
        <v>2</v>
      </c>
      <c r="F46" s="3">
        <v>2.6897021899625215E-2</v>
      </c>
      <c r="G46" s="3">
        <v>2.6368915274916437E-2</v>
      </c>
      <c r="H46" s="3">
        <v>2.9848451892030357E-2</v>
      </c>
      <c r="I46" s="3">
        <v>2.7955691162124076E-2</v>
      </c>
      <c r="J46" s="3">
        <v>3.1060131064313004E-2</v>
      </c>
      <c r="K46" s="3">
        <v>3.1198106227038336E-2</v>
      </c>
      <c r="L46" s="3">
        <v>3.2845044629501122E-2</v>
      </c>
      <c r="M46" s="3">
        <v>3.2234643248477843E-2</v>
      </c>
      <c r="N46" s="3">
        <v>3.638232419933108E-2</v>
      </c>
      <c r="O46" s="3">
        <v>3.2594684077558833E-2</v>
      </c>
      <c r="P46" s="3">
        <v>3.9040547019358746E-2</v>
      </c>
      <c r="Q46" s="3">
        <v>3.3919219200209516E-2</v>
      </c>
      <c r="R46" s="3">
        <v>4.1371166603959772E-2</v>
      </c>
      <c r="S46" s="3">
        <v>3.6041012010300827E-2</v>
      </c>
      <c r="T46" s="3">
        <v>4.2831479692354041E-2</v>
      </c>
      <c r="U46" s="3">
        <v>3.8687198648127537E-2</v>
      </c>
      <c r="V46" s="3">
        <v>4.4993338675699428E-2</v>
      </c>
      <c r="W46" s="3">
        <v>3.9890880083179661E-2</v>
      </c>
      <c r="X46" s="3">
        <v>4.8140754596639787E-2</v>
      </c>
      <c r="Y46" s="3">
        <v>4.2458963417643242E-2</v>
      </c>
      <c r="Z46" s="3">
        <v>5.1599887843882988E-2</v>
      </c>
      <c r="AA46" s="3">
        <v>5.286719807845551E-2</v>
      </c>
      <c r="AB46" s="3">
        <v>5.8078492929563477E-2</v>
      </c>
      <c r="AC46" s="3">
        <v>6.1451398081860634E-2</v>
      </c>
      <c r="AD46" s="3">
        <v>6.384576144832034E-2</v>
      </c>
      <c r="AE46" s="3">
        <v>7.144267502963543E-2</v>
      </c>
      <c r="AF46" s="3">
        <v>7.4471262341356134E-2</v>
      </c>
      <c r="AG46" s="3">
        <v>7.3721406261892219E-2</v>
      </c>
      <c r="AH46" s="3">
        <v>8.7088969605302602E-2</v>
      </c>
      <c r="AI46" s="3">
        <v>7.6827014311840927E-2</v>
      </c>
      <c r="AJ46" s="3">
        <v>0.10805082647783992</v>
      </c>
      <c r="AK46" s="3">
        <v>0.14176338686442322</v>
      </c>
      <c r="AL46" s="3">
        <v>0.10918762445336724</v>
      </c>
    </row>
    <row r="47" spans="1:38" x14ac:dyDescent="0.35">
      <c r="A47" s="7">
        <v>43101</v>
      </c>
      <c r="B47" s="7">
        <v>43190</v>
      </c>
      <c r="C47" t="s">
        <v>126</v>
      </c>
      <c r="D47" t="s">
        <v>125</v>
      </c>
      <c r="E47" s="4" t="s">
        <v>65</v>
      </c>
      <c r="F47" s="3">
        <v>2.7892588043602628E-2</v>
      </c>
      <c r="G47" s="3">
        <v>2.7329308788466757E-2</v>
      </c>
      <c r="H47" s="3">
        <v>3.0819656371274408E-2</v>
      </c>
      <c r="I47" s="3">
        <v>2.8893208213903409E-2</v>
      </c>
      <c r="J47" s="3">
        <v>3.2013264636733277E-2</v>
      </c>
      <c r="K47" s="3">
        <v>3.2135830795126871E-2</v>
      </c>
      <c r="L47" s="3">
        <v>3.3774662475232566E-2</v>
      </c>
      <c r="M47" s="3">
        <v>3.3179747392975009E-2</v>
      </c>
      <c r="N47" s="3">
        <v>3.7293207543458287E-2</v>
      </c>
      <c r="O47" s="3">
        <v>3.3544866915647203E-2</v>
      </c>
      <c r="P47" s="3">
        <v>4.0028482383182129E-2</v>
      </c>
      <c r="Q47" s="3">
        <v>3.4902780731733959E-2</v>
      </c>
      <c r="R47" s="3">
        <v>4.2290724980076223E-2</v>
      </c>
      <c r="S47" s="3">
        <v>3.6959929011024781E-2</v>
      </c>
      <c r="T47" s="3">
        <v>4.374441799494759E-2</v>
      </c>
      <c r="U47" s="3">
        <v>3.9652317576269622E-2</v>
      </c>
      <c r="V47" s="3">
        <v>4.5913480248590571E-2</v>
      </c>
      <c r="W47" s="3">
        <v>4.085025179167466E-2</v>
      </c>
      <c r="X47" s="3">
        <v>4.9122262773781386E-2</v>
      </c>
      <c r="Y47" s="3">
        <v>4.3373228437165706E-2</v>
      </c>
      <c r="Z47" s="3">
        <v>5.2590145397651653E-2</v>
      </c>
      <c r="AA47" s="3">
        <v>5.3820686831295171E-2</v>
      </c>
      <c r="AB47" s="3">
        <v>5.9042504808221867E-2</v>
      </c>
      <c r="AC47" s="3">
        <v>6.2366638261812719E-2</v>
      </c>
      <c r="AD47" s="3">
        <v>6.4762272908770124E-2</v>
      </c>
      <c r="AE47" s="3">
        <v>7.2423160064546077E-2</v>
      </c>
      <c r="AF47" s="3">
        <v>7.5429679229339922E-2</v>
      </c>
      <c r="AG47" s="3">
        <v>7.4661021251319487E-2</v>
      </c>
      <c r="AH47" s="3">
        <v>8.8006290793609943E-2</v>
      </c>
      <c r="AI47" s="3">
        <v>7.7762463089604772E-2</v>
      </c>
      <c r="AJ47" s="3">
        <v>0.10899967860014292</v>
      </c>
      <c r="AK47" s="3">
        <v>0.1426933785039842</v>
      </c>
      <c r="AL47" s="3">
        <v>0.11017059404382648</v>
      </c>
    </row>
    <row r="48" spans="1:38" x14ac:dyDescent="0.35">
      <c r="A48" s="7">
        <v>43101</v>
      </c>
      <c r="B48" s="7">
        <v>43190</v>
      </c>
      <c r="C48" t="s">
        <v>126</v>
      </c>
      <c r="D48" t="s">
        <v>125</v>
      </c>
      <c r="E48" s="4" t="s">
        <v>66</v>
      </c>
      <c r="F48" s="3">
        <v>2.8816431623965195E-2</v>
      </c>
      <c r="G48" s="3">
        <v>2.8279758919457922E-2</v>
      </c>
      <c r="H48" s="3">
        <v>3.1808105309173162E-2</v>
      </c>
      <c r="I48" s="3">
        <v>2.9867113852875982E-2</v>
      </c>
      <c r="J48" s="3">
        <v>3.2985287884005621E-2</v>
      </c>
      <c r="K48" s="3">
        <v>3.3083926756475458E-2</v>
      </c>
      <c r="L48" s="3">
        <v>3.4760408681570015E-2</v>
      </c>
      <c r="M48" s="3">
        <v>3.4139345117331521E-2</v>
      </c>
      <c r="N48" s="3">
        <v>3.8274630476066412E-2</v>
      </c>
      <c r="O48" s="3">
        <v>3.4495680412953485E-2</v>
      </c>
      <c r="P48" s="3">
        <v>4.0990447680038122E-2</v>
      </c>
      <c r="Q48" s="3">
        <v>3.5867473360407805E-2</v>
      </c>
      <c r="R48" s="3">
        <v>4.3253792917843314E-2</v>
      </c>
      <c r="S48" s="3">
        <v>3.7932087503310355E-2</v>
      </c>
      <c r="T48" s="3">
        <v>4.4668036280152659E-2</v>
      </c>
      <c r="U48" s="3">
        <v>4.0594488698087419E-2</v>
      </c>
      <c r="V48" s="3">
        <v>4.6858979945907139E-2</v>
      </c>
      <c r="W48" s="3">
        <v>4.184196346279144E-2</v>
      </c>
      <c r="X48" s="3">
        <v>5.0025110373458442E-2</v>
      </c>
      <c r="Y48" s="3">
        <v>4.4349523078769729E-2</v>
      </c>
      <c r="Z48" s="3">
        <v>5.3543861718213043E-2</v>
      </c>
      <c r="AA48" s="3">
        <v>5.4733705693309473E-2</v>
      </c>
      <c r="AB48" s="3">
        <v>5.9989763352759906E-2</v>
      </c>
      <c r="AC48" s="3">
        <v>6.3327036642431694E-2</v>
      </c>
      <c r="AD48" s="3">
        <v>6.5690749612420912E-2</v>
      </c>
      <c r="AE48" s="3">
        <v>7.3419860058073882E-2</v>
      </c>
      <c r="AF48" s="3">
        <v>7.6365926051764177E-2</v>
      </c>
      <c r="AG48" s="3">
        <v>7.5587901413566957E-2</v>
      </c>
      <c r="AH48" s="3">
        <v>8.8992861093754622E-2</v>
      </c>
      <c r="AI48" s="3">
        <v>7.8738964897950098E-2</v>
      </c>
      <c r="AJ48" s="3">
        <v>0.10992708483544281</v>
      </c>
      <c r="AK48" s="3">
        <v>0.14369048553650632</v>
      </c>
      <c r="AL48" s="3">
        <v>0.11108402769059558</v>
      </c>
    </row>
    <row r="49" spans="1:38" x14ac:dyDescent="0.35">
      <c r="A49" s="7">
        <v>43101</v>
      </c>
      <c r="B49" s="7">
        <v>43190</v>
      </c>
      <c r="C49" t="s">
        <v>126</v>
      </c>
      <c r="D49" t="s">
        <v>125</v>
      </c>
      <c r="E49" s="4">
        <v>3</v>
      </c>
      <c r="F49" s="3">
        <v>2.9809313229369593E-2</v>
      </c>
      <c r="G49" s="3">
        <v>2.9205970811349711E-2</v>
      </c>
      <c r="H49" s="3">
        <v>3.2799404111945873E-2</v>
      </c>
      <c r="I49" s="3">
        <v>3.0780618839001902E-2</v>
      </c>
      <c r="J49" s="3">
        <v>3.3927313185709303E-2</v>
      </c>
      <c r="K49" s="3">
        <v>3.4058551719849631E-2</v>
      </c>
      <c r="L49" s="3">
        <v>3.5707387777530492E-2</v>
      </c>
      <c r="M49" s="3">
        <v>3.5118831932959116E-2</v>
      </c>
      <c r="N49" s="3">
        <v>3.9197139208795251E-2</v>
      </c>
      <c r="O49" s="3">
        <v>3.547917077439474E-2</v>
      </c>
      <c r="P49" s="3">
        <v>4.1981297683726243E-2</v>
      </c>
      <c r="Q49" s="3">
        <v>3.6781588451177516E-2</v>
      </c>
      <c r="R49" s="3">
        <v>4.41922687927385E-2</v>
      </c>
      <c r="S49" s="3">
        <v>3.8930679296247286E-2</v>
      </c>
      <c r="T49" s="3">
        <v>4.5601194914300654E-2</v>
      </c>
      <c r="U49" s="3">
        <v>4.1497633796527711E-2</v>
      </c>
      <c r="V49" s="3">
        <v>4.7767134065234196E-2</v>
      </c>
      <c r="W49" s="3">
        <v>4.2762297852789871E-2</v>
      </c>
      <c r="X49" s="3">
        <v>5.0956300324280598E-2</v>
      </c>
      <c r="Y49" s="3">
        <v>4.529224629278198E-2</v>
      </c>
      <c r="Z49" s="3">
        <v>5.4504517540770236E-2</v>
      </c>
      <c r="AA49" s="3">
        <v>5.573032040789113E-2</v>
      </c>
      <c r="AB49" s="3">
        <v>6.0903407085099337E-2</v>
      </c>
      <c r="AC49" s="3">
        <v>6.4289714971796502E-2</v>
      </c>
      <c r="AD49" s="3">
        <v>6.6671491768077573E-2</v>
      </c>
      <c r="AE49" s="3">
        <v>7.4325299562678429E-2</v>
      </c>
      <c r="AF49" s="3">
        <v>7.7270462377958912E-2</v>
      </c>
      <c r="AG49" s="3">
        <v>7.6507018551669831E-2</v>
      </c>
      <c r="AH49" s="3">
        <v>8.9920201824883389E-2</v>
      </c>
      <c r="AI49" s="3">
        <v>7.9656346334527173E-2</v>
      </c>
      <c r="AJ49" s="3">
        <v>0.11083415501933933</v>
      </c>
      <c r="AK49" s="3">
        <v>0.14463667660339871</v>
      </c>
      <c r="AL49" s="3">
        <v>0.11198752626621516</v>
      </c>
    </row>
    <row r="50" spans="1:38" x14ac:dyDescent="0.35">
      <c r="A50" s="7">
        <v>43101</v>
      </c>
      <c r="B50" s="7">
        <v>43190</v>
      </c>
      <c r="C50" t="s">
        <v>126</v>
      </c>
      <c r="D50" t="s">
        <v>125</v>
      </c>
      <c r="E50" s="4" t="s">
        <v>67</v>
      </c>
      <c r="F50" s="3">
        <v>3.0758338673687734E-2</v>
      </c>
      <c r="G50" s="3">
        <v>3.0114066860379218E-2</v>
      </c>
      <c r="H50" s="3">
        <v>3.3734961535117333E-2</v>
      </c>
      <c r="I50" s="3">
        <v>3.1716483633118978E-2</v>
      </c>
      <c r="J50" s="3">
        <v>3.4846367426793312E-2</v>
      </c>
      <c r="K50" s="3">
        <v>3.5010486371479271E-2</v>
      </c>
      <c r="L50" s="3">
        <v>3.6665024302281878E-2</v>
      </c>
      <c r="M50" s="3">
        <v>3.6085829953676568E-2</v>
      </c>
      <c r="N50" s="3">
        <v>4.0100322924584063E-2</v>
      </c>
      <c r="O50" s="3">
        <v>3.6446438544002563E-2</v>
      </c>
      <c r="P50" s="3">
        <v>4.2887358319701072E-2</v>
      </c>
      <c r="Q50" s="3">
        <v>3.7705992518516543E-2</v>
      </c>
      <c r="R50" s="3">
        <v>4.5104972754014865E-2</v>
      </c>
      <c r="S50" s="3">
        <v>3.9890796136354191E-2</v>
      </c>
      <c r="T50" s="3">
        <v>4.6517306360080141E-2</v>
      </c>
      <c r="U50" s="3">
        <v>4.2481023873773616E-2</v>
      </c>
      <c r="V50" s="3">
        <v>4.8733842563750844E-2</v>
      </c>
      <c r="W50" s="3">
        <v>4.3669938527937061E-2</v>
      </c>
      <c r="X50" s="3">
        <v>5.1875780282546469E-2</v>
      </c>
      <c r="Y50" s="3">
        <v>4.6260285664062858E-2</v>
      </c>
      <c r="Z50" s="3">
        <v>5.5447037965201673E-2</v>
      </c>
      <c r="AA50" s="3">
        <v>5.6681929848966049E-2</v>
      </c>
      <c r="AB50" s="3">
        <v>6.1820791014653327E-2</v>
      </c>
      <c r="AC50" s="3">
        <v>6.5225848263291697E-2</v>
      </c>
      <c r="AD50" s="3">
        <v>6.7575165230735007E-2</v>
      </c>
      <c r="AE50" s="3">
        <v>7.5305686528439109E-2</v>
      </c>
      <c r="AF50" s="3">
        <v>7.8233725413743876E-2</v>
      </c>
      <c r="AG50" s="3">
        <v>7.7482815954358519E-2</v>
      </c>
      <c r="AH50" s="3">
        <v>9.0849924185783415E-2</v>
      </c>
      <c r="AI50" s="3">
        <v>8.0643603818231324E-2</v>
      </c>
      <c r="AJ50" s="3">
        <v>0.11179284637867448</v>
      </c>
      <c r="AK50" s="3">
        <v>0.14563408093916622</v>
      </c>
      <c r="AL50" s="3">
        <v>0.11295296391268561</v>
      </c>
    </row>
    <row r="51" spans="1:38" x14ac:dyDescent="0.35">
      <c r="A51" s="7">
        <v>43101</v>
      </c>
      <c r="B51" s="7">
        <v>43190</v>
      </c>
      <c r="C51" t="s">
        <v>126</v>
      </c>
      <c r="D51" t="s">
        <v>125</v>
      </c>
      <c r="E51" s="4" t="s">
        <v>68</v>
      </c>
      <c r="F51" s="3">
        <v>3.1739197622021778E-2</v>
      </c>
      <c r="G51" s="3">
        <v>3.1040112383998873E-2</v>
      </c>
      <c r="H51" s="3">
        <v>3.464224126117621E-2</v>
      </c>
      <c r="I51" s="3">
        <v>3.2708017045777728E-2</v>
      </c>
      <c r="J51" s="3">
        <v>3.5757571708418506E-2</v>
      </c>
      <c r="K51" s="3">
        <v>3.5966037413180704E-2</v>
      </c>
      <c r="L51" s="3">
        <v>3.7653307044733311E-2</v>
      </c>
      <c r="M51" s="3">
        <v>3.7027658446906205E-2</v>
      </c>
      <c r="N51" s="3">
        <v>4.1007721087298887E-2</v>
      </c>
      <c r="O51" s="3">
        <v>3.7405401536441368E-2</v>
      </c>
      <c r="P51" s="3">
        <v>4.3876462331655486E-2</v>
      </c>
      <c r="Q51" s="3">
        <v>3.8671343263786906E-2</v>
      </c>
      <c r="R51" s="3">
        <v>4.6034383018163427E-2</v>
      </c>
      <c r="S51" s="3">
        <v>4.0820873196983937E-2</v>
      </c>
      <c r="T51" s="3">
        <v>4.7433727451292762E-2</v>
      </c>
      <c r="U51" s="3">
        <v>4.3477800013649863E-2</v>
      </c>
      <c r="V51" s="3">
        <v>4.9709102113335693E-2</v>
      </c>
      <c r="W51" s="3">
        <v>4.4657989214654484E-2</v>
      </c>
      <c r="X51" s="3">
        <v>5.280126794578896E-2</v>
      </c>
      <c r="Y51" s="3">
        <v>4.7207699194427799E-2</v>
      </c>
      <c r="Z51" s="3">
        <v>5.6390312450374541E-2</v>
      </c>
      <c r="AA51" s="3">
        <v>5.765309053550835E-2</v>
      </c>
      <c r="AB51" s="3">
        <v>6.2781201174315113E-2</v>
      </c>
      <c r="AC51" s="3">
        <v>6.6188469893734447E-2</v>
      </c>
      <c r="AD51" s="3">
        <v>6.8480376542508603E-2</v>
      </c>
      <c r="AE51" s="3">
        <v>7.6223518133722273E-2</v>
      </c>
      <c r="AF51" s="3">
        <v>7.9186289388047004E-2</v>
      </c>
      <c r="AG51" s="3">
        <v>7.8406298040132633E-2</v>
      </c>
      <c r="AH51" s="3">
        <v>9.1754335980998136E-2</v>
      </c>
      <c r="AI51" s="3">
        <v>8.1604606311731984E-2</v>
      </c>
      <c r="AJ51" s="3">
        <v>0.11277346034366117</v>
      </c>
      <c r="AK51" s="3">
        <v>0.146582909636502</v>
      </c>
      <c r="AL51" s="3">
        <v>0.11390085140852593</v>
      </c>
    </row>
    <row r="52" spans="1:38" x14ac:dyDescent="0.35">
      <c r="A52" s="7">
        <v>43101</v>
      </c>
      <c r="B52" s="7">
        <v>43190</v>
      </c>
      <c r="C52" t="s">
        <v>126</v>
      </c>
      <c r="D52" t="s">
        <v>125</v>
      </c>
      <c r="E52" s="4">
        <v>4</v>
      </c>
      <c r="F52" s="3">
        <v>3.268711185276512E-2</v>
      </c>
      <c r="G52" s="3">
        <v>3.1955135834473625E-2</v>
      </c>
      <c r="H52" s="3">
        <v>3.5574657158047515E-2</v>
      </c>
      <c r="I52" s="3">
        <v>3.364948859593711E-2</v>
      </c>
      <c r="J52" s="3">
        <v>3.6728649950114239E-2</v>
      </c>
      <c r="K52" s="3">
        <v>3.6933984380575963E-2</v>
      </c>
      <c r="L52" s="3">
        <v>3.8600776368188247E-2</v>
      </c>
      <c r="M52" s="3">
        <v>3.7930131542778522E-2</v>
      </c>
      <c r="N52" s="3">
        <v>4.1946966069131612E-2</v>
      </c>
      <c r="O52" s="3">
        <v>3.8338873967426634E-2</v>
      </c>
      <c r="P52" s="3">
        <v>4.4856967046642347E-2</v>
      </c>
      <c r="Q52" s="3">
        <v>3.9664872848888505E-2</v>
      </c>
      <c r="R52" s="3">
        <v>4.6977525764767103E-2</v>
      </c>
      <c r="S52" s="3">
        <v>4.1791025093767295E-2</v>
      </c>
      <c r="T52" s="3">
        <v>4.8378022305578264E-2</v>
      </c>
      <c r="U52" s="3">
        <v>4.4468649631014295E-2</v>
      </c>
      <c r="V52" s="3">
        <v>5.0666048141618875E-2</v>
      </c>
      <c r="W52" s="3">
        <v>4.5580033371126337E-2</v>
      </c>
      <c r="X52" s="3">
        <v>5.3741895793428758E-2</v>
      </c>
      <c r="Y52" s="3">
        <v>4.8140618258473628E-2</v>
      </c>
      <c r="Z52" s="3">
        <v>5.7390188726632124E-2</v>
      </c>
      <c r="AA52" s="3">
        <v>5.8575139555686148E-2</v>
      </c>
      <c r="AB52" s="3">
        <v>6.3705172164359752E-2</v>
      </c>
      <c r="AC52" s="3">
        <v>6.7171971954915602E-2</v>
      </c>
      <c r="AD52" s="3">
        <v>6.9385210637260109E-2</v>
      </c>
      <c r="AE52" s="3">
        <v>7.7193441864314982E-2</v>
      </c>
      <c r="AF52" s="3">
        <v>8.0117816364555242E-2</v>
      </c>
      <c r="AG52" s="3">
        <v>7.9348939251239009E-2</v>
      </c>
      <c r="AH52" s="3">
        <v>9.2749052053499315E-2</v>
      </c>
      <c r="AI52" s="3">
        <v>8.2571938732369371E-2</v>
      </c>
      <c r="AJ52" s="3">
        <v>0.11371542279930774</v>
      </c>
      <c r="AK52" s="3">
        <v>0.14756655400287086</v>
      </c>
      <c r="AL52" s="3">
        <v>0.11481786190012677</v>
      </c>
    </row>
    <row r="53" spans="1:38" x14ac:dyDescent="0.35">
      <c r="A53" s="7">
        <v>43101</v>
      </c>
      <c r="B53" s="7">
        <v>43190</v>
      </c>
      <c r="C53" t="s">
        <v>126</v>
      </c>
      <c r="D53" t="s">
        <v>125</v>
      </c>
      <c r="E53" s="4" t="s">
        <v>69</v>
      </c>
      <c r="F53" s="3">
        <v>3.3663340664242071E-2</v>
      </c>
      <c r="G53" s="3">
        <v>3.2856784187710132E-2</v>
      </c>
      <c r="H53" s="3">
        <v>3.6516670482588144E-2</v>
      </c>
      <c r="I53" s="3">
        <v>3.4613877354440145E-2</v>
      </c>
      <c r="J53" s="3">
        <v>3.7665005216227523E-2</v>
      </c>
      <c r="K53" s="3">
        <v>3.7896986844783431E-2</v>
      </c>
      <c r="L53" s="3">
        <v>3.9517567647322296E-2</v>
      </c>
      <c r="M53" s="3">
        <v>3.8913898212994444E-2</v>
      </c>
      <c r="N53" s="3">
        <v>4.2902640946801171E-2</v>
      </c>
      <c r="O53" s="3">
        <v>3.9285534809126985E-2</v>
      </c>
      <c r="P53" s="3">
        <v>4.5782291759152265E-2</v>
      </c>
      <c r="Q53" s="3">
        <v>4.0628695589264144E-2</v>
      </c>
      <c r="R53" s="3">
        <v>4.7914459651524841E-2</v>
      </c>
      <c r="S53" s="3">
        <v>4.2763060110870457E-2</v>
      </c>
      <c r="T53" s="3">
        <v>4.9316843693128623E-2</v>
      </c>
      <c r="U53" s="3">
        <v>4.5445309033417466E-2</v>
      </c>
      <c r="V53" s="3">
        <v>5.1583538133656126E-2</v>
      </c>
      <c r="W53" s="3">
        <v>4.6500495259273383E-2</v>
      </c>
      <c r="X53" s="3">
        <v>5.4730557773519359E-2</v>
      </c>
      <c r="Y53" s="3">
        <v>4.9049873203161495E-2</v>
      </c>
      <c r="Z53" s="3">
        <v>5.8380516132835014E-2</v>
      </c>
      <c r="AA53" s="3">
        <v>5.9536616039588888E-2</v>
      </c>
      <c r="AB53" s="3">
        <v>6.4674492333929995E-2</v>
      </c>
      <c r="AC53" s="3">
        <v>6.8144902683848124E-2</v>
      </c>
      <c r="AD53" s="3">
        <v>7.0289604606180167E-2</v>
      </c>
      <c r="AE53" s="3">
        <v>7.8180960165628241E-2</v>
      </c>
      <c r="AF53" s="3">
        <v>8.1053919066883001E-2</v>
      </c>
      <c r="AG53" s="3">
        <v>8.0257482062810914E-2</v>
      </c>
      <c r="AH53" s="3">
        <v>9.3699819231343878E-2</v>
      </c>
      <c r="AI53" s="3">
        <v>8.3562776545488701E-2</v>
      </c>
      <c r="AJ53" s="3">
        <v>0.11470780016976628</v>
      </c>
      <c r="AK53" s="3">
        <v>0.14851313615786119</v>
      </c>
      <c r="AL53" s="3">
        <v>0.11573276764506546</v>
      </c>
    </row>
    <row r="54" spans="1:38" x14ac:dyDescent="0.35">
      <c r="A54" s="7">
        <v>43101</v>
      </c>
      <c r="B54" s="7">
        <v>43190</v>
      </c>
      <c r="C54" t="s">
        <v>126</v>
      </c>
      <c r="D54" t="s">
        <v>125</v>
      </c>
      <c r="E54" s="4" t="s">
        <v>70</v>
      </c>
      <c r="F54" s="3">
        <v>3.4615006950827518E-2</v>
      </c>
      <c r="G54" s="3">
        <v>3.3762917695688954E-2</v>
      </c>
      <c r="H54" s="3">
        <v>3.7502258168549955E-2</v>
      </c>
      <c r="I54" s="3">
        <v>3.5532143139689068E-2</v>
      </c>
      <c r="J54" s="3">
        <v>3.861025300053797E-2</v>
      </c>
      <c r="K54" s="3">
        <v>3.8871243633954569E-2</v>
      </c>
      <c r="L54" s="3">
        <v>4.0506458227018358E-2</v>
      </c>
      <c r="M54" s="3">
        <v>3.9822139340595884E-2</v>
      </c>
      <c r="N54" s="3">
        <v>4.3879240678301117E-2</v>
      </c>
      <c r="O54" s="3">
        <v>4.0241603607676743E-2</v>
      </c>
      <c r="P54" s="3">
        <v>4.6699213581187005E-2</v>
      </c>
      <c r="Q54" s="3">
        <v>4.1624472251490893E-2</v>
      </c>
      <c r="R54" s="3">
        <v>4.8870656963362825E-2</v>
      </c>
      <c r="S54" s="3">
        <v>4.3729596604833866E-2</v>
      </c>
      <c r="T54" s="3">
        <v>5.0228818340475295E-2</v>
      </c>
      <c r="U54" s="3">
        <v>4.6352468210182241E-2</v>
      </c>
      <c r="V54" s="3">
        <v>5.2513458477405225E-2</v>
      </c>
      <c r="W54" s="3">
        <v>4.749646393134789E-2</v>
      </c>
      <c r="X54" s="3">
        <v>5.571025966002905E-2</v>
      </c>
      <c r="Y54" s="3">
        <v>5.0007331566039356E-2</v>
      </c>
      <c r="Z54" s="3">
        <v>5.9298731543727931E-2</v>
      </c>
      <c r="AA54" s="3">
        <v>6.0467788080590161E-2</v>
      </c>
      <c r="AB54" s="3">
        <v>6.5609447758682521E-2</v>
      </c>
      <c r="AC54" s="3">
        <v>6.9068521925419873E-2</v>
      </c>
      <c r="AD54" s="3">
        <v>7.1195598965229256E-2</v>
      </c>
      <c r="AE54" s="3">
        <v>7.9159910045503074E-2</v>
      </c>
      <c r="AF54" s="3">
        <v>8.2012610411531933E-2</v>
      </c>
      <c r="AG54" s="3">
        <v>8.1181077966933218E-2</v>
      </c>
      <c r="AH54" s="3">
        <v>9.4688238977401223E-2</v>
      </c>
      <c r="AI54" s="3">
        <v>8.4478159208486031E-2</v>
      </c>
      <c r="AJ54" s="3">
        <v>0.11561490997768822</v>
      </c>
      <c r="AK54" s="3">
        <v>0.14943690456744629</v>
      </c>
      <c r="AL54" s="3">
        <v>0.11671679418624389</v>
      </c>
    </row>
    <row r="55" spans="1:38" x14ac:dyDescent="0.35">
      <c r="A55" s="7">
        <v>43101</v>
      </c>
      <c r="B55" s="7">
        <v>43190</v>
      </c>
      <c r="C55" t="s">
        <v>126</v>
      </c>
      <c r="D55" t="s">
        <v>125</v>
      </c>
      <c r="E55" s="4">
        <v>5</v>
      </c>
      <c r="F55" s="3">
        <v>3.5537034616341945E-2</v>
      </c>
      <c r="G55" s="3">
        <v>3.47018714939656E-2</v>
      </c>
      <c r="H55" s="3">
        <v>3.8445141600718852E-2</v>
      </c>
      <c r="I55" s="3">
        <v>3.6501354570931677E-2</v>
      </c>
      <c r="J55" s="3">
        <v>3.9587162076532109E-2</v>
      </c>
      <c r="K55" s="3">
        <v>3.9857435763598306E-2</v>
      </c>
      <c r="L55" s="3">
        <v>4.143041103271039E-2</v>
      </c>
      <c r="M55" s="3">
        <v>4.0758382469180052E-2</v>
      </c>
      <c r="N55" s="3">
        <v>4.4798630295579261E-2</v>
      </c>
      <c r="O55" s="3">
        <v>4.1204003559376604E-2</v>
      </c>
      <c r="P55" s="3">
        <v>4.7607872187442724E-2</v>
      </c>
      <c r="Q55" s="3">
        <v>4.2617434133182266E-2</v>
      </c>
      <c r="R55" s="3">
        <v>4.9787960327398795E-2</v>
      </c>
      <c r="S55" s="3">
        <v>4.4703405383414302E-2</v>
      </c>
      <c r="T55" s="3">
        <v>5.1149752994239302E-2</v>
      </c>
      <c r="U55" s="3">
        <v>4.7294855162885611E-2</v>
      </c>
      <c r="V55" s="3">
        <v>5.3445158938770949E-2</v>
      </c>
      <c r="W55" s="3">
        <v>4.8435172399565143E-2</v>
      </c>
      <c r="X55" s="3">
        <v>5.6687938236702894E-2</v>
      </c>
      <c r="Y55" s="3">
        <v>5.091419119263646E-2</v>
      </c>
      <c r="Z55" s="3">
        <v>6.0274350429703735E-2</v>
      </c>
      <c r="AA55" s="3">
        <v>6.1416623636127196E-2</v>
      </c>
      <c r="AB55" s="3">
        <v>6.6529849427629184E-2</v>
      </c>
      <c r="AC55" s="3">
        <v>7.0045960511612784E-2</v>
      </c>
      <c r="AD55" s="3">
        <v>7.2128988861040549E-2</v>
      </c>
      <c r="AE55" s="3">
        <v>8.0095845061382759E-2</v>
      </c>
      <c r="AF55" s="3">
        <v>8.2952002646676112E-2</v>
      </c>
      <c r="AG55" s="3">
        <v>8.2096016217194395E-2</v>
      </c>
      <c r="AH55" s="3">
        <v>9.5637865264380839E-2</v>
      </c>
      <c r="AI55" s="3">
        <v>8.5439136470290403E-2</v>
      </c>
      <c r="AJ55" s="3">
        <v>0.11655517391392323</v>
      </c>
      <c r="AK55" s="3">
        <v>0.15037465627533181</v>
      </c>
      <c r="AL55" s="3">
        <v>0.11763023727481434</v>
      </c>
    </row>
    <row r="56" spans="1:38" x14ac:dyDescent="0.35">
      <c r="A56" s="7">
        <v>43101</v>
      </c>
      <c r="B56" s="7">
        <v>43190</v>
      </c>
      <c r="C56" t="s">
        <v>126</v>
      </c>
      <c r="D56" t="s">
        <v>125</v>
      </c>
      <c r="E56" s="4" t="s">
        <v>71</v>
      </c>
      <c r="F56" s="3">
        <v>3.6452247532993511E-2</v>
      </c>
      <c r="G56" s="3">
        <v>3.565442674980715E-2</v>
      </c>
      <c r="H56" s="3">
        <v>3.9363432166752955E-2</v>
      </c>
      <c r="I56" s="3">
        <v>3.7483817499054613E-2</v>
      </c>
      <c r="J56" s="3">
        <v>4.0515522119146913E-2</v>
      </c>
      <c r="K56" s="3">
        <v>4.0823752741559957E-2</v>
      </c>
      <c r="L56" s="3">
        <v>4.2378703526991808E-2</v>
      </c>
      <c r="M56" s="3">
        <v>4.1729505019661453E-2</v>
      </c>
      <c r="N56" s="3">
        <v>4.5743765763705466E-2</v>
      </c>
      <c r="O56" s="3">
        <v>4.2147549646481916E-2</v>
      </c>
      <c r="P56" s="3">
        <v>4.8550369849464023E-2</v>
      </c>
      <c r="Q56" s="3">
        <v>4.3553807159928723E-2</v>
      </c>
      <c r="R56" s="3">
        <v>5.0760856877947638E-2</v>
      </c>
      <c r="S56" s="3">
        <v>4.5632661459234697E-2</v>
      </c>
      <c r="T56" s="3">
        <v>5.214608545157446E-2</v>
      </c>
      <c r="U56" s="3">
        <v>4.8256183992917527E-2</v>
      </c>
      <c r="V56" s="3">
        <v>5.4377722287246612E-2</v>
      </c>
      <c r="W56" s="3">
        <v>4.9363475537645862E-2</v>
      </c>
      <c r="X56" s="3">
        <v>5.7639852635564363E-2</v>
      </c>
      <c r="Y56" s="3">
        <v>5.1890286602368899E-2</v>
      </c>
      <c r="Z56" s="3">
        <v>6.1238787352116499E-2</v>
      </c>
      <c r="AA56" s="3">
        <v>6.2342734437073867E-2</v>
      </c>
      <c r="AB56" s="3">
        <v>6.7497644430090958E-2</v>
      </c>
      <c r="AC56" s="3">
        <v>7.0991828499182508E-2</v>
      </c>
      <c r="AD56" s="3">
        <v>7.3106986994260964E-2</v>
      </c>
      <c r="AE56" s="3">
        <v>8.0996109513219117E-2</v>
      </c>
      <c r="AF56" s="3">
        <v>8.394434711940485E-2</v>
      </c>
      <c r="AG56" s="3">
        <v>8.3024576265395139E-2</v>
      </c>
      <c r="AH56" s="3">
        <v>9.6586131170948858E-2</v>
      </c>
      <c r="AI56" s="3">
        <v>8.6356007964590059E-2</v>
      </c>
      <c r="AJ56" s="3">
        <v>0.11749176413878909</v>
      </c>
      <c r="AK56" s="3">
        <v>0.15133627909692013</v>
      </c>
      <c r="AL56" s="3">
        <v>0.11862032111917292</v>
      </c>
    </row>
    <row r="57" spans="1:38" x14ac:dyDescent="0.35">
      <c r="A57" s="7">
        <v>43101</v>
      </c>
      <c r="B57" s="7">
        <v>43190</v>
      </c>
      <c r="C57" t="s">
        <v>126</v>
      </c>
      <c r="D57" t="s">
        <v>125</v>
      </c>
      <c r="E57" s="4" t="s">
        <v>72</v>
      </c>
      <c r="F57" s="3">
        <v>3.745004467152295E-2</v>
      </c>
      <c r="G57" s="3">
        <v>3.6597382233771229E-2</v>
      </c>
      <c r="H57" s="3">
        <v>4.0342643582357916E-2</v>
      </c>
      <c r="I57" s="3">
        <v>3.8385083984993948E-2</v>
      </c>
      <c r="J57" s="3">
        <v>4.1439457241266825E-2</v>
      </c>
      <c r="K57" s="3">
        <v>4.1751167672111456E-2</v>
      </c>
      <c r="L57" s="3">
        <v>4.330233406602603E-2</v>
      </c>
      <c r="M57" s="3">
        <v>4.265232841206501E-2</v>
      </c>
      <c r="N57" s="3">
        <v>4.6725725299334886E-2</v>
      </c>
      <c r="O57" s="3">
        <v>4.3140423901663061E-2</v>
      </c>
      <c r="P57" s="3">
        <v>4.9457192690454406E-2</v>
      </c>
      <c r="Q57" s="3">
        <v>4.4480456218301684E-2</v>
      </c>
      <c r="R57" s="3">
        <v>5.1759113026973641E-2</v>
      </c>
      <c r="S57" s="3">
        <v>4.6599621500819394E-2</v>
      </c>
      <c r="T57" s="3">
        <v>5.307939710107179E-2</v>
      </c>
      <c r="U57" s="3">
        <v>4.9217342664606346E-2</v>
      </c>
      <c r="V57" s="3">
        <v>5.5302257703269832E-2</v>
      </c>
      <c r="W57" s="3">
        <v>5.0357885367248681E-2</v>
      </c>
      <c r="X57" s="3">
        <v>5.8636155423697961E-2</v>
      </c>
      <c r="Y57" s="3">
        <v>5.2804233856917432E-2</v>
      </c>
      <c r="Z57" s="3">
        <v>6.2147907091145455E-2</v>
      </c>
      <c r="AA57" s="3">
        <v>6.3309724026127168E-2</v>
      </c>
      <c r="AB57" s="3">
        <v>6.8488798515799476E-2</v>
      </c>
      <c r="AC57" s="3">
        <v>7.1929846198278441E-2</v>
      </c>
      <c r="AD57" s="3">
        <v>7.408860820571106E-2</v>
      </c>
      <c r="AE57" s="3">
        <v>8.1913454609532255E-2</v>
      </c>
      <c r="AF57" s="3">
        <v>8.4888516304205158E-2</v>
      </c>
      <c r="AG57" s="3">
        <v>8.3967069472016528E-2</v>
      </c>
      <c r="AH57" s="3">
        <v>9.7548762409441131E-2</v>
      </c>
      <c r="AI57" s="3">
        <v>8.7265720475586089E-2</v>
      </c>
      <c r="AJ57" s="3">
        <v>0.11842309530034587</v>
      </c>
      <c r="AK57" s="3">
        <v>0.15224715508668146</v>
      </c>
      <c r="AL57" s="3">
        <v>0.11959960676243339</v>
      </c>
    </row>
    <row r="58" spans="1:38" x14ac:dyDescent="0.35">
      <c r="A58" s="7">
        <v>43101</v>
      </c>
      <c r="B58" s="7">
        <v>43190</v>
      </c>
      <c r="C58" t="s">
        <v>126</v>
      </c>
      <c r="D58" t="s">
        <v>125</v>
      </c>
      <c r="E58" s="4">
        <v>6</v>
      </c>
      <c r="F58" s="3">
        <v>3.8354710843880237E-2</v>
      </c>
      <c r="G58" s="3">
        <v>3.7514300466315889E-2</v>
      </c>
      <c r="H58" s="3">
        <v>4.1340015876603173E-2</v>
      </c>
      <c r="I58" s="3">
        <v>3.9287553075633287E-2</v>
      </c>
      <c r="J58" s="3">
        <v>4.2343677994122683E-2</v>
      </c>
      <c r="K58" s="3">
        <v>4.2711866595613344E-2</v>
      </c>
      <c r="L58" s="3">
        <v>4.4205108654712541E-2</v>
      </c>
      <c r="M58" s="3">
        <v>4.3600622392565028E-2</v>
      </c>
      <c r="N58" s="3">
        <v>4.7686311833625705E-2</v>
      </c>
      <c r="O58" s="3">
        <v>4.4132774067928759E-2</v>
      </c>
      <c r="P58" s="3">
        <v>5.035889928644699E-2</v>
      </c>
      <c r="Q58" s="3">
        <v>4.5464201327189188E-2</v>
      </c>
      <c r="R58" s="3">
        <v>5.2697114376885582E-2</v>
      </c>
      <c r="S58" s="3">
        <v>4.7529621074183445E-2</v>
      </c>
      <c r="T58" s="3">
        <v>5.4015743625293947E-2</v>
      </c>
      <c r="U58" s="3">
        <v>5.0216862234903306E-2</v>
      </c>
      <c r="V58" s="3">
        <v>5.630073576320746E-2</v>
      </c>
      <c r="W58" s="3">
        <v>5.1262787163677034E-2</v>
      </c>
      <c r="X58" s="3">
        <v>5.961369834049085E-2</v>
      </c>
      <c r="Y58" s="3">
        <v>5.3734757929811611E-2</v>
      </c>
      <c r="Z58" s="3">
        <v>6.3087418767790726E-2</v>
      </c>
      <c r="AA58" s="3">
        <v>6.4306843346533055E-2</v>
      </c>
      <c r="AB58" s="3">
        <v>6.9420502837275466E-2</v>
      </c>
      <c r="AC58" s="3">
        <v>7.2884595950778494E-2</v>
      </c>
      <c r="AD58" s="3">
        <v>7.5050407256270185E-2</v>
      </c>
      <c r="AE58" s="3">
        <v>8.2893066680813282E-2</v>
      </c>
      <c r="AF58" s="3">
        <v>8.5864382115662552E-2</v>
      </c>
      <c r="AG58" s="3">
        <v>8.4938529481590475E-2</v>
      </c>
      <c r="AH58" s="3">
        <v>9.8491883015531884E-2</v>
      </c>
      <c r="AI58" s="3">
        <v>8.823462364867285E-2</v>
      </c>
      <c r="AJ58" s="3">
        <v>0.11935782494668729</v>
      </c>
      <c r="AK58" s="3">
        <v>0.1531501469799699</v>
      </c>
      <c r="AL58" s="3">
        <v>0.12055080099179458</v>
      </c>
    </row>
    <row r="59" spans="1:38" x14ac:dyDescent="0.35">
      <c r="A59" s="7">
        <v>43101</v>
      </c>
      <c r="B59" s="7">
        <v>43190</v>
      </c>
      <c r="C59" t="s">
        <v>126</v>
      </c>
      <c r="D59" t="s">
        <v>125</v>
      </c>
      <c r="E59" s="4" t="s">
        <v>73</v>
      </c>
      <c r="F59" s="3">
        <v>3.9312982379720071E-2</v>
      </c>
      <c r="G59" s="3">
        <v>3.8470863826427656E-2</v>
      </c>
      <c r="H59" s="3">
        <v>4.2272189463267364E-2</v>
      </c>
      <c r="I59" s="3">
        <v>4.0251364017709526E-2</v>
      </c>
      <c r="J59" s="3">
        <v>4.3343484503988228E-2</v>
      </c>
      <c r="K59" s="3">
        <v>4.3691342019618509E-2</v>
      </c>
      <c r="L59" s="3">
        <v>4.5162612339023009E-2</v>
      </c>
      <c r="M59" s="3">
        <v>4.4555545551511262E-2</v>
      </c>
      <c r="N59" s="3">
        <v>4.8618632179344742E-2</v>
      </c>
      <c r="O59" s="3">
        <v>4.5106025837637675E-2</v>
      </c>
      <c r="P59" s="3">
        <v>5.1346096550348663E-2</v>
      </c>
      <c r="Q59" s="3">
        <v>4.6377473187230706E-2</v>
      </c>
      <c r="R59" s="3">
        <v>5.3660540987732847E-2</v>
      </c>
      <c r="S59" s="3">
        <v>4.8450464703823914E-2</v>
      </c>
      <c r="T59" s="3">
        <v>5.4969993380739844E-2</v>
      </c>
      <c r="U59" s="3">
        <v>5.1159888659726593E-2</v>
      </c>
      <c r="V59" s="3">
        <v>5.7258205706464359E-2</v>
      </c>
      <c r="W59" s="3">
        <v>5.224586488733661E-2</v>
      </c>
      <c r="X59" s="3">
        <v>6.0565189098086059E-2</v>
      </c>
      <c r="Y59" s="3">
        <v>5.4693615381737823E-2</v>
      </c>
      <c r="Z59" s="3">
        <v>6.4085669834437115E-2</v>
      </c>
      <c r="AA59" s="3">
        <v>6.5226053950022678E-2</v>
      </c>
      <c r="AB59" s="3">
        <v>7.0387327504087466E-2</v>
      </c>
      <c r="AC59" s="3">
        <v>7.3850499388342872E-2</v>
      </c>
      <c r="AD59" s="3">
        <v>7.5995541721114057E-2</v>
      </c>
      <c r="AE59" s="3">
        <v>8.3813620383519555E-2</v>
      </c>
      <c r="AF59" s="3">
        <v>8.6833211364047286E-2</v>
      </c>
      <c r="AG59" s="3">
        <v>8.5856344163987464E-2</v>
      </c>
      <c r="AH59" s="3">
        <v>9.9407203055284776E-2</v>
      </c>
      <c r="AI59" s="3">
        <v>8.9160503509014361E-2</v>
      </c>
      <c r="AJ59" s="3">
        <v>0.12030359887892328</v>
      </c>
      <c r="AK59" s="3">
        <v>0.15411849031913039</v>
      </c>
      <c r="AL59" s="3">
        <v>0.12146881254756178</v>
      </c>
    </row>
    <row r="60" spans="1:38" x14ac:dyDescent="0.35">
      <c r="A60" s="7">
        <v>43101</v>
      </c>
      <c r="B60" s="7">
        <v>43190</v>
      </c>
      <c r="C60" t="s">
        <v>126</v>
      </c>
      <c r="D60" t="s">
        <v>125</v>
      </c>
      <c r="E60" s="4" t="s">
        <v>74</v>
      </c>
      <c r="F60" s="3">
        <v>4.0290655936053604E-2</v>
      </c>
      <c r="G60" s="3">
        <v>3.9415482453008577E-2</v>
      </c>
      <c r="H60" s="3">
        <v>4.3192327521774251E-2</v>
      </c>
      <c r="I60" s="3">
        <v>4.1167024517393375E-2</v>
      </c>
      <c r="J60" s="3">
        <v>4.4298200600403265E-2</v>
      </c>
      <c r="K60" s="3">
        <v>4.4669033421348502E-2</v>
      </c>
      <c r="L60" s="3">
        <v>4.6106092157626927E-2</v>
      </c>
      <c r="M60" s="3">
        <v>4.5545130551937471E-2</v>
      </c>
      <c r="N60" s="3">
        <v>4.9578105083387995E-2</v>
      </c>
      <c r="O60" s="3">
        <v>4.6041206075774277E-2</v>
      </c>
      <c r="P60" s="3">
        <v>5.2272222742774849E-2</v>
      </c>
      <c r="Q60" s="3">
        <v>4.7288973979576765E-2</v>
      </c>
      <c r="R60" s="3">
        <v>5.460971396283118E-2</v>
      </c>
      <c r="S60" s="3">
        <v>4.9423367860062087E-2</v>
      </c>
      <c r="T60" s="3">
        <v>5.5900284765182828E-2</v>
      </c>
      <c r="U60" s="3">
        <v>5.2116043510631933E-2</v>
      </c>
      <c r="V60" s="3">
        <v>5.8186005067337315E-2</v>
      </c>
      <c r="W60" s="3">
        <v>5.3200134180994542E-2</v>
      </c>
      <c r="X60" s="3">
        <v>6.1472847689605307E-2</v>
      </c>
      <c r="Y60" s="3">
        <v>5.5598365149331155E-2</v>
      </c>
      <c r="Z60" s="3">
        <v>6.5011640450528096E-2</v>
      </c>
      <c r="AA60" s="3">
        <v>6.6220768312793526E-2</v>
      </c>
      <c r="AB60" s="3">
        <v>7.1295568211983767E-2</v>
      </c>
      <c r="AC60" s="3">
        <v>7.4817523142215125E-2</v>
      </c>
      <c r="AD60" s="3">
        <v>7.6934228027242785E-2</v>
      </c>
      <c r="AE60" s="3">
        <v>8.4742569693424419E-2</v>
      </c>
      <c r="AF60" s="3">
        <v>8.7746419203997561E-2</v>
      </c>
      <c r="AG60" s="3">
        <v>8.6804327105100026E-2</v>
      </c>
      <c r="AH60" s="3">
        <v>0.10040355033089107</v>
      </c>
      <c r="AI60" s="3">
        <v>9.0092727841256104E-2</v>
      </c>
      <c r="AJ60" s="3">
        <v>0.12122033076272837</v>
      </c>
      <c r="AK60" s="3">
        <v>0.15506721062121739</v>
      </c>
      <c r="AL60" s="3">
        <v>0.12242501005957787</v>
      </c>
    </row>
    <row r="61" spans="1:38" x14ac:dyDescent="0.35">
      <c r="A61" s="7">
        <v>43101</v>
      </c>
      <c r="B61" s="7">
        <v>43190</v>
      </c>
      <c r="C61" t="s">
        <v>126</v>
      </c>
      <c r="D61" t="s">
        <v>125</v>
      </c>
      <c r="E61" s="4">
        <v>7</v>
      </c>
      <c r="F61" s="3">
        <v>4.1278276553716284E-2</v>
      </c>
      <c r="G61" s="3">
        <v>4.0329177705657582E-2</v>
      </c>
      <c r="H61" s="3">
        <v>4.4099318153345834E-2</v>
      </c>
      <c r="I61" s="3">
        <v>4.2083811526251506E-2</v>
      </c>
      <c r="J61" s="3">
        <v>4.5213419842575459E-2</v>
      </c>
      <c r="K61" s="3">
        <v>4.558380085956102E-2</v>
      </c>
      <c r="L61" s="3">
        <v>4.7092812186156276E-2</v>
      </c>
      <c r="M61" s="3">
        <v>4.6540381363158703E-2</v>
      </c>
      <c r="N61" s="3">
        <v>5.0541323345427748E-2</v>
      </c>
      <c r="O61" s="3">
        <v>4.6991421638006951E-2</v>
      </c>
      <c r="P61" s="3">
        <v>5.3236981442763745E-2</v>
      </c>
      <c r="Q61" s="3">
        <v>4.8234541478731421E-2</v>
      </c>
      <c r="R61" s="3">
        <v>5.5559390111168401E-2</v>
      </c>
      <c r="S61" s="3">
        <v>5.0346904198118624E-2</v>
      </c>
      <c r="T61" s="3">
        <v>5.6816080504292425E-2</v>
      </c>
      <c r="U61" s="3">
        <v>5.3027736685895596E-2</v>
      </c>
      <c r="V61" s="3">
        <v>5.9124858987900854E-2</v>
      </c>
      <c r="W61" s="3">
        <v>5.4144763825180409E-2</v>
      </c>
      <c r="X61" s="3">
        <v>6.2388336794213066E-2</v>
      </c>
      <c r="Y61" s="3">
        <v>5.6591257052729681E-2</v>
      </c>
      <c r="Z61" s="3">
        <v>6.5977016347356199E-2</v>
      </c>
      <c r="AA61" s="3">
        <v>6.7209543585266665E-2</v>
      </c>
      <c r="AB61" s="3">
        <v>7.2258125568611831E-2</v>
      </c>
      <c r="AC61" s="3">
        <v>7.5742287354191973E-2</v>
      </c>
      <c r="AD61" s="3">
        <v>7.7887157903794746E-2</v>
      </c>
      <c r="AE61" s="3">
        <v>8.5662762776687496E-2</v>
      </c>
      <c r="AF61" s="3">
        <v>8.8712813964452519E-2</v>
      </c>
      <c r="AG61" s="3">
        <v>8.7782994599508807E-2</v>
      </c>
      <c r="AH61" s="3">
        <v>0.10138231580665266</v>
      </c>
      <c r="AI61" s="3">
        <v>9.1077913935211585E-2</v>
      </c>
      <c r="AJ61" s="3">
        <v>0.12220598351307099</v>
      </c>
      <c r="AK61" s="3">
        <v>0.15597013151438968</v>
      </c>
      <c r="AL61" s="3">
        <v>0.12338501633574686</v>
      </c>
    </row>
    <row r="62" spans="1:38" x14ac:dyDescent="0.35">
      <c r="A62" s="7">
        <v>43101</v>
      </c>
      <c r="B62" s="7">
        <v>43190</v>
      </c>
      <c r="C62" t="s">
        <v>126</v>
      </c>
      <c r="D62" t="s">
        <v>125</v>
      </c>
      <c r="E62" s="4" t="s">
        <v>75</v>
      </c>
      <c r="F62" s="3">
        <v>4.218248827263521E-2</v>
      </c>
      <c r="G62" s="3">
        <v>4.1301753966505143E-2</v>
      </c>
      <c r="H62" s="3">
        <v>4.502683863923293E-2</v>
      </c>
      <c r="I62" s="3">
        <v>4.306755785212503E-2</v>
      </c>
      <c r="J62" s="3">
        <v>4.6201709327723481E-2</v>
      </c>
      <c r="K62" s="3">
        <v>4.6550622839863748E-2</v>
      </c>
      <c r="L62" s="3">
        <v>4.8066014601750959E-2</v>
      </c>
      <c r="M62" s="3">
        <v>4.7515759061131507E-2</v>
      </c>
      <c r="N62" s="3">
        <v>5.1527017636710616E-2</v>
      </c>
      <c r="O62" s="3">
        <v>4.7956748998221201E-2</v>
      </c>
      <c r="P62" s="3">
        <v>5.4147315452805593E-2</v>
      </c>
      <c r="Q62" s="3">
        <v>4.9200116122030652E-2</v>
      </c>
      <c r="R62" s="3">
        <v>5.6524190394425522E-2</v>
      </c>
      <c r="S62" s="3">
        <v>5.1342902962852918E-2</v>
      </c>
      <c r="T62" s="3">
        <v>5.7756386656798407E-2</v>
      </c>
      <c r="U62" s="3">
        <v>5.4005559472231804E-2</v>
      </c>
      <c r="V62" s="3">
        <v>6.0047358524636864E-2</v>
      </c>
      <c r="W62" s="3">
        <v>5.5140598489951502E-2</v>
      </c>
      <c r="X62" s="3">
        <v>6.3328808699077421E-2</v>
      </c>
      <c r="Y62" s="3">
        <v>5.7560360891625424E-2</v>
      </c>
      <c r="Z62" s="3">
        <v>6.6974746221220002E-2</v>
      </c>
      <c r="AA62" s="3">
        <v>6.8143034001964808E-2</v>
      </c>
      <c r="AB62" s="3">
        <v>7.3196010653543364E-2</v>
      </c>
      <c r="AC62" s="3">
        <v>7.6649617469505105E-2</v>
      </c>
      <c r="AD62" s="3">
        <v>7.8819400436061254E-2</v>
      </c>
      <c r="AE62" s="3">
        <v>8.6639145127280964E-2</v>
      </c>
      <c r="AF62" s="3">
        <v>8.9675499657925511E-2</v>
      </c>
      <c r="AG62" s="3">
        <v>8.8723641932776487E-2</v>
      </c>
      <c r="AH62" s="3">
        <v>0.10231303051295471</v>
      </c>
      <c r="AI62" s="3">
        <v>9.2039773112474743E-2</v>
      </c>
      <c r="AJ62" s="3">
        <v>0.12316032095937948</v>
      </c>
      <c r="AK62" s="3">
        <v>0.15692404775594543</v>
      </c>
      <c r="AL62" s="3">
        <v>0.12432571407201984</v>
      </c>
    </row>
    <row r="63" spans="1:38" x14ac:dyDescent="0.35">
      <c r="A63" s="7">
        <v>43101</v>
      </c>
      <c r="B63" s="7">
        <v>43190</v>
      </c>
      <c r="C63" t="s">
        <v>128</v>
      </c>
      <c r="D63" t="s">
        <v>125</v>
      </c>
      <c r="E63" s="4">
        <v>1</v>
      </c>
      <c r="F63" s="3">
        <v>2.5987235415080065E-2</v>
      </c>
      <c r="G63" s="3">
        <v>2.5522336342949561E-2</v>
      </c>
      <c r="H63" s="3">
        <v>2.8904631230141239E-2</v>
      </c>
      <c r="I63" s="3">
        <v>2.7059051771753752E-2</v>
      </c>
      <c r="J63" s="3">
        <v>3.0214931408311059E-2</v>
      </c>
      <c r="K63" s="3">
        <v>3.0265446267055657E-2</v>
      </c>
      <c r="L63" s="3">
        <v>3.1982197143763186E-2</v>
      </c>
      <c r="M63" s="3">
        <v>3.137502253914716E-2</v>
      </c>
      <c r="N63" s="3">
        <v>3.5507892750587855E-2</v>
      </c>
      <c r="O63" s="3">
        <v>3.1706515013046777E-2</v>
      </c>
      <c r="P63" s="3">
        <v>3.8154611745470947E-2</v>
      </c>
      <c r="Q63" s="3">
        <v>3.3068234094442879E-2</v>
      </c>
      <c r="R63" s="3">
        <v>4.0456126253836606E-2</v>
      </c>
      <c r="S63" s="3">
        <v>3.5142726163996982E-2</v>
      </c>
      <c r="T63" s="3">
        <v>4.190767406161585E-2</v>
      </c>
      <c r="U63" s="3">
        <v>3.7823319048479055E-2</v>
      </c>
      <c r="V63" s="3">
        <v>4.4047535621602511E-2</v>
      </c>
      <c r="W63" s="3">
        <v>3.8978029939151657E-2</v>
      </c>
      <c r="X63" s="3">
        <v>4.7194112106792328E-2</v>
      </c>
      <c r="Y63" s="3">
        <v>4.154192139861277E-2</v>
      </c>
      <c r="Z63" s="3">
        <v>5.0720350031989596E-2</v>
      </c>
      <c r="AA63" s="3">
        <v>5.1938659601285304E-2</v>
      </c>
      <c r="AB63" s="3">
        <v>5.7220889135458301E-2</v>
      </c>
      <c r="AC63" s="3">
        <v>6.0598276343003583E-2</v>
      </c>
      <c r="AD63" s="3">
        <v>6.2975244868088726E-2</v>
      </c>
      <c r="AE63" s="3">
        <v>7.0630307613935212E-2</v>
      </c>
      <c r="AF63" s="3">
        <v>7.3530260528803765E-2</v>
      </c>
      <c r="AG63" s="3">
        <v>7.2821994417673785E-2</v>
      </c>
      <c r="AH63" s="3">
        <v>8.6201092314036609E-2</v>
      </c>
      <c r="AI63" s="3">
        <v>7.5923580014799819E-2</v>
      </c>
      <c r="AJ63" s="3">
        <v>0.10718899962977327</v>
      </c>
      <c r="AK63" s="3">
        <v>0.14088203667397348</v>
      </c>
      <c r="AL63" s="3">
        <v>0.10838283042429545</v>
      </c>
    </row>
    <row r="64" spans="1:38" x14ac:dyDescent="0.35">
      <c r="A64" s="7">
        <v>43101</v>
      </c>
      <c r="B64" s="7">
        <v>43190</v>
      </c>
      <c r="C64" t="s">
        <v>128</v>
      </c>
      <c r="D64" t="s">
        <v>125</v>
      </c>
      <c r="E64" s="4" t="s">
        <v>64</v>
      </c>
      <c r="F64" s="3">
        <v>2.6955504628306672E-2</v>
      </c>
      <c r="G64" s="3">
        <v>2.6444481773370748E-2</v>
      </c>
      <c r="H64" s="3">
        <v>2.985062660607473E-2</v>
      </c>
      <c r="I64" s="3">
        <v>2.7968925101185337E-2</v>
      </c>
      <c r="J64" s="3">
        <v>3.1133283155749987E-2</v>
      </c>
      <c r="K64" s="3">
        <v>3.1223062002444339E-2</v>
      </c>
      <c r="L64" s="3">
        <v>3.2934115932132968E-2</v>
      </c>
      <c r="M64" s="3">
        <v>3.2280819977680508E-2</v>
      </c>
      <c r="N64" s="3">
        <v>3.6450059642861694E-2</v>
      </c>
      <c r="O64" s="3">
        <v>3.2642785468758394E-2</v>
      </c>
      <c r="P64" s="3">
        <v>3.9118841964526536E-2</v>
      </c>
      <c r="Q64" s="3">
        <v>3.3979868013520542E-2</v>
      </c>
      <c r="R64" s="3">
        <v>4.1439336595061632E-2</v>
      </c>
      <c r="S64" s="3">
        <v>3.6073364823084354E-2</v>
      </c>
      <c r="T64" s="3">
        <v>4.2881617977735501E-2</v>
      </c>
      <c r="U64" s="3">
        <v>3.8738906253639446E-2</v>
      </c>
      <c r="V64" s="3">
        <v>4.5018330733574294E-2</v>
      </c>
      <c r="W64" s="3">
        <v>3.9924668227140761E-2</v>
      </c>
      <c r="X64" s="3">
        <v>4.8173292504344781E-2</v>
      </c>
      <c r="Y64" s="3">
        <v>4.2464646138943567E-2</v>
      </c>
      <c r="Z64" s="3">
        <v>5.1663966833701072E-2</v>
      </c>
      <c r="AA64" s="3">
        <v>5.2893391600233458E-2</v>
      </c>
      <c r="AB64" s="3">
        <v>5.8139843977245198E-2</v>
      </c>
      <c r="AC64" s="3">
        <v>6.1548496431847795E-2</v>
      </c>
      <c r="AD64" s="3">
        <v>6.3929948312430665E-2</v>
      </c>
      <c r="AE64" s="3">
        <v>7.1537761203292319E-2</v>
      </c>
      <c r="AF64" s="3">
        <v>7.44980601551955E-2</v>
      </c>
      <c r="AG64" s="3">
        <v>7.3743308851667147E-2</v>
      </c>
      <c r="AH64" s="3">
        <v>8.7159836721572542E-2</v>
      </c>
      <c r="AI64" s="3">
        <v>7.6836736383455007E-2</v>
      </c>
      <c r="AJ64" s="3">
        <v>0.10811874012266376</v>
      </c>
      <c r="AK64" s="3">
        <v>0.1418205734558888</v>
      </c>
      <c r="AL64" s="3">
        <v>0.10928480850509567</v>
      </c>
    </row>
    <row r="65" spans="1:38" x14ac:dyDescent="0.35">
      <c r="A65" s="7">
        <v>43101</v>
      </c>
      <c r="B65" s="7">
        <v>43190</v>
      </c>
      <c r="C65" t="s">
        <v>128</v>
      </c>
      <c r="D65" t="s">
        <v>125</v>
      </c>
      <c r="E65" s="4">
        <v>2</v>
      </c>
      <c r="F65" s="3">
        <v>2.7897021899625216E-2</v>
      </c>
      <c r="G65" s="3">
        <v>2.7368915274916437E-2</v>
      </c>
      <c r="H65" s="3">
        <v>3.0848451892030358E-2</v>
      </c>
      <c r="I65" s="3">
        <v>2.8955691162124077E-2</v>
      </c>
      <c r="J65" s="3">
        <v>3.2060131064313005E-2</v>
      </c>
      <c r="K65" s="3">
        <v>3.2198106227038337E-2</v>
      </c>
      <c r="L65" s="3">
        <v>3.3845044629501123E-2</v>
      </c>
      <c r="M65" s="3">
        <v>3.3234643248477844E-2</v>
      </c>
      <c r="N65" s="3">
        <v>3.7382324199331081E-2</v>
      </c>
      <c r="O65" s="3">
        <v>3.3594684077558834E-2</v>
      </c>
      <c r="P65" s="3">
        <v>4.0040547019358746E-2</v>
      </c>
      <c r="Q65" s="3">
        <v>3.4919219200209517E-2</v>
      </c>
      <c r="R65" s="3">
        <v>4.2371166603959773E-2</v>
      </c>
      <c r="S65" s="3">
        <v>3.7041012010300828E-2</v>
      </c>
      <c r="T65" s="3">
        <v>4.3831479692354042E-2</v>
      </c>
      <c r="U65" s="3">
        <v>3.9687198648127538E-2</v>
      </c>
      <c r="V65" s="3">
        <v>4.5993338675699429E-2</v>
      </c>
      <c r="W65" s="3">
        <v>4.0890880083179662E-2</v>
      </c>
      <c r="X65" s="3">
        <v>4.9140754596639788E-2</v>
      </c>
      <c r="Y65" s="3">
        <v>4.3458963417643243E-2</v>
      </c>
      <c r="Z65" s="3">
        <v>5.2599887843882989E-2</v>
      </c>
      <c r="AA65" s="3">
        <v>5.3867198078455511E-2</v>
      </c>
      <c r="AB65" s="3">
        <v>5.9078492929563478E-2</v>
      </c>
      <c r="AC65" s="3">
        <v>6.2451398081860635E-2</v>
      </c>
      <c r="AD65" s="3">
        <v>6.4845761448320341E-2</v>
      </c>
      <c r="AE65" s="3">
        <v>7.2442675029635431E-2</v>
      </c>
      <c r="AF65" s="3">
        <v>7.5471262341356135E-2</v>
      </c>
      <c r="AG65" s="3">
        <v>7.472140626189222E-2</v>
      </c>
      <c r="AH65" s="3">
        <v>8.8088969605302603E-2</v>
      </c>
      <c r="AI65" s="3">
        <v>7.7827014311840928E-2</v>
      </c>
      <c r="AJ65" s="3">
        <v>0.10905082647783992</v>
      </c>
      <c r="AK65" s="3">
        <v>0.14276338686442322</v>
      </c>
      <c r="AL65" s="3">
        <v>0.11018762445336724</v>
      </c>
    </row>
    <row r="66" spans="1:38" x14ac:dyDescent="0.35">
      <c r="A66" s="7">
        <v>43101</v>
      </c>
      <c r="B66" s="7">
        <v>43190</v>
      </c>
      <c r="C66" t="s">
        <v>128</v>
      </c>
      <c r="D66" t="s">
        <v>125</v>
      </c>
      <c r="E66" s="4" t="s">
        <v>65</v>
      </c>
      <c r="F66" s="3">
        <v>2.8892588043602629E-2</v>
      </c>
      <c r="G66" s="3">
        <v>2.8329308788466755E-2</v>
      </c>
      <c r="H66" s="3">
        <v>3.1819656371274409E-2</v>
      </c>
      <c r="I66" s="3">
        <v>2.989320821390341E-2</v>
      </c>
      <c r="J66" s="3">
        <v>3.3013264636733278E-2</v>
      </c>
      <c r="K66" s="3">
        <v>3.3135830795126872E-2</v>
      </c>
      <c r="L66" s="3">
        <v>3.4774662475232566E-2</v>
      </c>
      <c r="M66" s="3">
        <v>3.417974739297501E-2</v>
      </c>
      <c r="N66" s="3">
        <v>3.8293207543458288E-2</v>
      </c>
      <c r="O66" s="3">
        <v>3.4544866915647204E-2</v>
      </c>
      <c r="P66" s="3">
        <v>4.102848238318213E-2</v>
      </c>
      <c r="Q66" s="3">
        <v>3.590278073173396E-2</v>
      </c>
      <c r="R66" s="3">
        <v>4.3290724980076224E-2</v>
      </c>
      <c r="S66" s="3">
        <v>3.7959929011024782E-2</v>
      </c>
      <c r="T66" s="3">
        <v>4.4744417994947591E-2</v>
      </c>
      <c r="U66" s="3">
        <v>4.0652317576269623E-2</v>
      </c>
      <c r="V66" s="3">
        <v>4.6913480248590572E-2</v>
      </c>
      <c r="W66" s="3">
        <v>4.1850251791674661E-2</v>
      </c>
      <c r="X66" s="3">
        <v>5.0122262773781387E-2</v>
      </c>
      <c r="Y66" s="3">
        <v>4.4373228437165707E-2</v>
      </c>
      <c r="Z66" s="3">
        <v>5.3590145397651653E-2</v>
      </c>
      <c r="AA66" s="3">
        <v>5.4820686831295172E-2</v>
      </c>
      <c r="AB66" s="3">
        <v>6.0042504808221868E-2</v>
      </c>
      <c r="AC66" s="3">
        <v>6.3366638261812713E-2</v>
      </c>
      <c r="AD66" s="3">
        <v>6.5762272908770125E-2</v>
      </c>
      <c r="AE66" s="3">
        <v>7.3423160064546078E-2</v>
      </c>
      <c r="AF66" s="3">
        <v>7.6429679229339922E-2</v>
      </c>
      <c r="AG66" s="3">
        <v>7.5661021251319488E-2</v>
      </c>
      <c r="AH66" s="3">
        <v>8.9006290793609943E-2</v>
      </c>
      <c r="AI66" s="3">
        <v>7.8762463089604773E-2</v>
      </c>
      <c r="AJ66" s="3">
        <v>0.10999967860014292</v>
      </c>
      <c r="AK66" s="3">
        <v>0.1436933785039842</v>
      </c>
      <c r="AL66" s="3">
        <v>0.11117059404382648</v>
      </c>
    </row>
    <row r="67" spans="1:38" x14ac:dyDescent="0.35">
      <c r="A67" s="7">
        <v>43101</v>
      </c>
      <c r="B67" s="7">
        <v>43190</v>
      </c>
      <c r="C67" t="s">
        <v>128</v>
      </c>
      <c r="D67" t="s">
        <v>125</v>
      </c>
      <c r="E67" s="4" t="s">
        <v>66</v>
      </c>
      <c r="F67" s="3">
        <v>2.9816431623965196E-2</v>
      </c>
      <c r="G67" s="3">
        <v>2.9279758919457922E-2</v>
      </c>
      <c r="H67" s="3">
        <v>3.2808105309173163E-2</v>
      </c>
      <c r="I67" s="3">
        <v>3.0867113852875983E-2</v>
      </c>
      <c r="J67" s="3">
        <v>3.3985287884005622E-2</v>
      </c>
      <c r="K67" s="3">
        <v>3.4083926756475459E-2</v>
      </c>
      <c r="L67" s="3">
        <v>3.5760408681570016E-2</v>
      </c>
      <c r="M67" s="3">
        <v>3.5139345117331522E-2</v>
      </c>
      <c r="N67" s="3">
        <v>3.9274630476066413E-2</v>
      </c>
      <c r="O67" s="3">
        <v>3.5495680412953486E-2</v>
      </c>
      <c r="P67" s="3">
        <v>4.1990447680038123E-2</v>
      </c>
      <c r="Q67" s="3">
        <v>3.6867473360407806E-2</v>
      </c>
      <c r="R67" s="3">
        <v>4.4253792917843315E-2</v>
      </c>
      <c r="S67" s="3">
        <v>3.8932087503310356E-2</v>
      </c>
      <c r="T67" s="3">
        <v>4.566803628015266E-2</v>
      </c>
      <c r="U67" s="3">
        <v>4.159448869808742E-2</v>
      </c>
      <c r="V67" s="3">
        <v>4.785897994590714E-2</v>
      </c>
      <c r="W67" s="3">
        <v>4.2841963462791441E-2</v>
      </c>
      <c r="X67" s="3">
        <v>5.1025110373458443E-2</v>
      </c>
      <c r="Y67" s="3">
        <v>4.534952307876973E-2</v>
      </c>
      <c r="Z67" s="3">
        <v>5.4543861718213044E-2</v>
      </c>
      <c r="AA67" s="3">
        <v>5.5733705693309474E-2</v>
      </c>
      <c r="AB67" s="3">
        <v>6.0989763352759907E-2</v>
      </c>
      <c r="AC67" s="3">
        <v>6.4327036642431695E-2</v>
      </c>
      <c r="AD67" s="3">
        <v>6.6690749612420913E-2</v>
      </c>
      <c r="AE67" s="3">
        <v>7.4419860058073883E-2</v>
      </c>
      <c r="AF67" s="3">
        <v>7.7365926051764178E-2</v>
      </c>
      <c r="AG67" s="3">
        <v>7.6587901413566958E-2</v>
      </c>
      <c r="AH67" s="3">
        <v>8.9992861093754623E-2</v>
      </c>
      <c r="AI67" s="3">
        <v>7.9738964897950099E-2</v>
      </c>
      <c r="AJ67" s="3">
        <v>0.11092708483544281</v>
      </c>
      <c r="AK67" s="3">
        <v>0.14469048553650632</v>
      </c>
      <c r="AL67" s="3">
        <v>0.11208402769059558</v>
      </c>
    </row>
    <row r="68" spans="1:38" x14ac:dyDescent="0.35">
      <c r="A68" s="7">
        <v>43101</v>
      </c>
      <c r="B68" s="7">
        <v>43190</v>
      </c>
      <c r="C68" t="s">
        <v>128</v>
      </c>
      <c r="D68" t="s">
        <v>125</v>
      </c>
      <c r="E68" s="4">
        <v>3</v>
      </c>
      <c r="F68" s="3">
        <v>3.0809313229369591E-2</v>
      </c>
      <c r="G68" s="3">
        <v>3.0205970811349712E-2</v>
      </c>
      <c r="H68" s="3">
        <v>3.3799404111945874E-2</v>
      </c>
      <c r="I68" s="3">
        <v>3.1780618839001906E-2</v>
      </c>
      <c r="J68" s="3">
        <v>3.4927313185709304E-2</v>
      </c>
      <c r="K68" s="3">
        <v>3.5058551719849632E-2</v>
      </c>
      <c r="L68" s="3">
        <v>3.6707387777530492E-2</v>
      </c>
      <c r="M68" s="3">
        <v>3.6118831932959117E-2</v>
      </c>
      <c r="N68" s="3">
        <v>4.0197139208795252E-2</v>
      </c>
      <c r="O68" s="3">
        <v>3.6479170774394741E-2</v>
      </c>
      <c r="P68" s="3">
        <v>4.2981297683726244E-2</v>
      </c>
      <c r="Q68" s="3">
        <v>3.7781588451177517E-2</v>
      </c>
      <c r="R68" s="3">
        <v>4.5192268792738501E-2</v>
      </c>
      <c r="S68" s="3">
        <v>3.9930679296247287E-2</v>
      </c>
      <c r="T68" s="3">
        <v>4.6601194914300655E-2</v>
      </c>
      <c r="U68" s="3">
        <v>4.2497633796527712E-2</v>
      </c>
      <c r="V68" s="3">
        <v>4.8767134065234197E-2</v>
      </c>
      <c r="W68" s="3">
        <v>4.3762297852789872E-2</v>
      </c>
      <c r="X68" s="3">
        <v>5.1956300324280599E-2</v>
      </c>
      <c r="Y68" s="3">
        <v>4.6292246292781981E-2</v>
      </c>
      <c r="Z68" s="3">
        <v>5.5504517540770237E-2</v>
      </c>
      <c r="AA68" s="3">
        <v>5.6730320407891131E-2</v>
      </c>
      <c r="AB68" s="3">
        <v>6.1903407085099338E-2</v>
      </c>
      <c r="AC68" s="3">
        <v>6.5289714971796503E-2</v>
      </c>
      <c r="AD68" s="3">
        <v>6.7671491768077574E-2</v>
      </c>
      <c r="AE68" s="3">
        <v>7.532529956267843E-2</v>
      </c>
      <c r="AF68" s="3">
        <v>7.8270462377958913E-2</v>
      </c>
      <c r="AG68" s="3">
        <v>7.7507018551669832E-2</v>
      </c>
      <c r="AH68" s="3">
        <v>9.092020182488339E-2</v>
      </c>
      <c r="AI68" s="3">
        <v>8.0656346334527174E-2</v>
      </c>
      <c r="AJ68" s="3">
        <v>0.11183415501933933</v>
      </c>
      <c r="AK68" s="3">
        <v>0.14563667660339871</v>
      </c>
      <c r="AL68" s="3">
        <v>0.11298752626621517</v>
      </c>
    </row>
    <row r="69" spans="1:38" x14ac:dyDescent="0.35">
      <c r="A69" s="7">
        <v>43101</v>
      </c>
      <c r="B69" s="7">
        <v>43190</v>
      </c>
      <c r="C69" t="s">
        <v>128</v>
      </c>
      <c r="D69" t="s">
        <v>125</v>
      </c>
      <c r="E69" s="4" t="s">
        <v>67</v>
      </c>
      <c r="F69" s="3">
        <v>3.1758338673687735E-2</v>
      </c>
      <c r="G69" s="3">
        <v>3.1114066860379219E-2</v>
      </c>
      <c r="H69" s="3">
        <v>3.4734961535117334E-2</v>
      </c>
      <c r="I69" s="3">
        <v>3.2716483633118978E-2</v>
      </c>
      <c r="J69" s="3">
        <v>3.5846367426793313E-2</v>
      </c>
      <c r="K69" s="3">
        <v>3.6010486371479272E-2</v>
      </c>
      <c r="L69" s="3">
        <v>3.7665024302281878E-2</v>
      </c>
      <c r="M69" s="3">
        <v>3.7085829953676569E-2</v>
      </c>
      <c r="N69" s="3">
        <v>4.1100322924584064E-2</v>
      </c>
      <c r="O69" s="3">
        <v>3.7446438544002564E-2</v>
      </c>
      <c r="P69" s="3">
        <v>4.3887358319701072E-2</v>
      </c>
      <c r="Q69" s="3">
        <v>3.8705992518516544E-2</v>
      </c>
      <c r="R69" s="3">
        <v>4.6104972754014865E-2</v>
      </c>
      <c r="S69" s="3">
        <v>4.0890796136354192E-2</v>
      </c>
      <c r="T69" s="3">
        <v>4.7517306360080142E-2</v>
      </c>
      <c r="U69" s="3">
        <v>4.3481023873773617E-2</v>
      </c>
      <c r="V69" s="3">
        <v>4.9733842563750845E-2</v>
      </c>
      <c r="W69" s="3">
        <v>4.4669938527937061E-2</v>
      </c>
      <c r="X69" s="3">
        <v>5.287578028254647E-2</v>
      </c>
      <c r="Y69" s="3">
        <v>4.7260285664062859E-2</v>
      </c>
      <c r="Z69" s="3">
        <v>5.6447037965201674E-2</v>
      </c>
      <c r="AA69" s="3">
        <v>5.768192984896605E-2</v>
      </c>
      <c r="AB69" s="3">
        <v>6.2820791014653321E-2</v>
      </c>
      <c r="AC69" s="3">
        <v>6.6225848263291698E-2</v>
      </c>
      <c r="AD69" s="3">
        <v>6.8575165230735008E-2</v>
      </c>
      <c r="AE69" s="3">
        <v>7.6305686528439109E-2</v>
      </c>
      <c r="AF69" s="3">
        <v>7.9233725413743877E-2</v>
      </c>
      <c r="AG69" s="3">
        <v>7.848281595435852E-2</v>
      </c>
      <c r="AH69" s="3">
        <v>9.1849924185783416E-2</v>
      </c>
      <c r="AI69" s="3">
        <v>8.1643603818231325E-2</v>
      </c>
      <c r="AJ69" s="3">
        <v>0.11279284637867448</v>
      </c>
      <c r="AK69" s="3">
        <v>0.14663408093916622</v>
      </c>
      <c r="AL69" s="3">
        <v>0.11395296391268561</v>
      </c>
    </row>
    <row r="70" spans="1:38" x14ac:dyDescent="0.35">
      <c r="A70" s="7">
        <v>43101</v>
      </c>
      <c r="B70" s="7">
        <v>43190</v>
      </c>
      <c r="C70" t="s">
        <v>128</v>
      </c>
      <c r="D70" t="s">
        <v>125</v>
      </c>
      <c r="E70" s="4" t="s">
        <v>68</v>
      </c>
      <c r="F70" s="3">
        <v>3.2739197622021779E-2</v>
      </c>
      <c r="G70" s="3">
        <v>3.204011238399887E-2</v>
      </c>
      <c r="H70" s="3">
        <v>3.5642241261176211E-2</v>
      </c>
      <c r="I70" s="3">
        <v>3.3708017045777729E-2</v>
      </c>
      <c r="J70" s="3">
        <v>3.6757571708418507E-2</v>
      </c>
      <c r="K70" s="3">
        <v>3.6966037413180705E-2</v>
      </c>
      <c r="L70" s="3">
        <v>3.8653307044733312E-2</v>
      </c>
      <c r="M70" s="3">
        <v>3.8027658446906205E-2</v>
      </c>
      <c r="N70" s="3">
        <v>4.2007721087298888E-2</v>
      </c>
      <c r="O70" s="3">
        <v>3.8405401536441369E-2</v>
      </c>
      <c r="P70" s="3">
        <v>4.4876462331655487E-2</v>
      </c>
      <c r="Q70" s="3">
        <v>3.9671343263786907E-2</v>
      </c>
      <c r="R70" s="3">
        <v>4.7034383018163428E-2</v>
      </c>
      <c r="S70" s="3">
        <v>4.1820873196983938E-2</v>
      </c>
      <c r="T70" s="3">
        <v>4.8433727451292763E-2</v>
      </c>
      <c r="U70" s="3">
        <v>4.4477800013649864E-2</v>
      </c>
      <c r="V70" s="3">
        <v>5.0709102113335694E-2</v>
      </c>
      <c r="W70" s="3">
        <v>4.5657989214654485E-2</v>
      </c>
      <c r="X70" s="3">
        <v>5.3801267945788961E-2</v>
      </c>
      <c r="Y70" s="3">
        <v>4.82076991944278E-2</v>
      </c>
      <c r="Z70" s="3">
        <v>5.7390312450374542E-2</v>
      </c>
      <c r="AA70" s="3">
        <v>5.8653090535508351E-2</v>
      </c>
      <c r="AB70" s="3">
        <v>6.3781201174315114E-2</v>
      </c>
      <c r="AC70" s="3">
        <v>6.7188469893734448E-2</v>
      </c>
      <c r="AD70" s="3">
        <v>6.9480376542508604E-2</v>
      </c>
      <c r="AE70" s="3">
        <v>7.7223518133722274E-2</v>
      </c>
      <c r="AF70" s="3">
        <v>8.0186289388047005E-2</v>
      </c>
      <c r="AG70" s="3">
        <v>7.9406298040132633E-2</v>
      </c>
      <c r="AH70" s="3">
        <v>9.2754335980998137E-2</v>
      </c>
      <c r="AI70" s="3">
        <v>8.2604606311731985E-2</v>
      </c>
      <c r="AJ70" s="3">
        <v>0.11377346034366118</v>
      </c>
      <c r="AK70" s="3">
        <v>0.147582909636502</v>
      </c>
      <c r="AL70" s="3">
        <v>0.11490085140852593</v>
      </c>
    </row>
    <row r="71" spans="1:38" x14ac:dyDescent="0.35">
      <c r="A71" s="7">
        <v>43101</v>
      </c>
      <c r="B71" s="7">
        <v>43190</v>
      </c>
      <c r="C71" t="s">
        <v>128</v>
      </c>
      <c r="D71" t="s">
        <v>125</v>
      </c>
      <c r="E71" s="4">
        <v>4</v>
      </c>
      <c r="F71" s="3">
        <v>3.3687111852765121E-2</v>
      </c>
      <c r="G71" s="3">
        <v>3.2955135834473626E-2</v>
      </c>
      <c r="H71" s="3">
        <v>3.6574657158047516E-2</v>
      </c>
      <c r="I71" s="3">
        <v>3.4649488595937111E-2</v>
      </c>
      <c r="J71" s="3">
        <v>3.772864995011424E-2</v>
      </c>
      <c r="K71" s="3">
        <v>3.7933984380575964E-2</v>
      </c>
      <c r="L71" s="3">
        <v>3.9600776368188248E-2</v>
      </c>
      <c r="M71" s="3">
        <v>3.8930131542778523E-2</v>
      </c>
      <c r="N71" s="3">
        <v>4.2946966069131613E-2</v>
      </c>
      <c r="O71" s="3">
        <v>3.9338873967426635E-2</v>
      </c>
      <c r="P71" s="3">
        <v>4.5856967046642348E-2</v>
      </c>
      <c r="Q71" s="3">
        <v>4.0664872848888506E-2</v>
      </c>
      <c r="R71" s="3">
        <v>4.7977525764767104E-2</v>
      </c>
      <c r="S71" s="3">
        <v>4.2791025093767296E-2</v>
      </c>
      <c r="T71" s="3">
        <v>4.9378022305578265E-2</v>
      </c>
      <c r="U71" s="3">
        <v>4.5468649631014296E-2</v>
      </c>
      <c r="V71" s="3">
        <v>5.1666048141618875E-2</v>
      </c>
      <c r="W71" s="3">
        <v>4.6580033371126338E-2</v>
      </c>
      <c r="X71" s="3">
        <v>5.4741895793428759E-2</v>
      </c>
      <c r="Y71" s="3">
        <v>4.9140618258473628E-2</v>
      </c>
      <c r="Z71" s="3">
        <v>5.8390188726632125E-2</v>
      </c>
      <c r="AA71" s="3">
        <v>5.9575139555686149E-2</v>
      </c>
      <c r="AB71" s="3">
        <v>6.4705172164359753E-2</v>
      </c>
      <c r="AC71" s="3">
        <v>6.8171971954915603E-2</v>
      </c>
      <c r="AD71" s="3">
        <v>7.0385210637260109E-2</v>
      </c>
      <c r="AE71" s="3">
        <v>7.8193441864314983E-2</v>
      </c>
      <c r="AF71" s="3">
        <v>8.1117816364555242E-2</v>
      </c>
      <c r="AG71" s="3">
        <v>8.034893925123901E-2</v>
      </c>
      <c r="AH71" s="3">
        <v>9.3749052053499315E-2</v>
      </c>
      <c r="AI71" s="3">
        <v>8.3571938732369372E-2</v>
      </c>
      <c r="AJ71" s="3">
        <v>0.11471542279930774</v>
      </c>
      <c r="AK71" s="3">
        <v>0.14856655400287083</v>
      </c>
      <c r="AL71" s="3">
        <v>0.11581786190012677</v>
      </c>
    </row>
    <row r="72" spans="1:38" x14ac:dyDescent="0.35">
      <c r="A72" s="7">
        <v>43101</v>
      </c>
      <c r="B72" s="7">
        <v>43190</v>
      </c>
      <c r="C72" t="s">
        <v>128</v>
      </c>
      <c r="D72" t="s">
        <v>125</v>
      </c>
      <c r="E72" s="4" t="s">
        <v>69</v>
      </c>
      <c r="F72" s="3">
        <v>3.4663340664242072E-2</v>
      </c>
      <c r="G72" s="3">
        <v>3.3856784187710133E-2</v>
      </c>
      <c r="H72" s="3">
        <v>3.7516670482588145E-2</v>
      </c>
      <c r="I72" s="3">
        <v>3.5613877354440146E-2</v>
      </c>
      <c r="J72" s="3">
        <v>3.8665005216227524E-2</v>
      </c>
      <c r="K72" s="3">
        <v>3.8896986844783432E-2</v>
      </c>
      <c r="L72" s="3">
        <v>4.0517567647322297E-2</v>
      </c>
      <c r="M72" s="3">
        <v>3.9913898212994445E-2</v>
      </c>
      <c r="N72" s="3">
        <v>4.3902640946801172E-2</v>
      </c>
      <c r="O72" s="3">
        <v>4.0285534809126985E-2</v>
      </c>
      <c r="P72" s="3">
        <v>4.6782291759152266E-2</v>
      </c>
      <c r="Q72" s="3">
        <v>4.1628695589264145E-2</v>
      </c>
      <c r="R72" s="3">
        <v>4.8914459651524841E-2</v>
      </c>
      <c r="S72" s="3">
        <v>4.3763060110870458E-2</v>
      </c>
      <c r="T72" s="3">
        <v>5.0316843693128624E-2</v>
      </c>
      <c r="U72" s="3">
        <v>4.6445309033417467E-2</v>
      </c>
      <c r="V72" s="3">
        <v>5.2583538133656127E-2</v>
      </c>
      <c r="W72" s="3">
        <v>4.7500495259273384E-2</v>
      </c>
      <c r="X72" s="3">
        <v>5.573055777351936E-2</v>
      </c>
      <c r="Y72" s="3">
        <v>5.0049873203161496E-2</v>
      </c>
      <c r="Z72" s="3">
        <v>5.9380516132835015E-2</v>
      </c>
      <c r="AA72" s="3">
        <v>6.0536616039588889E-2</v>
      </c>
      <c r="AB72" s="3">
        <v>6.5674492333929996E-2</v>
      </c>
      <c r="AC72" s="3">
        <v>6.9144902683848125E-2</v>
      </c>
      <c r="AD72" s="3">
        <v>7.1289604606180168E-2</v>
      </c>
      <c r="AE72" s="3">
        <v>7.9180960165628242E-2</v>
      </c>
      <c r="AF72" s="3">
        <v>8.2053919066883002E-2</v>
      </c>
      <c r="AG72" s="3">
        <v>8.1257482062810915E-2</v>
      </c>
      <c r="AH72" s="3">
        <v>9.4699819231343879E-2</v>
      </c>
      <c r="AI72" s="3">
        <v>8.4562776545488702E-2</v>
      </c>
      <c r="AJ72" s="3">
        <v>0.11570780016976628</v>
      </c>
      <c r="AK72" s="3">
        <v>0.14951313615786119</v>
      </c>
      <c r="AL72" s="3">
        <v>0.11673276764506546</v>
      </c>
    </row>
    <row r="73" spans="1:38" x14ac:dyDescent="0.35">
      <c r="A73" s="7">
        <v>43101</v>
      </c>
      <c r="B73" s="7">
        <v>43190</v>
      </c>
      <c r="C73" t="s">
        <v>128</v>
      </c>
      <c r="D73" t="s">
        <v>125</v>
      </c>
      <c r="E73" s="4" t="s">
        <v>70</v>
      </c>
      <c r="F73" s="3">
        <v>3.5615006950827519E-2</v>
      </c>
      <c r="G73" s="3">
        <v>3.4762917695688955E-2</v>
      </c>
      <c r="H73" s="3">
        <v>3.8502258168549956E-2</v>
      </c>
      <c r="I73" s="3">
        <v>3.6532143139689069E-2</v>
      </c>
      <c r="J73" s="3">
        <v>3.961025300053797E-2</v>
      </c>
      <c r="K73" s="3">
        <v>3.987124363395457E-2</v>
      </c>
      <c r="L73" s="3">
        <v>4.1506458227018359E-2</v>
      </c>
      <c r="M73" s="3">
        <v>4.0822139340595885E-2</v>
      </c>
      <c r="N73" s="3">
        <v>4.4879240678301117E-2</v>
      </c>
      <c r="O73" s="3">
        <v>4.1241603607676744E-2</v>
      </c>
      <c r="P73" s="3">
        <v>4.7699213581187005E-2</v>
      </c>
      <c r="Q73" s="3">
        <v>4.2624472251490894E-2</v>
      </c>
      <c r="R73" s="3">
        <v>4.9870656963362826E-2</v>
      </c>
      <c r="S73" s="3">
        <v>4.4729596604833867E-2</v>
      </c>
      <c r="T73" s="3">
        <v>5.1228818340475296E-2</v>
      </c>
      <c r="U73" s="3">
        <v>4.7352468210182241E-2</v>
      </c>
      <c r="V73" s="3">
        <v>5.3513458477405226E-2</v>
      </c>
      <c r="W73" s="3">
        <v>4.8496463931347891E-2</v>
      </c>
      <c r="X73" s="3">
        <v>5.6710259660029051E-2</v>
      </c>
      <c r="Y73" s="3">
        <v>5.1007331566039357E-2</v>
      </c>
      <c r="Z73" s="3">
        <v>6.0298731543727932E-2</v>
      </c>
      <c r="AA73" s="3">
        <v>6.1467788080590162E-2</v>
      </c>
      <c r="AB73" s="3">
        <v>6.6609447758682522E-2</v>
      </c>
      <c r="AC73" s="3">
        <v>7.0068521925419874E-2</v>
      </c>
      <c r="AD73" s="3">
        <v>7.2195598965229257E-2</v>
      </c>
      <c r="AE73" s="3">
        <v>8.0159910045503074E-2</v>
      </c>
      <c r="AF73" s="3">
        <v>8.3012610411531934E-2</v>
      </c>
      <c r="AG73" s="3">
        <v>8.2181077966933219E-2</v>
      </c>
      <c r="AH73" s="3">
        <v>9.5688238977401224E-2</v>
      </c>
      <c r="AI73" s="3">
        <v>8.5478159208486032E-2</v>
      </c>
      <c r="AJ73" s="3">
        <v>0.11661490997768822</v>
      </c>
      <c r="AK73" s="3">
        <v>0.15043690456744629</v>
      </c>
      <c r="AL73" s="3">
        <v>0.11771679418624389</v>
      </c>
    </row>
    <row r="74" spans="1:38" x14ac:dyDescent="0.35">
      <c r="A74" s="7">
        <v>43101</v>
      </c>
      <c r="B74" s="7">
        <v>43190</v>
      </c>
      <c r="C74" t="s">
        <v>128</v>
      </c>
      <c r="D74" t="s">
        <v>125</v>
      </c>
      <c r="E74" s="4">
        <v>5</v>
      </c>
      <c r="F74" s="3">
        <v>3.6537034616341946E-2</v>
      </c>
      <c r="G74" s="3">
        <v>3.5701871493965601E-2</v>
      </c>
      <c r="H74" s="3">
        <v>3.9445141600718853E-2</v>
      </c>
      <c r="I74" s="3">
        <v>3.7501354570931678E-2</v>
      </c>
      <c r="J74" s="3">
        <v>4.058716207653211E-2</v>
      </c>
      <c r="K74" s="3">
        <v>4.0857435763598307E-2</v>
      </c>
      <c r="L74" s="3">
        <v>4.2430411032710391E-2</v>
      </c>
      <c r="M74" s="3">
        <v>4.1758382469180053E-2</v>
      </c>
      <c r="N74" s="3">
        <v>4.5798630295579262E-2</v>
      </c>
      <c r="O74" s="3">
        <v>4.2204003559376604E-2</v>
      </c>
      <c r="P74" s="3">
        <v>4.8607872187442724E-2</v>
      </c>
      <c r="Q74" s="3">
        <v>4.3617434133182267E-2</v>
      </c>
      <c r="R74" s="3">
        <v>5.0787960327398796E-2</v>
      </c>
      <c r="S74" s="3">
        <v>4.5703405383414303E-2</v>
      </c>
      <c r="T74" s="3">
        <v>5.2149752994239303E-2</v>
      </c>
      <c r="U74" s="3">
        <v>4.8294855162885612E-2</v>
      </c>
      <c r="V74" s="3">
        <v>5.444515893877095E-2</v>
      </c>
      <c r="W74" s="3">
        <v>4.9435172399565144E-2</v>
      </c>
      <c r="X74" s="3">
        <v>5.7687938236702895E-2</v>
      </c>
      <c r="Y74" s="3">
        <v>5.1914191192636461E-2</v>
      </c>
      <c r="Z74" s="3">
        <v>6.1274350429703736E-2</v>
      </c>
      <c r="AA74" s="3">
        <v>6.2416623636127197E-2</v>
      </c>
      <c r="AB74" s="3">
        <v>6.7529849427629185E-2</v>
      </c>
      <c r="AC74" s="3">
        <v>7.1045960511612785E-2</v>
      </c>
      <c r="AD74" s="3">
        <v>7.312898886104055E-2</v>
      </c>
      <c r="AE74" s="3">
        <v>8.109584506138276E-2</v>
      </c>
      <c r="AF74" s="3">
        <v>8.3952002646676113E-2</v>
      </c>
      <c r="AG74" s="3">
        <v>8.3096016217194396E-2</v>
      </c>
      <c r="AH74" s="3">
        <v>9.663786526438084E-2</v>
      </c>
      <c r="AI74" s="3">
        <v>8.643913647029039E-2</v>
      </c>
      <c r="AJ74" s="3">
        <v>0.11755517391392323</v>
      </c>
      <c r="AK74" s="3">
        <v>0.15137465627533181</v>
      </c>
      <c r="AL74" s="3">
        <v>0.11863023727481434</v>
      </c>
    </row>
    <row r="75" spans="1:38" x14ac:dyDescent="0.35">
      <c r="A75" s="7">
        <v>43101</v>
      </c>
      <c r="B75" s="7">
        <v>43190</v>
      </c>
      <c r="C75" t="s">
        <v>128</v>
      </c>
      <c r="D75" t="s">
        <v>125</v>
      </c>
      <c r="E75" s="4" t="s">
        <v>71</v>
      </c>
      <c r="F75" s="3">
        <v>3.7452247532993511E-2</v>
      </c>
      <c r="G75" s="3">
        <v>3.6654426749807151E-2</v>
      </c>
      <c r="H75" s="3">
        <v>4.0363432166752956E-2</v>
      </c>
      <c r="I75" s="3">
        <v>3.8483817499054614E-2</v>
      </c>
      <c r="J75" s="3">
        <v>4.1515522119146914E-2</v>
      </c>
      <c r="K75" s="3">
        <v>4.1823752741559958E-2</v>
      </c>
      <c r="L75" s="3">
        <v>4.3378703526991809E-2</v>
      </c>
      <c r="M75" s="3">
        <v>4.2729505019661454E-2</v>
      </c>
      <c r="N75" s="3">
        <v>4.6743765763705467E-2</v>
      </c>
      <c r="O75" s="3">
        <v>4.3147549646481917E-2</v>
      </c>
      <c r="P75" s="3">
        <v>4.9550369849464024E-2</v>
      </c>
      <c r="Q75" s="3">
        <v>4.4553807159928724E-2</v>
      </c>
      <c r="R75" s="3">
        <v>5.1760856877947639E-2</v>
      </c>
      <c r="S75" s="3">
        <v>4.6632661459234698E-2</v>
      </c>
      <c r="T75" s="3">
        <v>5.3146085451574461E-2</v>
      </c>
      <c r="U75" s="3">
        <v>4.9256183992917528E-2</v>
      </c>
      <c r="V75" s="3">
        <v>5.5377722287246613E-2</v>
      </c>
      <c r="W75" s="3">
        <v>5.0363475537645863E-2</v>
      </c>
      <c r="X75" s="3">
        <v>5.8639852635564364E-2</v>
      </c>
      <c r="Y75" s="3">
        <v>5.2890286602368899E-2</v>
      </c>
      <c r="Z75" s="3">
        <v>6.2238787352116499E-2</v>
      </c>
      <c r="AA75" s="3">
        <v>6.3342734437073861E-2</v>
      </c>
      <c r="AB75" s="3">
        <v>6.8497644430090959E-2</v>
      </c>
      <c r="AC75" s="3">
        <v>7.1991828499182509E-2</v>
      </c>
      <c r="AD75" s="3">
        <v>7.4106986994260965E-2</v>
      </c>
      <c r="AE75" s="3">
        <v>8.1996109513219118E-2</v>
      </c>
      <c r="AF75" s="3">
        <v>8.494434711940485E-2</v>
      </c>
      <c r="AG75" s="3">
        <v>8.402457626539514E-2</v>
      </c>
      <c r="AH75" s="3">
        <v>9.7586131170948859E-2</v>
      </c>
      <c r="AI75" s="3">
        <v>8.735600796459006E-2</v>
      </c>
      <c r="AJ75" s="3">
        <v>0.11849176413878909</v>
      </c>
      <c r="AK75" s="3">
        <v>0.15233627909692013</v>
      </c>
      <c r="AL75" s="3">
        <v>0.11962032111917292</v>
      </c>
    </row>
    <row r="76" spans="1:38" x14ac:dyDescent="0.35">
      <c r="A76" s="7">
        <v>43101</v>
      </c>
      <c r="B76" s="7">
        <v>43190</v>
      </c>
      <c r="C76" t="s">
        <v>128</v>
      </c>
      <c r="D76" t="s">
        <v>125</v>
      </c>
      <c r="E76" s="4" t="s">
        <v>72</v>
      </c>
      <c r="F76" s="3">
        <v>3.8450044671522951E-2</v>
      </c>
      <c r="G76" s="3">
        <v>3.759738223377123E-2</v>
      </c>
      <c r="H76" s="3">
        <v>4.1342643582357917E-2</v>
      </c>
      <c r="I76" s="3">
        <v>3.9385083984993949E-2</v>
      </c>
      <c r="J76" s="3">
        <v>4.2439457241266826E-2</v>
      </c>
      <c r="K76" s="3">
        <v>4.2751167672111456E-2</v>
      </c>
      <c r="L76" s="3">
        <v>4.4302334066026031E-2</v>
      </c>
      <c r="M76" s="3">
        <v>4.3652328412065011E-2</v>
      </c>
      <c r="N76" s="3">
        <v>4.7725725299334887E-2</v>
      </c>
      <c r="O76" s="3">
        <v>4.4140423901663062E-2</v>
      </c>
      <c r="P76" s="3">
        <v>5.0457192690454407E-2</v>
      </c>
      <c r="Q76" s="3">
        <v>4.5480456218301685E-2</v>
      </c>
      <c r="R76" s="3">
        <v>5.2759113026973642E-2</v>
      </c>
      <c r="S76" s="3">
        <v>4.7599621500819395E-2</v>
      </c>
      <c r="T76" s="3">
        <v>5.4079397101071791E-2</v>
      </c>
      <c r="U76" s="3">
        <v>5.0217342664606347E-2</v>
      </c>
      <c r="V76" s="3">
        <v>5.6302257703269833E-2</v>
      </c>
      <c r="W76" s="3">
        <v>5.1357885367248682E-2</v>
      </c>
      <c r="X76" s="3">
        <v>5.9636155423697962E-2</v>
      </c>
      <c r="Y76" s="3">
        <v>5.3804233856917433E-2</v>
      </c>
      <c r="Z76" s="3">
        <v>6.3147907091145455E-2</v>
      </c>
      <c r="AA76" s="3">
        <v>6.4309724026127169E-2</v>
      </c>
      <c r="AB76" s="3">
        <v>6.9488798515799477E-2</v>
      </c>
      <c r="AC76" s="3">
        <v>7.2929846198278442E-2</v>
      </c>
      <c r="AD76" s="3">
        <v>7.508860820571106E-2</v>
      </c>
      <c r="AE76" s="3">
        <v>8.2913454609532256E-2</v>
      </c>
      <c r="AF76" s="3">
        <v>8.5888516304205159E-2</v>
      </c>
      <c r="AG76" s="3">
        <v>8.4967069472016529E-2</v>
      </c>
      <c r="AH76" s="3">
        <v>9.8548762409441132E-2</v>
      </c>
      <c r="AI76" s="3">
        <v>8.826572047558609E-2</v>
      </c>
      <c r="AJ76" s="3">
        <v>0.11942309530034587</v>
      </c>
      <c r="AK76" s="3">
        <v>0.15324715508668146</v>
      </c>
      <c r="AL76" s="3">
        <v>0.12059960676243339</v>
      </c>
    </row>
    <row r="77" spans="1:38" x14ac:dyDescent="0.35">
      <c r="A77" s="7">
        <v>43101</v>
      </c>
      <c r="B77" s="7">
        <v>43190</v>
      </c>
      <c r="C77" t="s">
        <v>128</v>
      </c>
      <c r="D77" t="s">
        <v>125</v>
      </c>
      <c r="E77" s="4">
        <v>6</v>
      </c>
      <c r="F77" s="3">
        <v>3.9354710843880238E-2</v>
      </c>
      <c r="G77" s="3">
        <v>3.851430046631589E-2</v>
      </c>
      <c r="H77" s="3">
        <v>4.2340015876603174E-2</v>
      </c>
      <c r="I77" s="3">
        <v>4.0287553075633288E-2</v>
      </c>
      <c r="J77" s="3">
        <v>4.3343677994122684E-2</v>
      </c>
      <c r="K77" s="3">
        <v>4.3711866595613345E-2</v>
      </c>
      <c r="L77" s="3">
        <v>4.5205108654712542E-2</v>
      </c>
      <c r="M77" s="3">
        <v>4.4600622392565029E-2</v>
      </c>
      <c r="N77" s="3">
        <v>4.8686311833625706E-2</v>
      </c>
      <c r="O77" s="3">
        <v>4.513277406792876E-2</v>
      </c>
      <c r="P77" s="3">
        <v>5.1358899286446991E-2</v>
      </c>
      <c r="Q77" s="3">
        <v>4.6464201327189189E-2</v>
      </c>
      <c r="R77" s="3">
        <v>5.3697114376885582E-2</v>
      </c>
      <c r="S77" s="3">
        <v>4.8529621074183446E-2</v>
      </c>
      <c r="T77" s="3">
        <v>5.5015743625293941E-2</v>
      </c>
      <c r="U77" s="3">
        <v>5.1216862234903307E-2</v>
      </c>
      <c r="V77" s="3">
        <v>5.7300735763207461E-2</v>
      </c>
      <c r="W77" s="3">
        <v>5.2262787163677035E-2</v>
      </c>
      <c r="X77" s="3">
        <v>6.0613698340490851E-2</v>
      </c>
      <c r="Y77" s="3">
        <v>5.4734757929811612E-2</v>
      </c>
      <c r="Z77" s="3">
        <v>6.4087418767790727E-2</v>
      </c>
      <c r="AA77" s="3">
        <v>6.5306843346533056E-2</v>
      </c>
      <c r="AB77" s="3">
        <v>7.0420502837275467E-2</v>
      </c>
      <c r="AC77" s="3">
        <v>7.3884595950778495E-2</v>
      </c>
      <c r="AD77" s="3">
        <v>7.6050407256270186E-2</v>
      </c>
      <c r="AE77" s="3">
        <v>8.3893066680813283E-2</v>
      </c>
      <c r="AF77" s="3">
        <v>8.6864382115662553E-2</v>
      </c>
      <c r="AG77" s="3">
        <v>8.5938529481590475E-2</v>
      </c>
      <c r="AH77" s="3">
        <v>9.9491883015531885E-2</v>
      </c>
      <c r="AI77" s="3">
        <v>8.9234623648672851E-2</v>
      </c>
      <c r="AJ77" s="3">
        <v>0.12035782494668729</v>
      </c>
      <c r="AK77" s="3">
        <v>0.1541501469799699</v>
      </c>
      <c r="AL77" s="3">
        <v>0.12155080099179458</v>
      </c>
    </row>
    <row r="78" spans="1:38" x14ac:dyDescent="0.35">
      <c r="A78" s="7">
        <v>43101</v>
      </c>
      <c r="B78" s="7">
        <v>43190</v>
      </c>
      <c r="C78" t="s">
        <v>128</v>
      </c>
      <c r="D78" t="s">
        <v>125</v>
      </c>
      <c r="E78" s="4" t="s">
        <v>73</v>
      </c>
      <c r="F78" s="3">
        <v>4.0312982379720072E-2</v>
      </c>
      <c r="G78" s="3">
        <v>3.9470863826427657E-2</v>
      </c>
      <c r="H78" s="3">
        <v>4.3272189463267365E-2</v>
      </c>
      <c r="I78" s="3">
        <v>4.1251364017709527E-2</v>
      </c>
      <c r="J78" s="3">
        <v>4.4343484503988229E-2</v>
      </c>
      <c r="K78" s="3">
        <v>4.469134201961851E-2</v>
      </c>
      <c r="L78" s="3">
        <v>4.616261233902301E-2</v>
      </c>
      <c r="M78" s="3">
        <v>4.5555545551511263E-2</v>
      </c>
      <c r="N78" s="3">
        <v>4.9618632179344743E-2</v>
      </c>
      <c r="O78" s="3">
        <v>4.6106025837637676E-2</v>
      </c>
      <c r="P78" s="3">
        <v>5.2346096550348664E-2</v>
      </c>
      <c r="Q78" s="3">
        <v>4.7377473187230706E-2</v>
      </c>
      <c r="R78" s="3">
        <v>5.4660540987732847E-2</v>
      </c>
      <c r="S78" s="3">
        <v>4.9450464703823915E-2</v>
      </c>
      <c r="T78" s="3">
        <v>5.5969993380739845E-2</v>
      </c>
      <c r="U78" s="3">
        <v>5.2159888659726594E-2</v>
      </c>
      <c r="V78" s="3">
        <v>5.825820570646436E-2</v>
      </c>
      <c r="W78" s="3">
        <v>5.3245864887336611E-2</v>
      </c>
      <c r="X78" s="3">
        <v>6.1565189098086059E-2</v>
      </c>
      <c r="Y78" s="3">
        <v>5.5693615381737824E-2</v>
      </c>
      <c r="Z78" s="3">
        <v>6.5085669834437115E-2</v>
      </c>
      <c r="AA78" s="3">
        <v>6.6226053950022679E-2</v>
      </c>
      <c r="AB78" s="3">
        <v>7.1387327504087467E-2</v>
      </c>
      <c r="AC78" s="3">
        <v>7.4850499388342873E-2</v>
      </c>
      <c r="AD78" s="3">
        <v>7.6995541721114058E-2</v>
      </c>
      <c r="AE78" s="3">
        <v>8.4813620383519556E-2</v>
      </c>
      <c r="AF78" s="3">
        <v>8.7833211364047287E-2</v>
      </c>
      <c r="AG78" s="3">
        <v>8.6856344163987464E-2</v>
      </c>
      <c r="AH78" s="3">
        <v>0.10040720305528478</v>
      </c>
      <c r="AI78" s="3">
        <v>9.0160503509014361E-2</v>
      </c>
      <c r="AJ78" s="3">
        <v>0.12130359887892328</v>
      </c>
      <c r="AK78" s="3">
        <v>0.15511849031913039</v>
      </c>
      <c r="AL78" s="3">
        <v>0.12246881254756178</v>
      </c>
    </row>
    <row r="79" spans="1:38" x14ac:dyDescent="0.35">
      <c r="A79" s="7">
        <v>43101</v>
      </c>
      <c r="B79" s="7">
        <v>43190</v>
      </c>
      <c r="C79" t="s">
        <v>128</v>
      </c>
      <c r="D79" t="s">
        <v>125</v>
      </c>
      <c r="E79" s="4" t="s">
        <v>74</v>
      </c>
      <c r="F79" s="3">
        <v>4.1290655936053605E-2</v>
      </c>
      <c r="G79" s="3">
        <v>4.0415482453008578E-2</v>
      </c>
      <c r="H79" s="3">
        <v>4.4192327521774252E-2</v>
      </c>
      <c r="I79" s="3">
        <v>4.2167024517393376E-2</v>
      </c>
      <c r="J79" s="3">
        <v>4.5298200600403266E-2</v>
      </c>
      <c r="K79" s="3">
        <v>4.5669033421348502E-2</v>
      </c>
      <c r="L79" s="3">
        <v>4.7106092157626928E-2</v>
      </c>
      <c r="M79" s="3">
        <v>4.6545130551937472E-2</v>
      </c>
      <c r="N79" s="3">
        <v>5.0578105083387996E-2</v>
      </c>
      <c r="O79" s="3">
        <v>4.7041206075774278E-2</v>
      </c>
      <c r="P79" s="3">
        <v>5.327222274277485E-2</v>
      </c>
      <c r="Q79" s="3">
        <v>4.8288973979576766E-2</v>
      </c>
      <c r="R79" s="3">
        <v>5.5609713962831181E-2</v>
      </c>
      <c r="S79" s="3">
        <v>5.0423367860062088E-2</v>
      </c>
      <c r="T79" s="3">
        <v>5.6900284765182829E-2</v>
      </c>
      <c r="U79" s="3">
        <v>5.3116043510631934E-2</v>
      </c>
      <c r="V79" s="3">
        <v>5.9186005067337316E-2</v>
      </c>
      <c r="W79" s="3">
        <v>5.4200134180994543E-2</v>
      </c>
      <c r="X79" s="3">
        <v>6.2472847689605308E-2</v>
      </c>
      <c r="Y79" s="3">
        <v>5.6598365149331156E-2</v>
      </c>
      <c r="Z79" s="3">
        <v>6.6011640450528097E-2</v>
      </c>
      <c r="AA79" s="3">
        <v>6.7220768312793527E-2</v>
      </c>
      <c r="AB79" s="3">
        <v>7.2295568211983768E-2</v>
      </c>
      <c r="AC79" s="3">
        <v>7.5817523142215126E-2</v>
      </c>
      <c r="AD79" s="3">
        <v>7.7934228027242786E-2</v>
      </c>
      <c r="AE79" s="3">
        <v>8.574256969342442E-2</v>
      </c>
      <c r="AF79" s="3">
        <v>8.8746419203997562E-2</v>
      </c>
      <c r="AG79" s="3">
        <v>8.7804327105100027E-2</v>
      </c>
      <c r="AH79" s="3">
        <v>0.10140355033089107</v>
      </c>
      <c r="AI79" s="3">
        <v>9.1092727841256105E-2</v>
      </c>
      <c r="AJ79" s="3">
        <v>0.12222033076272837</v>
      </c>
      <c r="AK79" s="3">
        <v>0.15606721062121739</v>
      </c>
      <c r="AL79" s="3">
        <v>0.12342501005957787</v>
      </c>
    </row>
    <row r="80" spans="1:38" x14ac:dyDescent="0.35">
      <c r="A80" s="7">
        <v>43101</v>
      </c>
      <c r="B80" s="7">
        <v>43190</v>
      </c>
      <c r="C80" t="s">
        <v>128</v>
      </c>
      <c r="D80" t="s">
        <v>125</v>
      </c>
      <c r="E80" s="4">
        <v>7</v>
      </c>
      <c r="F80" s="3">
        <v>4.2278276553716285E-2</v>
      </c>
      <c r="G80" s="3">
        <v>4.1329177705657583E-2</v>
      </c>
      <c r="H80" s="3">
        <v>4.5099318153345835E-2</v>
      </c>
      <c r="I80" s="3">
        <v>4.3083811526251507E-2</v>
      </c>
      <c r="J80" s="3">
        <v>4.6213419842575459E-2</v>
      </c>
      <c r="K80" s="3">
        <v>4.6583800859561021E-2</v>
      </c>
      <c r="L80" s="3">
        <v>4.8092812186156277E-2</v>
      </c>
      <c r="M80" s="3">
        <v>4.7540381363158704E-2</v>
      </c>
      <c r="N80" s="3">
        <v>5.1541323345427749E-2</v>
      </c>
      <c r="O80" s="3">
        <v>4.7991421638006952E-2</v>
      </c>
      <c r="P80" s="3">
        <v>5.4236981442763746E-2</v>
      </c>
      <c r="Q80" s="3">
        <v>4.9234541478731422E-2</v>
      </c>
      <c r="R80" s="3">
        <v>5.6559390111168402E-2</v>
      </c>
      <c r="S80" s="3">
        <v>5.1346904198118624E-2</v>
      </c>
      <c r="T80" s="3">
        <v>5.7816080504292426E-2</v>
      </c>
      <c r="U80" s="3">
        <v>5.4027736685895597E-2</v>
      </c>
      <c r="V80" s="3">
        <v>6.0124858987900855E-2</v>
      </c>
      <c r="W80" s="3">
        <v>5.5144763825180403E-2</v>
      </c>
      <c r="X80" s="3">
        <v>6.3388336794213074E-2</v>
      </c>
      <c r="Y80" s="3">
        <v>5.7591257052729682E-2</v>
      </c>
      <c r="Z80" s="3">
        <v>6.69770163473562E-2</v>
      </c>
      <c r="AA80" s="3">
        <v>6.8209543585266666E-2</v>
      </c>
      <c r="AB80" s="3">
        <v>7.3258125568611832E-2</v>
      </c>
      <c r="AC80" s="3">
        <v>7.6742287354191974E-2</v>
      </c>
      <c r="AD80" s="3">
        <v>7.8887157903794747E-2</v>
      </c>
      <c r="AE80" s="3">
        <v>8.6662762776687496E-2</v>
      </c>
      <c r="AF80" s="3">
        <v>8.971281396445252E-2</v>
      </c>
      <c r="AG80" s="3">
        <v>8.8782994599508808E-2</v>
      </c>
      <c r="AH80" s="3">
        <v>0.10238231580665266</v>
      </c>
      <c r="AI80" s="3">
        <v>9.2077913935211586E-2</v>
      </c>
      <c r="AJ80" s="3">
        <v>0.12320598351307099</v>
      </c>
      <c r="AK80" s="3">
        <v>0.15697013151438968</v>
      </c>
      <c r="AL80" s="3">
        <v>0.12438501633574686</v>
      </c>
    </row>
    <row r="81" spans="1:38" x14ac:dyDescent="0.35">
      <c r="A81" s="7">
        <v>43101</v>
      </c>
      <c r="B81" s="7">
        <v>43190</v>
      </c>
      <c r="C81" t="s">
        <v>128</v>
      </c>
      <c r="D81" t="s">
        <v>125</v>
      </c>
      <c r="E81" s="4" t="s">
        <v>75</v>
      </c>
      <c r="F81" s="3">
        <v>4.3182488272635211E-2</v>
      </c>
      <c r="G81" s="3">
        <v>4.2301753966505144E-2</v>
      </c>
      <c r="H81" s="3">
        <v>4.6026838639232931E-2</v>
      </c>
      <c r="I81" s="3">
        <v>4.4067557852125031E-2</v>
      </c>
      <c r="J81" s="3">
        <v>4.7201709327723482E-2</v>
      </c>
      <c r="K81" s="3">
        <v>4.7550622839863749E-2</v>
      </c>
      <c r="L81" s="3">
        <v>4.906601460175096E-2</v>
      </c>
      <c r="M81" s="3">
        <v>4.8515759061131508E-2</v>
      </c>
      <c r="N81" s="3">
        <v>5.2527017636710617E-2</v>
      </c>
      <c r="O81" s="3">
        <v>4.8956748998221201E-2</v>
      </c>
      <c r="P81" s="3">
        <v>5.5147315452805594E-2</v>
      </c>
      <c r="Q81" s="3">
        <v>5.0200116122030652E-2</v>
      </c>
      <c r="R81" s="3">
        <v>5.7524190394425523E-2</v>
      </c>
      <c r="S81" s="3">
        <v>5.2342902962852919E-2</v>
      </c>
      <c r="T81" s="3">
        <v>5.8756386656798408E-2</v>
      </c>
      <c r="U81" s="3">
        <v>5.5005559472231805E-2</v>
      </c>
      <c r="V81" s="3">
        <v>6.1047358524636865E-2</v>
      </c>
      <c r="W81" s="3">
        <v>5.6140598489951503E-2</v>
      </c>
      <c r="X81" s="3">
        <v>6.4328808699077422E-2</v>
      </c>
      <c r="Y81" s="3">
        <v>5.8560360891625425E-2</v>
      </c>
      <c r="Z81" s="3">
        <v>6.7974746221220003E-2</v>
      </c>
      <c r="AA81" s="3">
        <v>6.9143034001964809E-2</v>
      </c>
      <c r="AB81" s="3">
        <v>7.4196010653543365E-2</v>
      </c>
      <c r="AC81" s="3">
        <v>7.7649617469505106E-2</v>
      </c>
      <c r="AD81" s="3">
        <v>7.9819400436061255E-2</v>
      </c>
      <c r="AE81" s="3">
        <v>8.7639145127280965E-2</v>
      </c>
      <c r="AF81" s="3">
        <v>9.0675499657925512E-2</v>
      </c>
      <c r="AG81" s="3">
        <v>8.9723641932776488E-2</v>
      </c>
      <c r="AH81" s="3">
        <v>0.10331303051295471</v>
      </c>
      <c r="AI81" s="3">
        <v>9.3039773112474744E-2</v>
      </c>
      <c r="AJ81" s="3">
        <v>0.12416032095937948</v>
      </c>
      <c r="AK81" s="3">
        <v>0.15792404775594543</v>
      </c>
      <c r="AL81" s="3">
        <v>0.12532571407201984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0DBC-61FD-4AC7-A877-EF2456F30552}">
  <dimension ref="A1"/>
  <sheetViews>
    <sheetView topLeftCell="AC1"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1D9E-1E04-4A7A-96C3-2CCFB875498C}">
  <dimension ref="A1"/>
  <sheetViews>
    <sheetView workbookViewId="0">
      <selection activeCell="I15" sqref="I15"/>
    </sheetView>
  </sheetViews>
  <sheetFormatPr baseColWidth="10"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B52A-E92F-4863-88CA-A857170A8CE2}">
  <sheetPr>
    <tabColor theme="4"/>
  </sheetPr>
  <dimension ref="A1:AJ119"/>
  <sheetViews>
    <sheetView zoomScale="70" zoomScaleNormal="70" workbookViewId="0">
      <selection activeCell="M29" sqref="M29"/>
    </sheetView>
  </sheetViews>
  <sheetFormatPr baseColWidth="10" defaultRowHeight="14.5" x14ac:dyDescent="0.35"/>
  <cols>
    <col min="1" max="1" width="16.453125" bestFit="1" customWidth="1"/>
    <col min="35" max="36" width="12.26953125" bestFit="1" customWidth="1"/>
  </cols>
  <sheetData>
    <row r="1" spans="1:36" x14ac:dyDescent="0.35">
      <c r="A1" t="s">
        <v>107</v>
      </c>
    </row>
    <row r="2" spans="1:36" x14ac:dyDescent="0.35">
      <c r="A2" t="s">
        <v>108</v>
      </c>
    </row>
    <row r="3" spans="1:36" x14ac:dyDescent="0.35">
      <c r="C3">
        <v>8.9999999999999998E-4</v>
      </c>
      <c r="D3">
        <v>1E-3</v>
      </c>
      <c r="E3">
        <v>3.0000000000000001E-3</v>
      </c>
      <c r="F3">
        <v>5.0000000000000001E-3</v>
      </c>
      <c r="G3">
        <v>7.0000000000000001E-3</v>
      </c>
      <c r="H3">
        <v>8.9999999999999993E-3</v>
      </c>
      <c r="I3">
        <v>1.0999999999999999E-2</v>
      </c>
      <c r="J3">
        <v>1.2999999999999999E-2</v>
      </c>
      <c r="K3">
        <v>1.4999999999999999E-2</v>
      </c>
      <c r="L3">
        <v>1.7000000000000001E-2</v>
      </c>
      <c r="M3">
        <v>1.9E-2</v>
      </c>
      <c r="N3">
        <v>2.1000000000000001E-2</v>
      </c>
      <c r="O3">
        <v>2.3E-2</v>
      </c>
      <c r="P3">
        <v>2.5000000000000001E-2</v>
      </c>
      <c r="Q3">
        <v>2.7E-2</v>
      </c>
      <c r="R3">
        <v>2.9000000000000001E-2</v>
      </c>
      <c r="S3">
        <v>3.1E-2</v>
      </c>
      <c r="T3">
        <v>3.3000000000000002E-2</v>
      </c>
      <c r="U3">
        <v>3.5000000000000003E-2</v>
      </c>
      <c r="V3">
        <v>3.6999999999999998E-2</v>
      </c>
      <c r="W3">
        <v>3.9E-2</v>
      </c>
      <c r="X3">
        <f>$W$3-$S$3+$W$3</f>
        <v>4.7E-2</v>
      </c>
      <c r="Y3">
        <f t="shared" ref="Y3:AG3" si="0">$W$3-$S$3+X3</f>
        <v>5.5E-2</v>
      </c>
      <c r="Z3">
        <f t="shared" si="0"/>
        <v>6.3E-2</v>
      </c>
      <c r="AA3">
        <f t="shared" si="0"/>
        <v>7.1000000000000008E-2</v>
      </c>
      <c r="AB3">
        <f t="shared" si="0"/>
        <v>7.9000000000000015E-2</v>
      </c>
      <c r="AC3">
        <f t="shared" si="0"/>
        <v>8.7000000000000022E-2</v>
      </c>
      <c r="AD3">
        <f t="shared" si="0"/>
        <v>9.5000000000000029E-2</v>
      </c>
      <c r="AE3">
        <f t="shared" si="0"/>
        <v>0.10300000000000004</v>
      </c>
      <c r="AF3">
        <f t="shared" si="0"/>
        <v>0.11100000000000004</v>
      </c>
      <c r="AG3">
        <f t="shared" si="0"/>
        <v>0.11900000000000005</v>
      </c>
      <c r="AH3">
        <f>AG3+($AG$3-$AB$3)</f>
        <v>0.15900000000000009</v>
      </c>
      <c r="AI3">
        <f t="shared" ref="AI3:AJ3" si="1">AH3+($AG$3-$AB$3)</f>
        <v>0.19900000000000012</v>
      </c>
      <c r="AJ3">
        <f t="shared" si="1"/>
        <v>0.23900000000000016</v>
      </c>
    </row>
    <row r="4" spans="1:36" x14ac:dyDescent="0.35">
      <c r="A4" t="s">
        <v>109</v>
      </c>
      <c r="D4">
        <v>3</v>
      </c>
      <c r="E4">
        <v>6</v>
      </c>
      <c r="F4">
        <v>9</v>
      </c>
      <c r="G4">
        <v>12</v>
      </c>
      <c r="H4">
        <v>15</v>
      </c>
      <c r="I4">
        <v>18</v>
      </c>
      <c r="J4">
        <v>21</v>
      </c>
      <c r="K4">
        <v>24</v>
      </c>
      <c r="L4">
        <v>27</v>
      </c>
      <c r="M4">
        <v>30</v>
      </c>
      <c r="N4">
        <v>33</v>
      </c>
      <c r="O4">
        <v>36</v>
      </c>
      <c r="P4">
        <v>39</v>
      </c>
      <c r="Q4">
        <v>42</v>
      </c>
      <c r="R4">
        <v>45</v>
      </c>
      <c r="S4">
        <v>48</v>
      </c>
      <c r="T4">
        <v>51</v>
      </c>
      <c r="U4">
        <v>54</v>
      </c>
      <c r="V4">
        <v>57</v>
      </c>
      <c r="W4">
        <v>60</v>
      </c>
      <c r="X4">
        <v>72</v>
      </c>
      <c r="Y4">
        <v>84</v>
      </c>
      <c r="Z4">
        <v>96</v>
      </c>
      <c r="AA4">
        <v>108</v>
      </c>
      <c r="AB4">
        <v>120</v>
      </c>
      <c r="AC4">
        <v>132</v>
      </c>
      <c r="AD4">
        <v>144</v>
      </c>
      <c r="AE4">
        <v>156</v>
      </c>
      <c r="AF4">
        <v>168</v>
      </c>
      <c r="AG4">
        <v>180</v>
      </c>
      <c r="AH4">
        <v>240</v>
      </c>
      <c r="AI4">
        <v>300</v>
      </c>
      <c r="AJ4">
        <v>360</v>
      </c>
    </row>
    <row r="5" spans="1:36" x14ac:dyDescent="0.3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38</v>
      </c>
      <c r="O5" s="2" t="s">
        <v>39</v>
      </c>
      <c r="P5" s="2" t="s">
        <v>40</v>
      </c>
      <c r="Q5" s="2" t="s">
        <v>41</v>
      </c>
      <c r="R5" s="2" t="s">
        <v>42</v>
      </c>
      <c r="S5" s="2" t="s">
        <v>43</v>
      </c>
      <c r="T5" s="2" t="s">
        <v>44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51</v>
      </c>
      <c r="AB5" s="2" t="s">
        <v>52</v>
      </c>
      <c r="AC5" s="2" t="s">
        <v>53</v>
      </c>
      <c r="AD5" s="2" t="s">
        <v>54</v>
      </c>
      <c r="AE5" s="2" t="s">
        <v>55</v>
      </c>
      <c r="AF5" s="2" t="s">
        <v>56</v>
      </c>
      <c r="AG5" s="2" t="s">
        <v>57</v>
      </c>
      <c r="AH5" s="2" t="s">
        <v>58</v>
      </c>
      <c r="AI5" s="2" t="s">
        <v>59</v>
      </c>
      <c r="AJ5" s="2" t="s">
        <v>60</v>
      </c>
    </row>
    <row r="6" spans="1:36" x14ac:dyDescent="0.35">
      <c r="A6" t="s">
        <v>63</v>
      </c>
      <c r="B6" t="s">
        <v>76</v>
      </c>
      <c r="C6" s="4">
        <v>1</v>
      </c>
      <c r="D6" s="3">
        <f ca="1">RAND()*(D$3-C$3)+C$3</f>
        <v>9.7079696268760434E-4</v>
      </c>
      <c r="E6" s="3">
        <f ca="1">RAND()*(E$3-D$3)+D$3-D6</f>
        <v>5.6906603050904984E-4</v>
      </c>
      <c r="F6" s="3">
        <f t="shared" ref="F6:AJ6" ca="1" si="2">RAND()*(F$3-E$3)+E$3-E6</f>
        <v>3.1215214995948004E-3</v>
      </c>
      <c r="G6" s="3">
        <f t="shared" ca="1" si="2"/>
        <v>2.2932758302096801E-3</v>
      </c>
      <c r="H6" s="3">
        <f t="shared" ca="1" si="2"/>
        <v>6.6388033787045386E-3</v>
      </c>
      <c r="I6" s="3">
        <f t="shared" ca="1" si="2"/>
        <v>3.4187236416048424E-3</v>
      </c>
      <c r="J6" s="3">
        <f t="shared" ca="1" si="2"/>
        <v>8.4372897670648081E-3</v>
      </c>
      <c r="K6" s="3">
        <f t="shared" ca="1" si="2"/>
        <v>5.60479264892331E-3</v>
      </c>
      <c r="L6" s="3">
        <f t="shared" ca="1" si="2"/>
        <v>1.0562939556702797E-2</v>
      </c>
      <c r="M6" s="3">
        <f t="shared" ca="1" si="2"/>
        <v>6.7295108429775517E-3</v>
      </c>
      <c r="N6" s="3">
        <f t="shared" ca="1" si="2"/>
        <v>1.3083641457633197E-2</v>
      </c>
      <c r="O6" s="3">
        <f t="shared" ca="1" si="2"/>
        <v>9.3714496190405259E-3</v>
      </c>
      <c r="P6" s="3">
        <f t="shared" ca="1" si="2"/>
        <v>1.3998260665686124E-2</v>
      </c>
      <c r="Q6" s="3">
        <f t="shared" ca="1" si="2"/>
        <v>1.1318788149466118E-2</v>
      </c>
      <c r="R6" s="3">
        <f t="shared" ca="1" si="2"/>
        <v>1.5796118680641229E-2</v>
      </c>
      <c r="S6" s="3">
        <f t="shared" ca="1" si="2"/>
        <v>1.3624021436794038E-2</v>
      </c>
      <c r="T6" s="3">
        <f t="shared" ca="1" si="2"/>
        <v>1.7683665660623911E-2</v>
      </c>
      <c r="U6" s="3">
        <f t="shared" ca="1" si="2"/>
        <v>1.6730767205372289E-2</v>
      </c>
      <c r="V6" s="3">
        <f t="shared" ca="1" si="2"/>
        <v>1.8270831647034781E-2</v>
      </c>
      <c r="W6" s="3">
        <f t="shared" ca="1" si="2"/>
        <v>1.9103070506232174E-2</v>
      </c>
      <c r="X6" s="3">
        <f t="shared" ca="1" si="2"/>
        <v>2.3690411886367974E-2</v>
      </c>
      <c r="Y6" s="3">
        <f t="shared" ca="1" si="2"/>
        <v>2.555390999535307E-2</v>
      </c>
      <c r="Z6" s="3">
        <f t="shared" ca="1" si="2"/>
        <v>3.287935842019947E-2</v>
      </c>
      <c r="AA6" s="3">
        <f t="shared" ca="1" si="2"/>
        <v>3.6237765728436344E-2</v>
      </c>
      <c r="AB6" s="3">
        <f t="shared" ca="1" si="2"/>
        <v>3.6697676649161709E-2</v>
      </c>
      <c r="AC6" s="3">
        <f t="shared" ca="1" si="2"/>
        <v>4.3366275859263406E-2</v>
      </c>
      <c r="AD6" s="3">
        <f t="shared" ca="1" si="2"/>
        <v>4.9869002402212634E-2</v>
      </c>
      <c r="AE6" s="3">
        <f t="shared" ca="1" si="2"/>
        <v>4.5835099773856122E-2</v>
      </c>
      <c r="AF6" s="3">
        <f t="shared" ca="1" si="2"/>
        <v>6.139165782229801E-2</v>
      </c>
      <c r="AG6" s="3">
        <f t="shared" ca="1" si="2"/>
        <v>5.7332463289560001E-2</v>
      </c>
      <c r="AH6" s="3">
        <f t="shared" ca="1" si="2"/>
        <v>9.4340240325817573E-2</v>
      </c>
      <c r="AI6" s="3">
        <f t="shared" ca="1" si="2"/>
        <v>7.0781168519010604E-2</v>
      </c>
      <c r="AJ6" s="3">
        <f t="shared" ca="1" si="2"/>
        <v>0.15266365671004434</v>
      </c>
    </row>
    <row r="7" spans="1:36" x14ac:dyDescent="0.35">
      <c r="A7" t="s">
        <v>63</v>
      </c>
      <c r="B7" t="s">
        <v>76</v>
      </c>
      <c r="C7" s="4" t="s">
        <v>64</v>
      </c>
      <c r="D7" s="3">
        <f ca="1">D6+RAND()*($D$3-$C$3)+$C$3</f>
        <v>1.9384593379258642E-3</v>
      </c>
      <c r="E7" s="3">
        <f t="shared" ref="E7:AJ14" ca="1" si="3">E6+RAND()*($D$3-$C$3)+$C$3</f>
        <v>1.4807373623102753E-3</v>
      </c>
      <c r="F7" s="3">
        <f t="shared" ca="1" si="3"/>
        <v>4.0578600405059345E-3</v>
      </c>
      <c r="G7" s="3">
        <f t="shared" ca="1" si="3"/>
        <v>3.2354742186098372E-3</v>
      </c>
      <c r="H7" s="3">
        <f t="shared" ca="1" si="3"/>
        <v>7.5601048732201123E-3</v>
      </c>
      <c r="I7" s="3">
        <f t="shared" ca="1" si="3"/>
        <v>4.3496928258317351E-3</v>
      </c>
      <c r="J7" s="3">
        <f t="shared" ca="1" si="3"/>
        <v>9.368869380813806E-3</v>
      </c>
      <c r="K7" s="3">
        <f t="shared" ca="1" si="3"/>
        <v>6.5057938319108884E-3</v>
      </c>
      <c r="L7" s="3">
        <f t="shared" ca="1" si="3"/>
        <v>1.1533731775278416E-2</v>
      </c>
      <c r="M7" s="3">
        <f t="shared" ca="1" si="3"/>
        <v>7.7039464028803685E-3</v>
      </c>
      <c r="N7" s="3">
        <f t="shared" ca="1" si="3"/>
        <v>1.3998045558863704E-2</v>
      </c>
      <c r="O7" s="3">
        <f t="shared" ca="1" si="3"/>
        <v>1.0319499482248274E-2</v>
      </c>
      <c r="P7" s="3">
        <f t="shared" ca="1" si="3"/>
        <v>1.4900513361676648E-2</v>
      </c>
      <c r="Q7" s="3">
        <f t="shared" ca="1" si="3"/>
        <v>1.2293840655751878E-2</v>
      </c>
      <c r="R7" s="3">
        <f t="shared" ca="1" si="3"/>
        <v>1.6773413117536998E-2</v>
      </c>
      <c r="S7" s="3">
        <f t="shared" ca="1" si="3"/>
        <v>1.4587949221233614E-2</v>
      </c>
      <c r="T7" s="3">
        <f t="shared" ca="1" si="3"/>
        <v>1.8614214425005392E-2</v>
      </c>
      <c r="U7" s="3">
        <f t="shared" ca="1" si="3"/>
        <v>1.767873718928422E-2</v>
      </c>
      <c r="V7" s="3">
        <f t="shared" ca="1" si="3"/>
        <v>1.9200750885015883E-2</v>
      </c>
      <c r="W7" s="3">
        <f t="shared" ca="1" si="3"/>
        <v>2.0011378944985836E-2</v>
      </c>
      <c r="X7" s="3">
        <f t="shared" ca="1" si="3"/>
        <v>2.462637287800442E-2</v>
      </c>
      <c r="Y7" s="3">
        <f t="shared" ca="1" si="3"/>
        <v>2.6536905966197167E-2</v>
      </c>
      <c r="Z7" s="3">
        <f t="shared" ca="1" si="3"/>
        <v>3.3863018343289801E-2</v>
      </c>
      <c r="AA7" s="3">
        <f t="shared" ca="1" si="3"/>
        <v>3.7163404257570525E-2</v>
      </c>
      <c r="AB7" s="3">
        <f t="shared" ca="1" si="3"/>
        <v>3.7609863437189542E-2</v>
      </c>
      <c r="AC7" s="3">
        <f t="shared" ca="1" si="3"/>
        <v>4.4343236775646784E-2</v>
      </c>
      <c r="AD7" s="3">
        <f t="shared" ca="1" si="3"/>
        <v>5.0844269055930355E-2</v>
      </c>
      <c r="AE7" s="3">
        <f t="shared" ca="1" si="3"/>
        <v>4.6801946744002836E-2</v>
      </c>
      <c r="AF7" s="3">
        <f t="shared" ca="1" si="3"/>
        <v>6.2333380176231724E-2</v>
      </c>
      <c r="AG7" s="3">
        <f t="shared" ca="1" si="3"/>
        <v>5.8293849091046353E-2</v>
      </c>
      <c r="AH7" s="3">
        <f t="shared" ca="1" si="3"/>
        <v>9.5262713522624359E-2</v>
      </c>
      <c r="AI7" s="3">
        <f t="shared" ca="1" si="3"/>
        <v>7.1737530171032182E-2</v>
      </c>
      <c r="AJ7" s="3">
        <f t="shared" ca="1" si="3"/>
        <v>0.15356743211738025</v>
      </c>
    </row>
    <row r="8" spans="1:36" x14ac:dyDescent="0.35">
      <c r="A8" t="s">
        <v>63</v>
      </c>
      <c r="B8" t="s">
        <v>76</v>
      </c>
      <c r="C8" s="4">
        <v>2</v>
      </c>
      <c r="D8" s="3">
        <f t="shared" ref="D8:D24" ca="1" si="4">D7+RAND()*($D$3-$C$3)+$C$3</f>
        <v>2.9228797801682735E-3</v>
      </c>
      <c r="E8" s="3">
        <f t="shared" ca="1" si="3"/>
        <v>2.3829556671498752E-3</v>
      </c>
      <c r="F8" s="3">
        <f t="shared" ca="1" si="3"/>
        <v>5.0186621216086304E-3</v>
      </c>
      <c r="G8" s="3">
        <f t="shared" ca="1" si="3"/>
        <v>4.1526665779722371E-3</v>
      </c>
      <c r="H8" s="3">
        <f t="shared" ca="1" si="3"/>
        <v>8.4799430690968847E-3</v>
      </c>
      <c r="I8" s="3">
        <f t="shared" ca="1" si="3"/>
        <v>5.3240730137960037E-3</v>
      </c>
      <c r="J8" s="3">
        <f t="shared" ca="1" si="3"/>
        <v>1.0355998601632046E-2</v>
      </c>
      <c r="K8" s="3">
        <f t="shared" ca="1" si="3"/>
        <v>7.4175861783362142E-3</v>
      </c>
      <c r="L8" s="3">
        <f t="shared" ca="1" si="3"/>
        <v>1.2439573820187375E-2</v>
      </c>
      <c r="M8" s="3">
        <f t="shared" ca="1" si="3"/>
        <v>8.6273402328927162E-3</v>
      </c>
      <c r="N8" s="3">
        <f t="shared" ca="1" si="3"/>
        <v>1.4932006874559124E-2</v>
      </c>
      <c r="O8" s="3">
        <f t="shared" ca="1" si="3"/>
        <v>1.1264004365093037E-2</v>
      </c>
      <c r="P8" s="3">
        <f t="shared" ca="1" si="3"/>
        <v>1.5818215378177992E-2</v>
      </c>
      <c r="Q8" s="3">
        <f t="shared" ca="1" si="3"/>
        <v>1.3273989002571341E-2</v>
      </c>
      <c r="R8" s="3">
        <f t="shared" ca="1" si="3"/>
        <v>1.7692704390182779E-2</v>
      </c>
      <c r="S8" s="3">
        <f t="shared" ca="1" si="3"/>
        <v>1.5548346558081448E-2</v>
      </c>
      <c r="T8" s="3">
        <f t="shared" ca="1" si="3"/>
        <v>1.9528487849154518E-2</v>
      </c>
      <c r="U8" s="3">
        <f t="shared" ca="1" si="3"/>
        <v>1.8587883536819765E-2</v>
      </c>
      <c r="V8" s="3">
        <f t="shared" ca="1" si="3"/>
        <v>2.0169494869658793E-2</v>
      </c>
      <c r="W8" s="3">
        <f t="shared" ca="1" si="3"/>
        <v>2.0937610965666566E-2</v>
      </c>
      <c r="X8" s="3">
        <f t="shared" ca="1" si="3"/>
        <v>2.5532719612774507E-2</v>
      </c>
      <c r="Y8" s="3">
        <f t="shared" ca="1" si="3"/>
        <v>2.7504210216960912E-2</v>
      </c>
      <c r="Z8" s="3">
        <f t="shared" ca="1" si="3"/>
        <v>3.4763635083073403E-2</v>
      </c>
      <c r="AA8" s="3">
        <f t="shared" ca="1" si="3"/>
        <v>3.8153464053501701E-2</v>
      </c>
      <c r="AB8" s="3">
        <f t="shared" ca="1" si="3"/>
        <v>3.8566450079826405E-2</v>
      </c>
      <c r="AC8" s="3">
        <f t="shared" ca="1" si="3"/>
        <v>4.5337382464555522E-2</v>
      </c>
      <c r="AD8" s="3">
        <f t="shared" ca="1" si="3"/>
        <v>5.1832197191042852E-2</v>
      </c>
      <c r="AE8" s="3">
        <f t="shared" ca="1" si="3"/>
        <v>4.777184568105293E-2</v>
      </c>
      <c r="AF8" s="3">
        <f t="shared" ca="1" si="3"/>
        <v>6.323778952282387E-2</v>
      </c>
      <c r="AG8" s="3">
        <f t="shared" ca="1" si="3"/>
        <v>5.9255274105109224E-2</v>
      </c>
      <c r="AH8" s="3">
        <f t="shared" ca="1" si="3"/>
        <v>9.6207471222166316E-2</v>
      </c>
      <c r="AI8" s="3">
        <f t="shared" ca="1" si="3"/>
        <v>7.2682930335280588E-2</v>
      </c>
      <c r="AJ8" s="3">
        <f t="shared" ca="1" si="3"/>
        <v>0.15455452445282455</v>
      </c>
    </row>
    <row r="9" spans="1:36" x14ac:dyDescent="0.35">
      <c r="A9" t="s">
        <v>63</v>
      </c>
      <c r="B9" t="s">
        <v>76</v>
      </c>
      <c r="C9" s="4" t="s">
        <v>65</v>
      </c>
      <c r="D9" s="3">
        <f t="shared" ca="1" si="4"/>
        <v>3.8250315221995696E-3</v>
      </c>
      <c r="E9" s="3">
        <f t="shared" ca="1" si="3"/>
        <v>3.3049942950616404E-3</v>
      </c>
      <c r="F9" s="3">
        <f t="shared" ca="1" si="3"/>
        <v>5.9755210946197956E-3</v>
      </c>
      <c r="G9" s="3">
        <f t="shared" ca="1" si="3"/>
        <v>5.0701663459843593E-3</v>
      </c>
      <c r="H9" s="3">
        <f t="shared" ca="1" si="3"/>
        <v>9.4375970256437031E-3</v>
      </c>
      <c r="I9" s="3">
        <f t="shared" ca="1" si="3"/>
        <v>6.2826480248584357E-3</v>
      </c>
      <c r="J9" s="3">
        <f t="shared" ca="1" si="3"/>
        <v>1.1265827930688458E-2</v>
      </c>
      <c r="K9" s="3">
        <f t="shared" ca="1" si="3"/>
        <v>8.3327192114485867E-3</v>
      </c>
      <c r="L9" s="3">
        <f t="shared" ca="1" si="3"/>
        <v>1.3353248808133459E-2</v>
      </c>
      <c r="M9" s="3">
        <f t="shared" ca="1" si="3"/>
        <v>9.5353783753038424E-3</v>
      </c>
      <c r="N9" s="3">
        <f t="shared" ca="1" si="3"/>
        <v>1.5906133682767297E-2</v>
      </c>
      <c r="O9" s="3">
        <f t="shared" ca="1" si="3"/>
        <v>1.2195156661598133E-2</v>
      </c>
      <c r="P9" s="3">
        <f t="shared" ca="1" si="3"/>
        <v>1.6751084547672688E-2</v>
      </c>
      <c r="Q9" s="3">
        <f t="shared" ca="1" si="3"/>
        <v>1.4234404075577713E-2</v>
      </c>
      <c r="R9" s="3">
        <f t="shared" ca="1" si="3"/>
        <v>1.8660482826014117E-2</v>
      </c>
      <c r="S9" s="3">
        <f t="shared" ca="1" si="3"/>
        <v>1.6527189296960051E-2</v>
      </c>
      <c r="T9" s="3">
        <f t="shared" ca="1" si="3"/>
        <v>2.0521378867798593E-2</v>
      </c>
      <c r="U9" s="3">
        <f t="shared" ca="1" si="3"/>
        <v>1.9526191654737179E-2</v>
      </c>
      <c r="V9" s="3">
        <f t="shared" ca="1" si="3"/>
        <v>2.1131711029112731E-2</v>
      </c>
      <c r="W9" s="3">
        <f t="shared" ca="1" si="3"/>
        <v>2.1890007075341417E-2</v>
      </c>
      <c r="X9" s="3">
        <f t="shared" ca="1" si="3"/>
        <v>2.651100197950066E-2</v>
      </c>
      <c r="Y9" s="3">
        <f t="shared" ca="1" si="3"/>
        <v>2.8438208514034453E-2</v>
      </c>
      <c r="Z9" s="3">
        <f t="shared" ca="1" si="3"/>
        <v>3.5751075234411872E-2</v>
      </c>
      <c r="AA9" s="3">
        <f t="shared" ca="1" si="3"/>
        <v>3.9146579712575763E-2</v>
      </c>
      <c r="AB9" s="3">
        <f t="shared" ca="1" si="3"/>
        <v>3.9561150086960685E-2</v>
      </c>
      <c r="AC9" s="3">
        <f t="shared" ca="1" si="3"/>
        <v>4.6266633864557809E-2</v>
      </c>
      <c r="AD9" s="3">
        <f t="shared" ca="1" si="3"/>
        <v>5.2737083050976415E-2</v>
      </c>
      <c r="AE9" s="3">
        <f t="shared" ca="1" si="3"/>
        <v>4.8705399334886532E-2</v>
      </c>
      <c r="AF9" s="3">
        <f t="shared" ca="1" si="3"/>
        <v>6.419692561024351E-2</v>
      </c>
      <c r="AG9" s="3">
        <f t="shared" ca="1" si="3"/>
        <v>6.0179198484795096E-2</v>
      </c>
      <c r="AH9" s="3">
        <f t="shared" ca="1" si="3"/>
        <v>9.7166042156176788E-2</v>
      </c>
      <c r="AI9" s="3">
        <f t="shared" ca="1" si="3"/>
        <v>7.3611669550506895E-2</v>
      </c>
      <c r="AJ9" s="3">
        <f t="shared" ca="1" si="3"/>
        <v>0.15548949377065216</v>
      </c>
    </row>
    <row r="10" spans="1:36" x14ac:dyDescent="0.35">
      <c r="A10" t="s">
        <v>63</v>
      </c>
      <c r="B10" t="s">
        <v>76</v>
      </c>
      <c r="C10" s="4" t="s">
        <v>66</v>
      </c>
      <c r="D10" s="3">
        <f t="shared" ca="1" si="4"/>
        <v>4.7692836700699718E-3</v>
      </c>
      <c r="E10" s="3">
        <f t="shared" ca="1" si="3"/>
        <v>4.2058747631128802E-3</v>
      </c>
      <c r="F10" s="3">
        <f t="shared" ca="1" si="3"/>
        <v>6.926069553340632E-3</v>
      </c>
      <c r="G10" s="3">
        <f t="shared" ca="1" si="3"/>
        <v>6.0358929821895555E-3</v>
      </c>
      <c r="H10" s="3">
        <f t="shared" ca="1" si="3"/>
        <v>1.0393749810391446E-2</v>
      </c>
      <c r="I10" s="3">
        <f t="shared" ca="1" si="3"/>
        <v>7.2203665764843878E-3</v>
      </c>
      <c r="J10" s="3">
        <f t="shared" ca="1" si="3"/>
        <v>1.2259524582664895E-2</v>
      </c>
      <c r="K10" s="3">
        <f t="shared" ca="1" si="3"/>
        <v>9.3170388323385398E-3</v>
      </c>
      <c r="L10" s="3">
        <f t="shared" ca="1" si="3"/>
        <v>1.4329657663037789E-2</v>
      </c>
      <c r="M10" s="3">
        <f t="shared" ca="1" si="3"/>
        <v>1.0521997300802203E-2</v>
      </c>
      <c r="N10" s="3">
        <f t="shared" ca="1" si="3"/>
        <v>1.6903700710796502E-2</v>
      </c>
      <c r="O10" s="3">
        <f t="shared" ca="1" si="3"/>
        <v>1.3118368627681582E-2</v>
      </c>
      <c r="P10" s="3">
        <f t="shared" ca="1" si="3"/>
        <v>1.7713217543826435E-2</v>
      </c>
      <c r="Q10" s="3">
        <f t="shared" ca="1" si="3"/>
        <v>1.5137311580006339E-2</v>
      </c>
      <c r="R10" s="3">
        <f t="shared" ca="1" si="3"/>
        <v>1.9622532596617961E-2</v>
      </c>
      <c r="S10" s="3">
        <f t="shared" ca="1" si="3"/>
        <v>1.75070280963763E-2</v>
      </c>
      <c r="T10" s="3">
        <f t="shared" ca="1" si="3"/>
        <v>2.1431228860219056E-2</v>
      </c>
      <c r="U10" s="3">
        <f t="shared" ca="1" si="3"/>
        <v>2.0508241273339695E-2</v>
      </c>
      <c r="V10" s="3">
        <f t="shared" ca="1" si="3"/>
        <v>2.2104045969078088E-2</v>
      </c>
      <c r="W10" s="3">
        <f t="shared" ca="1" si="3"/>
        <v>2.2864958386669212E-2</v>
      </c>
      <c r="X10" s="3">
        <f t="shared" ca="1" si="3"/>
        <v>2.7470677742665966E-2</v>
      </c>
      <c r="Y10" s="3">
        <f t="shared" ca="1" si="3"/>
        <v>2.9398478032501313E-2</v>
      </c>
      <c r="Z10" s="3">
        <f t="shared" ca="1" si="3"/>
        <v>3.6678257651536698E-2</v>
      </c>
      <c r="AA10" s="3">
        <f t="shared" ca="1" si="3"/>
        <v>4.0120223461306871E-2</v>
      </c>
      <c r="AB10" s="3">
        <f t="shared" ca="1" si="3"/>
        <v>4.0552261826383683E-2</v>
      </c>
      <c r="AC10" s="3">
        <f t="shared" ca="1" si="3"/>
        <v>4.7169773075851032E-2</v>
      </c>
      <c r="AD10" s="3">
        <f t="shared" ca="1" si="3"/>
        <v>5.3702963192432139E-2</v>
      </c>
      <c r="AE10" s="3">
        <f t="shared" ca="1" si="3"/>
        <v>4.9679468295553364E-2</v>
      </c>
      <c r="AF10" s="3">
        <f t="shared" ca="1" si="3"/>
        <v>6.5179717280152996E-2</v>
      </c>
      <c r="AG10" s="3">
        <f t="shared" ca="1" si="3"/>
        <v>6.1159895952065578E-2</v>
      </c>
      <c r="AH10" s="3">
        <f t="shared" ca="1" si="3"/>
        <v>9.8076110549769266E-2</v>
      </c>
      <c r="AI10" s="3">
        <f t="shared" ca="1" si="3"/>
        <v>7.4527548994164541E-2</v>
      </c>
      <c r="AJ10" s="3">
        <f t="shared" ca="1" si="3"/>
        <v>0.15646415584840753</v>
      </c>
    </row>
    <row r="11" spans="1:36" x14ac:dyDescent="0.35">
      <c r="A11" t="s">
        <v>63</v>
      </c>
      <c r="B11" t="s">
        <v>76</v>
      </c>
      <c r="C11" s="4">
        <v>3</v>
      </c>
      <c r="D11" s="3">
        <f t="shared" ca="1" si="4"/>
        <v>5.6910726196157712E-3</v>
      </c>
      <c r="E11" s="3">
        <f t="shared" ca="1" si="3"/>
        <v>5.1646075552224651E-3</v>
      </c>
      <c r="F11" s="3">
        <f t="shared" ca="1" si="3"/>
        <v>7.9218690948698808E-3</v>
      </c>
      <c r="G11" s="3">
        <f t="shared" ca="1" si="3"/>
        <v>7.0124382166867434E-3</v>
      </c>
      <c r="H11" s="3">
        <f t="shared" ca="1" si="3"/>
        <v>1.1333523826107202E-2</v>
      </c>
      <c r="I11" s="3">
        <f t="shared" ca="1" si="3"/>
        <v>8.1728830196579581E-3</v>
      </c>
      <c r="J11" s="3">
        <f t="shared" ca="1" si="3"/>
        <v>1.3222404363890501E-2</v>
      </c>
      <c r="K11" s="3">
        <f t="shared" ca="1" si="3"/>
        <v>1.0282985534600679E-2</v>
      </c>
      <c r="L11" s="3">
        <f t="shared" ca="1" si="3"/>
        <v>1.5254768045863152E-2</v>
      </c>
      <c r="M11" s="3">
        <f t="shared" ca="1" si="3"/>
        <v>1.1513728339233342E-2</v>
      </c>
      <c r="N11" s="3">
        <f t="shared" ca="1" si="3"/>
        <v>1.7876337898784091E-2</v>
      </c>
      <c r="O11" s="3">
        <f t="shared" ca="1" si="3"/>
        <v>1.4021811522918886E-2</v>
      </c>
      <c r="P11" s="3">
        <f t="shared" ca="1" si="3"/>
        <v>1.8646098948543615E-2</v>
      </c>
      <c r="Q11" s="3">
        <f t="shared" ca="1" si="3"/>
        <v>1.6067400925390163E-2</v>
      </c>
      <c r="R11" s="3">
        <f t="shared" ca="1" si="3"/>
        <v>2.052321763340776E-2</v>
      </c>
      <c r="S11" s="3">
        <f t="shared" ca="1" si="3"/>
        <v>1.8440539473532493E-2</v>
      </c>
      <c r="T11" s="3">
        <f t="shared" ca="1" si="3"/>
        <v>2.2402726472503156E-2</v>
      </c>
      <c r="U11" s="3">
        <f t="shared" ca="1" si="3"/>
        <v>2.1493570040992619E-2</v>
      </c>
      <c r="V11" s="3">
        <f t="shared" ca="1" si="3"/>
        <v>2.3066540900671239E-2</v>
      </c>
      <c r="W11" s="3">
        <f t="shared" ca="1" si="3"/>
        <v>2.3791824556469207E-2</v>
      </c>
      <c r="X11" s="3">
        <f t="shared" ca="1" si="3"/>
        <v>2.8382767868824307E-2</v>
      </c>
      <c r="Y11" s="3">
        <f t="shared" ca="1" si="3"/>
        <v>3.038760853884551E-2</v>
      </c>
      <c r="Z11" s="3">
        <f t="shared" ca="1" si="3"/>
        <v>3.7596369996838491E-2</v>
      </c>
      <c r="AA11" s="3">
        <f t="shared" ca="1" si="3"/>
        <v>4.1020599302233757E-2</v>
      </c>
      <c r="AB11" s="3">
        <f t="shared" ca="1" si="3"/>
        <v>4.1519875636484675E-2</v>
      </c>
      <c r="AC11" s="3">
        <f t="shared" ca="1" si="3"/>
        <v>4.8112482033291888E-2</v>
      </c>
      <c r="AD11" s="3">
        <f t="shared" ca="1" si="3"/>
        <v>5.4688945644697312E-2</v>
      </c>
      <c r="AE11" s="3">
        <f t="shared" ca="1" si="3"/>
        <v>5.0659008247430463E-2</v>
      </c>
      <c r="AF11" s="3">
        <f t="shared" ca="1" si="3"/>
        <v>6.6156057578600991E-2</v>
      </c>
      <c r="AG11" s="3">
        <f t="shared" ca="1" si="3"/>
        <v>6.2068832629817647E-2</v>
      </c>
      <c r="AH11" s="3">
        <f t="shared" ca="1" si="3"/>
        <v>9.8998375864345262E-2</v>
      </c>
      <c r="AI11" s="3">
        <f t="shared" ca="1" si="3"/>
        <v>7.5519334157874457E-2</v>
      </c>
      <c r="AJ11" s="3">
        <f t="shared" ca="1" si="3"/>
        <v>0.15745232156878791</v>
      </c>
    </row>
    <row r="12" spans="1:36" x14ac:dyDescent="0.35">
      <c r="A12" t="s">
        <v>63</v>
      </c>
      <c r="B12" t="s">
        <v>76</v>
      </c>
      <c r="C12" s="4" t="s">
        <v>67</v>
      </c>
      <c r="D12" s="3">
        <f t="shared" ca="1" si="4"/>
        <v>6.6598234192023383E-3</v>
      </c>
      <c r="E12" s="3">
        <f t="shared" ca="1" si="3"/>
        <v>6.0810712503510354E-3</v>
      </c>
      <c r="F12" s="3">
        <f t="shared" ca="1" si="3"/>
        <v>8.8535226763512588E-3</v>
      </c>
      <c r="G12" s="3">
        <f t="shared" ca="1" si="3"/>
        <v>7.9213369094909818E-3</v>
      </c>
      <c r="H12" s="3">
        <f t="shared" ca="1" si="3"/>
        <v>1.2329771773689704E-2</v>
      </c>
      <c r="I12" s="3">
        <f t="shared" ca="1" si="3"/>
        <v>9.1288143093934109E-3</v>
      </c>
      <c r="J12" s="3">
        <f t="shared" ca="1" si="3"/>
        <v>1.4139378113403676E-2</v>
      </c>
      <c r="K12" s="3">
        <f t="shared" ca="1" si="3"/>
        <v>1.1213835340970455E-2</v>
      </c>
      <c r="L12" s="3">
        <f t="shared" ca="1" si="3"/>
        <v>1.6252580197360016E-2</v>
      </c>
      <c r="M12" s="3">
        <f t="shared" ca="1" si="3"/>
        <v>1.2423825683707743E-2</v>
      </c>
      <c r="N12" s="3">
        <f t="shared" ca="1" si="3"/>
        <v>1.8785137906180315E-2</v>
      </c>
      <c r="O12" s="3">
        <f t="shared" ca="1" si="3"/>
        <v>1.4989220247703213E-2</v>
      </c>
      <c r="P12" s="3">
        <f t="shared" ca="1" si="3"/>
        <v>1.9548630181002152E-2</v>
      </c>
      <c r="Q12" s="3">
        <f t="shared" ca="1" si="3"/>
        <v>1.7036507052753589E-2</v>
      </c>
      <c r="R12" s="3">
        <f t="shared" ca="1" si="3"/>
        <v>2.1510482139925156E-2</v>
      </c>
      <c r="S12" s="3">
        <f t="shared" ca="1" si="3"/>
        <v>1.94399496961742E-2</v>
      </c>
      <c r="T12" s="3">
        <f t="shared" ca="1" si="3"/>
        <v>2.3392123891440322E-2</v>
      </c>
      <c r="U12" s="3">
        <f t="shared" ca="1" si="3"/>
        <v>2.2398060801604079E-2</v>
      </c>
      <c r="V12" s="3">
        <f t="shared" ca="1" si="3"/>
        <v>2.4053956147871411E-2</v>
      </c>
      <c r="W12" s="3">
        <f t="shared" ca="1" si="3"/>
        <v>2.4702325776036642E-2</v>
      </c>
      <c r="X12" s="3">
        <f t="shared" ca="1" si="3"/>
        <v>2.9361286608982264E-2</v>
      </c>
      <c r="Y12" s="3">
        <f t="shared" ca="1" si="3"/>
        <v>3.1318236562839288E-2</v>
      </c>
      <c r="Z12" s="3">
        <f t="shared" ca="1" si="3"/>
        <v>3.8499490263970135E-2</v>
      </c>
      <c r="AA12" s="3">
        <f t="shared" ca="1" si="3"/>
        <v>4.1984855149505375E-2</v>
      </c>
      <c r="AB12" s="3">
        <f t="shared" ca="1" si="3"/>
        <v>4.2452658602999044E-2</v>
      </c>
      <c r="AC12" s="3">
        <f t="shared" ca="1" si="3"/>
        <v>4.9106200784981582E-2</v>
      </c>
      <c r="AD12" s="3">
        <f t="shared" ca="1" si="3"/>
        <v>5.5680309952741598E-2</v>
      </c>
      <c r="AE12" s="3">
        <f t="shared" ca="1" si="3"/>
        <v>5.159664851607261E-2</v>
      </c>
      <c r="AF12" s="3">
        <f t="shared" ca="1" si="3"/>
        <v>6.7117537271460678E-2</v>
      </c>
      <c r="AG12" s="3">
        <f t="shared" ca="1" si="3"/>
        <v>6.3057097244872587E-2</v>
      </c>
      <c r="AH12" s="3">
        <f t="shared" ca="1" si="3"/>
        <v>9.9966625167490691E-2</v>
      </c>
      <c r="AI12" s="3">
        <f t="shared" ca="1" si="3"/>
        <v>7.645801292477461E-2</v>
      </c>
      <c r="AJ12" s="3">
        <f t="shared" ca="1" si="3"/>
        <v>0.1583822971796244</v>
      </c>
    </row>
    <row r="13" spans="1:36" x14ac:dyDescent="0.35">
      <c r="A13" t="s">
        <v>63</v>
      </c>
      <c r="B13" t="s">
        <v>76</v>
      </c>
      <c r="C13" s="4" t="s">
        <v>68</v>
      </c>
      <c r="D13" s="3">
        <f t="shared" ca="1" si="4"/>
        <v>7.6089092718048612E-3</v>
      </c>
      <c r="E13" s="3">
        <f t="shared" ca="1" si="3"/>
        <v>7.0777284718701603E-3</v>
      </c>
      <c r="F13" s="3">
        <f t="shared" ca="1" si="3"/>
        <v>9.8276251207553237E-3</v>
      </c>
      <c r="G13" s="3">
        <f t="shared" ca="1" si="3"/>
        <v>8.8485689236210471E-3</v>
      </c>
      <c r="H13" s="3">
        <f t="shared" ca="1" si="3"/>
        <v>1.3292395051692074E-2</v>
      </c>
      <c r="I13" s="3">
        <f t="shared" ca="1" si="3"/>
        <v>1.0125208891588869E-2</v>
      </c>
      <c r="J13" s="3">
        <f t="shared" ca="1" si="3"/>
        <v>1.5056900086384148E-2</v>
      </c>
      <c r="K13" s="3">
        <f t="shared" ca="1" si="3"/>
        <v>1.2153640611566862E-2</v>
      </c>
      <c r="L13" s="3">
        <f t="shared" ca="1" si="3"/>
        <v>1.7235040471485923E-2</v>
      </c>
      <c r="M13" s="3">
        <f t="shared" ca="1" si="3"/>
        <v>1.3367311586031914E-2</v>
      </c>
      <c r="N13" s="3">
        <f t="shared" ca="1" si="3"/>
        <v>1.9727361055496894E-2</v>
      </c>
      <c r="O13" s="3">
        <f t="shared" ca="1" si="3"/>
        <v>1.5892249443894901E-2</v>
      </c>
      <c r="P13" s="3">
        <f t="shared" ca="1" si="3"/>
        <v>2.0487547331497089E-2</v>
      </c>
      <c r="Q13" s="3">
        <f t="shared" ca="1" si="3"/>
        <v>1.7951733216274503E-2</v>
      </c>
      <c r="R13" s="3">
        <f t="shared" ca="1" si="3"/>
        <v>2.2505119570833541E-2</v>
      </c>
      <c r="S13" s="3">
        <f t="shared" ca="1" si="3"/>
        <v>2.0435510808893467E-2</v>
      </c>
      <c r="T13" s="3">
        <f t="shared" ca="1" si="3"/>
        <v>2.4323890972373356E-2</v>
      </c>
      <c r="U13" s="3">
        <f t="shared" ca="1" si="3"/>
        <v>2.3381399304018852E-2</v>
      </c>
      <c r="V13" s="3">
        <f t="shared" ca="1" si="3"/>
        <v>2.5052354505171001E-2</v>
      </c>
      <c r="W13" s="3">
        <f t="shared" ca="1" si="3"/>
        <v>2.5676576717324651E-2</v>
      </c>
      <c r="X13" s="3">
        <f t="shared" ca="1" si="3"/>
        <v>3.0311472520536935E-2</v>
      </c>
      <c r="Y13" s="3">
        <f t="shared" ca="1" si="3"/>
        <v>3.2286553940264334E-2</v>
      </c>
      <c r="Z13" s="3">
        <f t="shared" ca="1" si="3"/>
        <v>3.9420959586169944E-2</v>
      </c>
      <c r="AA13" s="3">
        <f t="shared" ca="1" si="3"/>
        <v>4.2904783769468359E-2</v>
      </c>
      <c r="AB13" s="3">
        <f t="shared" ca="1" si="3"/>
        <v>4.3367403514328245E-2</v>
      </c>
      <c r="AC13" s="3">
        <f t="shared" ca="1" si="3"/>
        <v>5.003450020076005E-2</v>
      </c>
      <c r="AD13" s="3">
        <f t="shared" ca="1" si="3"/>
        <v>5.662646041766578E-2</v>
      </c>
      <c r="AE13" s="3">
        <f t="shared" ca="1" si="3"/>
        <v>5.2559228185201957E-2</v>
      </c>
      <c r="AF13" s="3">
        <f t="shared" ca="1" si="3"/>
        <v>6.8035939468164511E-2</v>
      </c>
      <c r="AG13" s="3">
        <f t="shared" ca="1" si="3"/>
        <v>6.4056977902074541E-2</v>
      </c>
      <c r="AH13" s="3">
        <f t="shared" ca="1" si="3"/>
        <v>0.1009086403278484</v>
      </c>
      <c r="AI13" s="3">
        <f t="shared" ca="1" si="3"/>
        <v>7.7424918206078025E-2</v>
      </c>
      <c r="AJ13" s="3">
        <f t="shared" ca="1" si="3"/>
        <v>0.15935829315247343</v>
      </c>
    </row>
    <row r="14" spans="1:36" x14ac:dyDescent="0.35">
      <c r="A14" t="s">
        <v>63</v>
      </c>
      <c r="B14" t="s">
        <v>76</v>
      </c>
      <c r="C14" s="4">
        <v>4</v>
      </c>
      <c r="D14" s="3">
        <f t="shared" ca="1" si="4"/>
        <v>8.6057630717663331E-3</v>
      </c>
      <c r="E14" s="3">
        <f t="shared" ca="1" si="3"/>
        <v>7.9978952156014253E-3</v>
      </c>
      <c r="F14" s="3">
        <f t="shared" ca="1" si="3"/>
        <v>1.0825605303605854E-2</v>
      </c>
      <c r="G14" s="3">
        <f t="shared" ca="1" si="3"/>
        <v>9.8273979332649773E-3</v>
      </c>
      <c r="H14" s="3">
        <f t="shared" ca="1" si="3"/>
        <v>1.4208762573832669E-2</v>
      </c>
      <c r="I14" s="3">
        <f t="shared" ca="1" si="3"/>
        <v>1.1099125429489091E-2</v>
      </c>
      <c r="J14" s="3">
        <f t="shared" ca="1" si="3"/>
        <v>1.6011887009740839E-2</v>
      </c>
      <c r="K14" s="3">
        <f t="shared" ca="1" si="3"/>
        <v>1.3138674576776544E-2</v>
      </c>
      <c r="L14" s="3">
        <f t="shared" ca="1" si="3"/>
        <v>1.8187253137641461E-2</v>
      </c>
      <c r="M14" s="3">
        <f t="shared" ca="1" si="3"/>
        <v>1.4297871540846441E-2</v>
      </c>
      <c r="N14" s="3">
        <f t="shared" ca="1" si="3"/>
        <v>2.0702776317765577E-2</v>
      </c>
      <c r="O14" s="3">
        <f t="shared" ca="1" si="3"/>
        <v>1.6858233514777211E-2</v>
      </c>
      <c r="P14" s="3">
        <f t="shared" ca="1" si="3"/>
        <v>2.1430247163331407E-2</v>
      </c>
      <c r="Q14" s="3">
        <f t="shared" ca="1" si="3"/>
        <v>1.8873212592507165E-2</v>
      </c>
      <c r="R14" s="3">
        <f t="shared" ca="1" si="3"/>
        <v>2.3474698323807764E-2</v>
      </c>
      <c r="S14" s="3">
        <f t="shared" ca="1" si="3"/>
        <v>2.1352057873673166E-2</v>
      </c>
      <c r="T14" s="3">
        <f t="shared" ca="1" si="3"/>
        <v>2.5240889128307679E-2</v>
      </c>
      <c r="U14" s="3">
        <f t="shared" ca="1" si="3"/>
        <v>2.4379710161135677E-2</v>
      </c>
      <c r="V14" s="3">
        <f t="shared" ca="1" si="3"/>
        <v>2.5963594320448716E-2</v>
      </c>
      <c r="W14" s="3">
        <f t="shared" ca="1" si="3"/>
        <v>2.6674659260482989E-2</v>
      </c>
      <c r="X14" s="3">
        <f t="shared" ca="1" si="3"/>
        <v>3.1243883571752847E-2</v>
      </c>
      <c r="Y14" s="3">
        <f t="shared" ca="1" si="3"/>
        <v>3.320251768882497E-2</v>
      </c>
      <c r="Z14" s="3">
        <f t="shared" ca="1" si="3"/>
        <v>4.032362682732981E-2</v>
      </c>
      <c r="AA14" s="3">
        <f t="shared" ca="1" si="3"/>
        <v>4.3859272920559765E-2</v>
      </c>
      <c r="AB14" s="3">
        <f t="shared" ca="1" si="3"/>
        <v>4.431992690574775E-2</v>
      </c>
      <c r="AC14" s="3">
        <f t="shared" ca="1" si="3"/>
        <v>5.102247748643482E-2</v>
      </c>
      <c r="AD14" s="3">
        <f t="shared" ca="1" si="3"/>
        <v>5.7553753814034651E-2</v>
      </c>
      <c r="AE14" s="3">
        <f t="shared" ca="1" si="3"/>
        <v>5.347596724451658E-2</v>
      </c>
      <c r="AF14" s="3">
        <f t="shared" ca="1" si="3"/>
        <v>6.8972840735966948E-2</v>
      </c>
      <c r="AG14" s="3">
        <f t="shared" ca="1" si="3"/>
        <v>6.4975401829885399E-2</v>
      </c>
      <c r="AH14" s="3">
        <f t="shared" ca="1" si="3"/>
        <v>0.1018916016526235</v>
      </c>
      <c r="AI14" s="3">
        <f t="shared" ca="1" si="3"/>
        <v>7.8386357698374848E-2</v>
      </c>
      <c r="AJ14" s="3">
        <f t="shared" ref="AJ14:AJ24" ca="1" si="5">AJ13+RAND()*($D$3-$C$3)+$C$3</f>
        <v>0.16028569293228104</v>
      </c>
    </row>
    <row r="15" spans="1:36" x14ac:dyDescent="0.35">
      <c r="A15" t="s">
        <v>63</v>
      </c>
      <c r="B15" t="s">
        <v>76</v>
      </c>
      <c r="C15" s="4" t="s">
        <v>69</v>
      </c>
      <c r="D15" s="3">
        <f t="shared" ca="1" si="4"/>
        <v>9.6047954920281571E-3</v>
      </c>
      <c r="E15" s="3">
        <f t="shared" ref="E15:E24" ca="1" si="6">E14+RAND()*($D$3-$C$3)+$C$3</f>
        <v>8.9241458475938819E-3</v>
      </c>
      <c r="F15" s="3">
        <f t="shared" ref="F15:F24" ca="1" si="7">F14+RAND()*($D$3-$C$3)+$C$3</f>
        <v>1.1807046171304798E-2</v>
      </c>
      <c r="G15" s="3">
        <f t="shared" ref="G15:G24" ca="1" si="8">G14+RAND()*($D$3-$C$3)+$C$3</f>
        <v>1.0762862771956531E-2</v>
      </c>
      <c r="H15" s="3">
        <f t="shared" ref="H15:H24" ca="1" si="9">H14+RAND()*($D$3-$C$3)+$C$3</f>
        <v>1.5113123246618919E-2</v>
      </c>
      <c r="I15" s="3">
        <f t="shared" ref="I15:I24" ca="1" si="10">I14+RAND()*($D$3-$C$3)+$C$3</f>
        <v>1.2035137498233449E-2</v>
      </c>
      <c r="J15" s="3">
        <f t="shared" ref="J15:J24" ca="1" si="11">J14+RAND()*($D$3-$C$3)+$C$3</f>
        <v>1.7004688200511743E-2</v>
      </c>
      <c r="K15" s="3">
        <f t="shared" ref="K15:K24" ca="1" si="12">K14+RAND()*($D$3-$C$3)+$C$3</f>
        <v>1.4121925295792896E-2</v>
      </c>
      <c r="L15" s="3">
        <f t="shared" ref="L15:L24" ca="1" si="13">L14+RAND()*($D$3-$C$3)+$C$3</f>
        <v>1.9162501860133577E-2</v>
      </c>
      <c r="M15" s="3">
        <f t="shared" ref="M15:M24" ca="1" si="14">M14+RAND()*($D$3-$C$3)+$C$3</f>
        <v>1.5202856022794661E-2</v>
      </c>
      <c r="N15" s="3">
        <f t="shared" ref="N15:N24" ca="1" si="15">N14+RAND()*($D$3-$C$3)+$C$3</f>
        <v>2.1633497885896108E-2</v>
      </c>
      <c r="O15" s="3">
        <f t="shared" ref="O15:O24" ca="1" si="16">O14+RAND()*($D$3-$C$3)+$C$3</f>
        <v>1.7842241202363291E-2</v>
      </c>
      <c r="P15" s="3">
        <f t="shared" ref="P15:P24" ca="1" si="17">P14+RAND()*($D$3-$C$3)+$C$3</f>
        <v>2.2382633504005718E-2</v>
      </c>
      <c r="Q15" s="3">
        <f t="shared" ref="Q15:Q24" ca="1" si="18">Q14+RAND()*($D$3-$C$3)+$C$3</f>
        <v>1.9826690092024639E-2</v>
      </c>
      <c r="R15" s="3">
        <f t="shared" ref="R15:R24" ca="1" si="19">R14+RAND()*($D$3-$C$3)+$C$3</f>
        <v>2.4423281862646296E-2</v>
      </c>
      <c r="S15" s="3">
        <f t="shared" ref="S15:S24" ca="1" si="20">S14+RAND()*($D$3-$C$3)+$C$3</f>
        <v>2.226866223421111E-2</v>
      </c>
      <c r="T15" s="3">
        <f t="shared" ref="T15:T24" ca="1" si="21">T14+RAND()*($D$3-$C$3)+$C$3</f>
        <v>2.6235181609278669E-2</v>
      </c>
      <c r="U15" s="3">
        <f t="shared" ref="U15:U24" ca="1" si="22">U14+RAND()*($D$3-$C$3)+$C$3</f>
        <v>2.5354105863839016E-2</v>
      </c>
      <c r="V15" s="3">
        <f t="shared" ref="V15:V24" ca="1" si="23">V14+RAND()*($D$3-$C$3)+$C$3</f>
        <v>2.695450201722098E-2</v>
      </c>
      <c r="W15" s="3">
        <f t="shared" ref="W15:W24" ca="1" si="24">W14+RAND()*($D$3-$C$3)+$C$3</f>
        <v>2.7668357119408005E-2</v>
      </c>
      <c r="X15" s="3">
        <f t="shared" ref="X15:X24" ca="1" si="25">X14+RAND()*($D$3-$C$3)+$C$3</f>
        <v>3.2169876040847076E-2</v>
      </c>
      <c r="Y15" s="3">
        <f t="shared" ref="Y15:Y24" ca="1" si="26">Y14+RAND()*($D$3-$C$3)+$C$3</f>
        <v>3.4121889738997151E-2</v>
      </c>
      <c r="Z15" s="3">
        <f t="shared" ref="Z15:Z24" ca="1" si="27">Z14+RAND()*($D$3-$C$3)+$C$3</f>
        <v>4.1270689276493321E-2</v>
      </c>
      <c r="AA15" s="3">
        <f t="shared" ref="AA15:AA24" ca="1" si="28">AA14+RAND()*($D$3-$C$3)+$C$3</f>
        <v>4.4849121588289978E-2</v>
      </c>
      <c r="AB15" s="3">
        <f t="shared" ref="AB15:AB24" ca="1" si="29">AB14+RAND()*($D$3-$C$3)+$C$3</f>
        <v>4.524325939154665E-2</v>
      </c>
      <c r="AC15" s="3">
        <f t="shared" ref="AC15:AC24" ca="1" si="30">AC14+RAND()*($D$3-$C$3)+$C$3</f>
        <v>5.1934916575293665E-2</v>
      </c>
      <c r="AD15" s="3">
        <f t="shared" ref="AD15:AD24" ca="1" si="31">AD14+RAND()*($D$3-$C$3)+$C$3</f>
        <v>5.8549956082398893E-2</v>
      </c>
      <c r="AE15" s="3">
        <f t="shared" ref="AE15:AE24" ca="1" si="32">AE14+RAND()*($D$3-$C$3)+$C$3</f>
        <v>5.437759002223691E-2</v>
      </c>
      <c r="AF15" s="3">
        <f t="shared" ref="AF15:AF24" ca="1" si="33">AF14+RAND()*($D$3-$C$3)+$C$3</f>
        <v>6.9910108159014911E-2</v>
      </c>
      <c r="AG15" s="3">
        <f t="shared" ref="AG15:AG24" ca="1" si="34">AG14+RAND()*($D$3-$C$3)+$C$3</f>
        <v>6.5957240044452817E-2</v>
      </c>
      <c r="AH15" s="3">
        <f t="shared" ref="AH15:AH24" ca="1" si="35">AH14+RAND()*($D$3-$C$3)+$C$3</f>
        <v>0.10289029219687405</v>
      </c>
      <c r="AI15" s="3">
        <f t="shared" ref="AI15:AI24" ca="1" si="36">AI14+RAND()*($D$3-$C$3)+$C$3</f>
        <v>7.9336226763382395E-2</v>
      </c>
      <c r="AJ15" s="3">
        <f t="shared" ca="1" si="5"/>
        <v>0.1612631998232979</v>
      </c>
    </row>
    <row r="16" spans="1:36" x14ac:dyDescent="0.35">
      <c r="A16" t="s">
        <v>63</v>
      </c>
      <c r="B16" t="s">
        <v>76</v>
      </c>
      <c r="C16" s="4" t="s">
        <v>70</v>
      </c>
      <c r="D16" s="3">
        <f t="shared" ca="1" si="4"/>
        <v>1.0595701454816701E-2</v>
      </c>
      <c r="E16" s="3">
        <f t="shared" ca="1" si="6"/>
        <v>9.8263003327244223E-3</v>
      </c>
      <c r="F16" s="3">
        <f t="shared" ca="1" si="7"/>
        <v>1.2724844055866519E-2</v>
      </c>
      <c r="G16" s="3">
        <f t="shared" ca="1" si="8"/>
        <v>1.1743669075720838E-2</v>
      </c>
      <c r="H16" s="3">
        <f t="shared" ca="1" si="9"/>
        <v>1.6100721665420061E-2</v>
      </c>
      <c r="I16" s="3">
        <f t="shared" ca="1" si="10"/>
        <v>1.2991388251080382E-2</v>
      </c>
      <c r="J16" s="3">
        <f t="shared" ca="1" si="11"/>
        <v>1.795596278456825E-2</v>
      </c>
      <c r="K16" s="3">
        <f t="shared" ca="1" si="12"/>
        <v>1.5055103584210736E-2</v>
      </c>
      <c r="L16" s="3">
        <f t="shared" ca="1" si="13"/>
        <v>2.0093859252425048E-2</v>
      </c>
      <c r="M16" s="3">
        <f t="shared" ca="1" si="14"/>
        <v>1.611500893382346E-2</v>
      </c>
      <c r="N16" s="3">
        <f t="shared" ca="1" si="15"/>
        <v>2.2612519349033584E-2</v>
      </c>
      <c r="O16" s="3">
        <f t="shared" ca="1" si="16"/>
        <v>1.8800808236020726E-2</v>
      </c>
      <c r="P16" s="3">
        <f t="shared" ca="1" si="17"/>
        <v>2.3359493816298715E-2</v>
      </c>
      <c r="Q16" s="3">
        <f t="shared" ca="1" si="18"/>
        <v>2.0734821483207926E-2</v>
      </c>
      <c r="R16" s="3">
        <f t="shared" ca="1" si="19"/>
        <v>2.5325420845434338E-2</v>
      </c>
      <c r="S16" s="3">
        <f t="shared" ca="1" si="20"/>
        <v>2.325527563490663E-2</v>
      </c>
      <c r="T16" s="3">
        <f t="shared" ca="1" si="21"/>
        <v>2.7230006308613872E-2</v>
      </c>
      <c r="U16" s="3">
        <f t="shared" ca="1" si="22"/>
        <v>2.6317223571781848E-2</v>
      </c>
      <c r="V16" s="3">
        <f t="shared" ca="1" si="23"/>
        <v>2.7930349939370491E-2</v>
      </c>
      <c r="W16" s="3">
        <f t="shared" ca="1" si="24"/>
        <v>2.8657987878614965E-2</v>
      </c>
      <c r="X16" s="3">
        <f t="shared" ca="1" si="25"/>
        <v>3.3160536731102225E-2</v>
      </c>
      <c r="Y16" s="3">
        <f t="shared" ca="1" si="26"/>
        <v>3.5038793312184936E-2</v>
      </c>
      <c r="Z16" s="3">
        <f t="shared" ca="1" si="27"/>
        <v>4.2246164994766688E-2</v>
      </c>
      <c r="AA16" s="3">
        <f t="shared" ca="1" si="28"/>
        <v>4.5799512248973613E-2</v>
      </c>
      <c r="AB16" s="3">
        <f t="shared" ca="1" si="29"/>
        <v>4.6155647278909792E-2</v>
      </c>
      <c r="AC16" s="3">
        <f t="shared" ca="1" si="30"/>
        <v>5.2907912030394418E-2</v>
      </c>
      <c r="AD16" s="3">
        <f t="shared" ca="1" si="31"/>
        <v>5.952575316855669E-2</v>
      </c>
      <c r="AE16" s="3">
        <f t="shared" ca="1" si="32"/>
        <v>5.5362169382365788E-2</v>
      </c>
      <c r="AF16" s="3">
        <f t="shared" ca="1" si="33"/>
        <v>7.0818524889749018E-2</v>
      </c>
      <c r="AG16" s="3">
        <f t="shared" ca="1" si="34"/>
        <v>6.6857867199433652E-2</v>
      </c>
      <c r="AH16" s="3">
        <f t="shared" ca="1" si="35"/>
        <v>0.1038646016736095</v>
      </c>
      <c r="AI16" s="3">
        <f t="shared" ca="1" si="36"/>
        <v>8.0272154106374005E-2</v>
      </c>
      <c r="AJ16" s="3">
        <f t="shared" ca="1" si="5"/>
        <v>0.1622045443072036</v>
      </c>
    </row>
    <row r="17" spans="1:36" x14ac:dyDescent="0.35">
      <c r="A17" t="s">
        <v>63</v>
      </c>
      <c r="B17" t="s">
        <v>76</v>
      </c>
      <c r="C17" s="4">
        <v>5</v>
      </c>
      <c r="D17" s="3">
        <f t="shared" ca="1" si="4"/>
        <v>1.1556052548276593E-2</v>
      </c>
      <c r="E17" s="3">
        <f t="shared" ca="1" si="6"/>
        <v>1.0817136750568418E-2</v>
      </c>
      <c r="F17" s="3">
        <f t="shared" ca="1" si="7"/>
        <v>1.366919213363422E-2</v>
      </c>
      <c r="G17" s="3">
        <f t="shared" ca="1" si="8"/>
        <v>1.2727357810103217E-2</v>
      </c>
      <c r="H17" s="3">
        <f t="shared" ca="1" si="9"/>
        <v>1.7074700496994687E-2</v>
      </c>
      <c r="I17" s="3">
        <f t="shared" ca="1" si="10"/>
        <v>1.3985357524817527E-2</v>
      </c>
      <c r="J17" s="3">
        <f t="shared" ca="1" si="11"/>
        <v>1.8949883730470678E-2</v>
      </c>
      <c r="K17" s="3">
        <f t="shared" ca="1" si="12"/>
        <v>1.6043430289160825E-2</v>
      </c>
      <c r="L17" s="3">
        <f t="shared" ca="1" si="13"/>
        <v>2.1019932770059715E-2</v>
      </c>
      <c r="M17" s="3">
        <f t="shared" ca="1" si="14"/>
        <v>1.7038825879667287E-2</v>
      </c>
      <c r="N17" s="3">
        <f t="shared" ca="1" si="15"/>
        <v>2.3552625599673221E-2</v>
      </c>
      <c r="O17" s="3">
        <f t="shared" ca="1" si="16"/>
        <v>1.973362366549938E-2</v>
      </c>
      <c r="P17" s="3">
        <f t="shared" ca="1" si="17"/>
        <v>2.42728937234514E-2</v>
      </c>
      <c r="Q17" s="3">
        <f t="shared" ca="1" si="18"/>
        <v>2.1691908172848336E-2</v>
      </c>
      <c r="R17" s="3">
        <f t="shared" ca="1" si="19"/>
        <v>2.6299896175524935E-2</v>
      </c>
      <c r="S17" s="3">
        <f t="shared" ca="1" si="20"/>
        <v>2.4192504150817445E-2</v>
      </c>
      <c r="T17" s="3">
        <f t="shared" ca="1" si="21"/>
        <v>2.814265177362462E-2</v>
      </c>
      <c r="U17" s="3">
        <f t="shared" ca="1" si="22"/>
        <v>2.730698462346207E-2</v>
      </c>
      <c r="V17" s="3">
        <f t="shared" ca="1" si="23"/>
        <v>2.8860610285067343E-2</v>
      </c>
      <c r="W17" s="3">
        <f t="shared" ca="1" si="24"/>
        <v>2.960784751386826E-2</v>
      </c>
      <c r="X17" s="3">
        <f t="shared" ca="1" si="25"/>
        <v>3.4147155647595573E-2</v>
      </c>
      <c r="Y17" s="3">
        <f t="shared" ca="1" si="26"/>
        <v>3.6024896280166738E-2</v>
      </c>
      <c r="Z17" s="3">
        <f t="shared" ca="1" si="27"/>
        <v>4.3207747213607449E-2</v>
      </c>
      <c r="AA17" s="3">
        <f t="shared" ca="1" si="28"/>
        <v>4.6746265183318411E-2</v>
      </c>
      <c r="AB17" s="3">
        <f t="shared" ca="1" si="29"/>
        <v>4.7088254864359844E-2</v>
      </c>
      <c r="AC17" s="3">
        <f t="shared" ca="1" si="30"/>
        <v>5.3896931185810133E-2</v>
      </c>
      <c r="AD17" s="3">
        <f t="shared" ca="1" si="31"/>
        <v>6.0518731552202019E-2</v>
      </c>
      <c r="AE17" s="3">
        <f t="shared" ca="1" si="32"/>
        <v>5.6280456719436357E-2</v>
      </c>
      <c r="AF17" s="3">
        <f t="shared" ca="1" si="33"/>
        <v>7.1740520315356882E-2</v>
      </c>
      <c r="AG17" s="3">
        <f t="shared" ca="1" si="34"/>
        <v>6.78091653517649E-2</v>
      </c>
      <c r="AH17" s="3">
        <f t="shared" ca="1" si="35"/>
        <v>0.10483627617163926</v>
      </c>
      <c r="AI17" s="3">
        <f t="shared" ca="1" si="36"/>
        <v>8.1232486020153649E-2</v>
      </c>
      <c r="AJ17" s="3">
        <f t="shared" ca="1" si="5"/>
        <v>0.16320188865762403</v>
      </c>
    </row>
    <row r="18" spans="1:36" x14ac:dyDescent="0.35">
      <c r="A18" t="s">
        <v>63</v>
      </c>
      <c r="B18" t="s">
        <v>76</v>
      </c>
      <c r="C18" s="4" t="s">
        <v>71</v>
      </c>
      <c r="D18" s="3">
        <f t="shared" ca="1" si="4"/>
        <v>1.248635748653323E-2</v>
      </c>
      <c r="E18" s="3">
        <f t="shared" ca="1" si="6"/>
        <v>1.1723575167571259E-2</v>
      </c>
      <c r="F18" s="3">
        <f t="shared" ca="1" si="7"/>
        <v>1.4587307073206749E-2</v>
      </c>
      <c r="G18" s="3">
        <f t="shared" ca="1" si="8"/>
        <v>1.3709671696559473E-2</v>
      </c>
      <c r="H18" s="3">
        <f t="shared" ca="1" si="9"/>
        <v>1.8072149445550172E-2</v>
      </c>
      <c r="I18" s="3">
        <f t="shared" ca="1" si="10"/>
        <v>1.4940827941307105E-2</v>
      </c>
      <c r="J18" s="3">
        <f t="shared" ca="1" si="11"/>
        <v>1.9940784219190041E-2</v>
      </c>
      <c r="K18" s="3">
        <f t="shared" ca="1" si="12"/>
        <v>1.7014875552333709E-2</v>
      </c>
      <c r="L18" s="3">
        <f t="shared" ca="1" si="13"/>
        <v>2.1945215523924623E-2</v>
      </c>
      <c r="M18" s="3">
        <f t="shared" ca="1" si="14"/>
        <v>1.8019866960198326E-2</v>
      </c>
      <c r="N18" s="3">
        <f t="shared" ca="1" si="15"/>
        <v>2.451800596778661E-2</v>
      </c>
      <c r="O18" s="3">
        <f t="shared" ca="1" si="16"/>
        <v>2.0707102656402993E-2</v>
      </c>
      <c r="P18" s="3">
        <f t="shared" ca="1" si="17"/>
        <v>2.5204471017043945E-2</v>
      </c>
      <c r="Q18" s="3">
        <f t="shared" ca="1" si="18"/>
        <v>2.2673985098210083E-2</v>
      </c>
      <c r="R18" s="3">
        <f t="shared" ca="1" si="19"/>
        <v>2.7225588545278935E-2</v>
      </c>
      <c r="S18" s="3">
        <f t="shared" ca="1" si="20"/>
        <v>2.5148034928200669E-2</v>
      </c>
      <c r="T18" s="3">
        <f t="shared" ca="1" si="21"/>
        <v>2.9070442126574267E-2</v>
      </c>
      <c r="U18" s="3">
        <f t="shared" ca="1" si="22"/>
        <v>2.8220894661883884E-2</v>
      </c>
      <c r="V18" s="3">
        <f t="shared" ca="1" si="23"/>
        <v>2.9794050154439457E-2</v>
      </c>
      <c r="W18" s="3">
        <f t="shared" ca="1" si="24"/>
        <v>3.053184426916853E-2</v>
      </c>
      <c r="X18" s="3">
        <f t="shared" ca="1" si="25"/>
        <v>3.505421183367969E-2</v>
      </c>
      <c r="Y18" s="3">
        <f t="shared" ca="1" si="26"/>
        <v>3.697608253791921E-2</v>
      </c>
      <c r="Z18" s="3">
        <f t="shared" ca="1" si="27"/>
        <v>4.4190807103522738E-2</v>
      </c>
      <c r="AA18" s="3">
        <f t="shared" ca="1" si="28"/>
        <v>4.767111476293117E-2</v>
      </c>
      <c r="AB18" s="3">
        <f t="shared" ca="1" si="29"/>
        <v>4.7999948180492233E-2</v>
      </c>
      <c r="AC18" s="3">
        <f t="shared" ca="1" si="30"/>
        <v>5.4870842147789173E-2</v>
      </c>
      <c r="AD18" s="3">
        <f t="shared" ca="1" si="31"/>
        <v>6.1487348190474272E-2</v>
      </c>
      <c r="AE18" s="3">
        <f t="shared" ca="1" si="32"/>
        <v>5.7235560299499458E-2</v>
      </c>
      <c r="AF18" s="3">
        <f t="shared" ca="1" si="33"/>
        <v>7.2738035746347476E-2</v>
      </c>
      <c r="AG18" s="3">
        <f t="shared" ca="1" si="34"/>
        <v>6.8718538516937169E-2</v>
      </c>
      <c r="AH18" s="3">
        <f t="shared" ca="1" si="35"/>
        <v>0.10580549609748617</v>
      </c>
      <c r="AI18" s="3">
        <f t="shared" ca="1" si="36"/>
        <v>8.2170607117273947E-2</v>
      </c>
      <c r="AJ18" s="3">
        <f t="shared" ca="1" si="5"/>
        <v>0.16415235118980423</v>
      </c>
    </row>
    <row r="19" spans="1:36" x14ac:dyDescent="0.35">
      <c r="A19" t="s">
        <v>63</v>
      </c>
      <c r="B19" t="s">
        <v>76</v>
      </c>
      <c r="C19" s="4" t="s">
        <v>72</v>
      </c>
      <c r="D19" s="3">
        <f t="shared" ca="1" si="4"/>
        <v>1.3408113325230795E-2</v>
      </c>
      <c r="E19" s="3">
        <f t="shared" ca="1" si="6"/>
        <v>1.2681929290234555E-2</v>
      </c>
      <c r="F19" s="3">
        <f t="shared" ca="1" si="7"/>
        <v>1.5562564904173929E-2</v>
      </c>
      <c r="G19" s="3">
        <f t="shared" ca="1" si="8"/>
        <v>1.4706714504824714E-2</v>
      </c>
      <c r="H19" s="3">
        <f t="shared" ca="1" si="9"/>
        <v>1.9048927787661766E-2</v>
      </c>
      <c r="I19" s="3">
        <f t="shared" ca="1" si="10"/>
        <v>1.5878257458817161E-2</v>
      </c>
      <c r="J19" s="3">
        <f t="shared" ca="1" si="11"/>
        <v>2.085130907302659E-2</v>
      </c>
      <c r="K19" s="3">
        <f t="shared" ca="1" si="12"/>
        <v>1.7944594783070707E-2</v>
      </c>
      <c r="L19" s="3">
        <f t="shared" ca="1" si="13"/>
        <v>2.2880720455501515E-2</v>
      </c>
      <c r="M19" s="3">
        <f t="shared" ca="1" si="14"/>
        <v>1.8980272273753495E-2</v>
      </c>
      <c r="N19" s="3">
        <f t="shared" ca="1" si="15"/>
        <v>2.5481510600265902E-2</v>
      </c>
      <c r="O19" s="3">
        <f t="shared" ca="1" si="16"/>
        <v>2.1649324957551664E-2</v>
      </c>
      <c r="P19" s="3">
        <f t="shared" ca="1" si="17"/>
        <v>2.619691950937568E-2</v>
      </c>
      <c r="Q19" s="3">
        <f t="shared" ca="1" si="18"/>
        <v>2.3609181993810152E-2</v>
      </c>
      <c r="R19" s="3">
        <f t="shared" ca="1" si="19"/>
        <v>2.8135334864312349E-2</v>
      </c>
      <c r="S19" s="3">
        <f t="shared" ca="1" si="20"/>
        <v>2.6134854804348608E-2</v>
      </c>
      <c r="T19" s="3">
        <f t="shared" ca="1" si="21"/>
        <v>3.0055285638435739E-2</v>
      </c>
      <c r="U19" s="3">
        <f t="shared" ca="1" si="22"/>
        <v>2.9134458497370046E-2</v>
      </c>
      <c r="V19" s="3">
        <f t="shared" ca="1" si="23"/>
        <v>3.0711238886089082E-2</v>
      </c>
      <c r="W19" s="3">
        <f t="shared" ca="1" si="24"/>
        <v>3.1531781680966542E-2</v>
      </c>
      <c r="X19" s="3">
        <f t="shared" ca="1" si="25"/>
        <v>3.6008781199407244E-2</v>
      </c>
      <c r="Y19" s="3">
        <f t="shared" ca="1" si="26"/>
        <v>3.7879925180752297E-2</v>
      </c>
      <c r="Z19" s="3">
        <f t="shared" ca="1" si="27"/>
        <v>4.5137471712592678E-2</v>
      </c>
      <c r="AA19" s="3">
        <f t="shared" ca="1" si="28"/>
        <v>4.8633861457387413E-2</v>
      </c>
      <c r="AB19" s="3">
        <f t="shared" ca="1" si="29"/>
        <v>4.8946540123321336E-2</v>
      </c>
      <c r="AC19" s="3">
        <f t="shared" ca="1" si="30"/>
        <v>5.5827303048571648E-2</v>
      </c>
      <c r="AD19" s="3">
        <f t="shared" ca="1" si="31"/>
        <v>6.2425484279590493E-2</v>
      </c>
      <c r="AE19" s="3">
        <f t="shared" ca="1" si="32"/>
        <v>5.8191378051954852E-2</v>
      </c>
      <c r="AF19" s="3">
        <f t="shared" ca="1" si="33"/>
        <v>7.3695385173499259E-2</v>
      </c>
      <c r="AG19" s="3">
        <f t="shared" ca="1" si="34"/>
        <v>6.964125691208374E-2</v>
      </c>
      <c r="AH19" s="3">
        <f t="shared" ca="1" si="35"/>
        <v>0.10673485015729411</v>
      </c>
      <c r="AI19" s="3">
        <f t="shared" ca="1" si="36"/>
        <v>8.3152962673066669E-2</v>
      </c>
      <c r="AJ19" s="3">
        <f t="shared" ca="1" si="5"/>
        <v>0.16514563104603747</v>
      </c>
    </row>
    <row r="20" spans="1:36" x14ac:dyDescent="0.35">
      <c r="A20" t="s">
        <v>63</v>
      </c>
      <c r="B20" t="s">
        <v>76</v>
      </c>
      <c r="C20" s="4">
        <v>6</v>
      </c>
      <c r="D20" s="3">
        <f t="shared" ca="1" si="4"/>
        <v>1.4394632355932279E-2</v>
      </c>
      <c r="E20" s="3">
        <f t="shared" ca="1" si="6"/>
        <v>1.3641195400122565E-2</v>
      </c>
      <c r="F20" s="3">
        <f t="shared" ca="1" si="7"/>
        <v>1.651138866842573E-2</v>
      </c>
      <c r="G20" s="3">
        <f t="shared" ca="1" si="8"/>
        <v>1.5625723815489757E-2</v>
      </c>
      <c r="H20" s="3">
        <f t="shared" ca="1" si="9"/>
        <v>1.9956837306065185E-2</v>
      </c>
      <c r="I20" s="3">
        <f t="shared" ca="1" si="10"/>
        <v>1.6805444461140382E-2</v>
      </c>
      <c r="J20" s="3">
        <f t="shared" ca="1" si="11"/>
        <v>2.1833474018499603E-2</v>
      </c>
      <c r="K20" s="3">
        <f t="shared" ca="1" si="12"/>
        <v>1.8919188002477286E-2</v>
      </c>
      <c r="L20" s="3">
        <f t="shared" ca="1" si="13"/>
        <v>2.3849290430718456E-2</v>
      </c>
      <c r="M20" s="3">
        <f t="shared" ca="1" si="14"/>
        <v>1.9908803782563697E-2</v>
      </c>
      <c r="N20" s="3">
        <f t="shared" ca="1" si="15"/>
        <v>2.6462944069891515E-2</v>
      </c>
      <c r="O20" s="3">
        <f t="shared" ca="1" si="16"/>
        <v>2.262791416794336E-2</v>
      </c>
      <c r="P20" s="3">
        <f t="shared" ca="1" si="17"/>
        <v>2.7147134854824308E-2</v>
      </c>
      <c r="Q20" s="3">
        <f t="shared" ca="1" si="18"/>
        <v>2.4562169569610253E-2</v>
      </c>
      <c r="R20" s="3">
        <f t="shared" ca="1" si="19"/>
        <v>2.9104147945340452E-2</v>
      </c>
      <c r="S20" s="3">
        <f t="shared" ca="1" si="20"/>
        <v>2.7060606825952453E-2</v>
      </c>
      <c r="T20" s="3">
        <f t="shared" ca="1" si="21"/>
        <v>3.0999879297719943E-2</v>
      </c>
      <c r="U20" s="3">
        <f t="shared" ca="1" si="22"/>
        <v>3.0059677072176418E-2</v>
      </c>
      <c r="V20" s="3">
        <f t="shared" ca="1" si="23"/>
        <v>3.1621595809218556E-2</v>
      </c>
      <c r="W20" s="3">
        <f t="shared" ca="1" si="24"/>
        <v>3.2446684763107428E-2</v>
      </c>
      <c r="X20" s="3">
        <f t="shared" ca="1" si="25"/>
        <v>3.6973307693038533E-2</v>
      </c>
      <c r="Y20" s="3">
        <f t="shared" ca="1" si="26"/>
        <v>3.8842944705607375E-2</v>
      </c>
      <c r="Z20" s="3">
        <f t="shared" ca="1" si="27"/>
        <v>4.607591385737831E-2</v>
      </c>
      <c r="AA20" s="3">
        <f t="shared" ca="1" si="28"/>
        <v>4.9558862356386513E-2</v>
      </c>
      <c r="AB20" s="3">
        <f t="shared" ca="1" si="29"/>
        <v>4.992136868253224E-2</v>
      </c>
      <c r="AC20" s="3">
        <f t="shared" ca="1" si="30"/>
        <v>5.6736146079593958E-2</v>
      </c>
      <c r="AD20" s="3">
        <f t="shared" ca="1" si="31"/>
        <v>6.3419592924496504E-2</v>
      </c>
      <c r="AE20" s="3">
        <f t="shared" ca="1" si="32"/>
        <v>5.917530670384509E-2</v>
      </c>
      <c r="AF20" s="3">
        <f t="shared" ca="1" si="33"/>
        <v>7.4688123714337293E-2</v>
      </c>
      <c r="AG20" s="3">
        <f t="shared" ca="1" si="34"/>
        <v>7.0542829353237066E-2</v>
      </c>
      <c r="AH20" s="3">
        <f t="shared" ca="1" si="35"/>
        <v>0.10769830910672</v>
      </c>
      <c r="AI20" s="3">
        <f t="shared" ca="1" si="36"/>
        <v>8.4058753798955985E-2</v>
      </c>
      <c r="AJ20" s="3">
        <f t="shared" ca="1" si="5"/>
        <v>0.16606265565797121</v>
      </c>
    </row>
    <row r="21" spans="1:36" x14ac:dyDescent="0.35">
      <c r="A21" t="s">
        <v>63</v>
      </c>
      <c r="B21" t="s">
        <v>76</v>
      </c>
      <c r="C21" s="4" t="s">
        <v>73</v>
      </c>
      <c r="D21" s="3">
        <f t="shared" ca="1" si="4"/>
        <v>1.5386936351762144E-2</v>
      </c>
      <c r="E21" s="3">
        <f t="shared" ca="1" si="6"/>
        <v>1.454762870130992E-2</v>
      </c>
      <c r="F21" s="3">
        <f t="shared" ca="1" si="7"/>
        <v>1.7500013892154376E-2</v>
      </c>
      <c r="G21" s="3">
        <f t="shared" ca="1" si="8"/>
        <v>1.6621741231034878E-2</v>
      </c>
      <c r="H21" s="3">
        <f t="shared" ca="1" si="9"/>
        <v>2.0921713832228468E-2</v>
      </c>
      <c r="I21" s="3">
        <f t="shared" ca="1" si="10"/>
        <v>1.7744135370678416E-2</v>
      </c>
      <c r="J21" s="3">
        <f t="shared" ca="1" si="11"/>
        <v>2.2785054890590246E-2</v>
      </c>
      <c r="K21" s="3">
        <f t="shared" ca="1" si="12"/>
        <v>1.9844510714854116E-2</v>
      </c>
      <c r="L21" s="3">
        <f t="shared" ca="1" si="13"/>
        <v>2.4760181910827649E-2</v>
      </c>
      <c r="M21" s="3">
        <f t="shared" ca="1" si="14"/>
        <v>2.0897262463629565E-2</v>
      </c>
      <c r="N21" s="3">
        <f t="shared" ca="1" si="15"/>
        <v>2.7412569454329811E-2</v>
      </c>
      <c r="O21" s="3">
        <f t="shared" ca="1" si="16"/>
        <v>2.35702251783577E-2</v>
      </c>
      <c r="P21" s="3">
        <f t="shared" ca="1" si="17"/>
        <v>2.8058277735596548E-2</v>
      </c>
      <c r="Q21" s="3">
        <f t="shared" ca="1" si="18"/>
        <v>2.5555017233816622E-2</v>
      </c>
      <c r="R21" s="3">
        <f t="shared" ca="1" si="19"/>
        <v>3.0078642714833043E-2</v>
      </c>
      <c r="S21" s="3">
        <f t="shared" ca="1" si="20"/>
        <v>2.7981916774979947E-2</v>
      </c>
      <c r="T21" s="3">
        <f t="shared" ca="1" si="21"/>
        <v>3.1965951382485029E-2</v>
      </c>
      <c r="U21" s="3">
        <f t="shared" ca="1" si="22"/>
        <v>3.0990554205338226E-2</v>
      </c>
      <c r="V21" s="3">
        <f t="shared" ca="1" si="23"/>
        <v>3.2530191387907158E-2</v>
      </c>
      <c r="W21" s="3">
        <f t="shared" ca="1" si="24"/>
        <v>3.3425487108905236E-2</v>
      </c>
      <c r="X21" s="3">
        <f t="shared" ca="1" si="25"/>
        <v>3.796719517272245E-2</v>
      </c>
      <c r="Y21" s="3">
        <f t="shared" ca="1" si="26"/>
        <v>3.9804531296219851E-2</v>
      </c>
      <c r="Z21" s="3">
        <f t="shared" ca="1" si="27"/>
        <v>4.7001829703067502E-2</v>
      </c>
      <c r="AA21" s="3">
        <f t="shared" ca="1" si="28"/>
        <v>5.0524644663008642E-2</v>
      </c>
      <c r="AB21" s="3">
        <f t="shared" ca="1" si="29"/>
        <v>5.0873881910314611E-2</v>
      </c>
      <c r="AC21" s="3">
        <f t="shared" ca="1" si="30"/>
        <v>5.7673874968464336E-2</v>
      </c>
      <c r="AD21" s="3">
        <f t="shared" ca="1" si="31"/>
        <v>6.4384887718954939E-2</v>
      </c>
      <c r="AE21" s="3">
        <f t="shared" ca="1" si="32"/>
        <v>6.0078567578935128E-2</v>
      </c>
      <c r="AF21" s="3">
        <f t="shared" ca="1" si="33"/>
        <v>7.5639311339377194E-2</v>
      </c>
      <c r="AG21" s="3">
        <f t="shared" ca="1" si="34"/>
        <v>7.1541802076112423E-2</v>
      </c>
      <c r="AH21" s="3">
        <f t="shared" ca="1" si="35"/>
        <v>0.10865107764986413</v>
      </c>
      <c r="AI21" s="3">
        <f t="shared" ca="1" si="36"/>
        <v>8.4983719065489155E-2</v>
      </c>
      <c r="AJ21" s="3">
        <f t="shared" ca="1" si="5"/>
        <v>0.16699298878463481</v>
      </c>
    </row>
    <row r="22" spans="1:36" x14ac:dyDescent="0.35">
      <c r="A22" t="s">
        <v>63</v>
      </c>
      <c r="B22" t="s">
        <v>76</v>
      </c>
      <c r="C22" s="4" t="s">
        <v>74</v>
      </c>
      <c r="D22" s="3">
        <f t="shared" ca="1" si="4"/>
        <v>1.6316337697384303E-2</v>
      </c>
      <c r="E22" s="3">
        <f t="shared" ca="1" si="6"/>
        <v>1.5538279054390536E-2</v>
      </c>
      <c r="F22" s="3">
        <f t="shared" ca="1" si="7"/>
        <v>1.8402286295640922E-2</v>
      </c>
      <c r="G22" s="3">
        <f t="shared" ca="1" si="8"/>
        <v>1.7541311257806242E-2</v>
      </c>
      <c r="H22" s="3">
        <f t="shared" ca="1" si="9"/>
        <v>2.1876947885218725E-2</v>
      </c>
      <c r="I22" s="3">
        <f t="shared" ca="1" si="10"/>
        <v>1.868934603688233E-2</v>
      </c>
      <c r="J22" s="3">
        <f t="shared" ca="1" si="11"/>
        <v>2.373897653538783E-2</v>
      </c>
      <c r="K22" s="3">
        <f t="shared" ca="1" si="12"/>
        <v>2.0794991529974181E-2</v>
      </c>
      <c r="L22" s="3">
        <f t="shared" ca="1" si="13"/>
        <v>2.5733787315479706E-2</v>
      </c>
      <c r="M22" s="3">
        <f t="shared" ca="1" si="14"/>
        <v>2.1849105925949804E-2</v>
      </c>
      <c r="N22" s="3">
        <f t="shared" ca="1" si="15"/>
        <v>2.835686233478946E-2</v>
      </c>
      <c r="O22" s="3">
        <f t="shared" ca="1" si="16"/>
        <v>2.450173551353688E-2</v>
      </c>
      <c r="P22" s="3">
        <f t="shared" ca="1" si="17"/>
        <v>2.9012636013329172E-2</v>
      </c>
      <c r="Q22" s="3">
        <f t="shared" ca="1" si="18"/>
        <v>2.6543480492738403E-2</v>
      </c>
      <c r="R22" s="3">
        <f t="shared" ca="1" si="19"/>
        <v>3.1062942723031752E-2</v>
      </c>
      <c r="S22" s="3">
        <f t="shared" ca="1" si="20"/>
        <v>2.8978071046557342E-2</v>
      </c>
      <c r="T22" s="3">
        <f t="shared" ca="1" si="21"/>
        <v>3.287394153583726E-2</v>
      </c>
      <c r="U22" s="3">
        <f t="shared" ca="1" si="22"/>
        <v>3.1901813714334384E-2</v>
      </c>
      <c r="V22" s="3">
        <f t="shared" ca="1" si="23"/>
        <v>3.3524863128918954E-2</v>
      </c>
      <c r="W22" s="3">
        <f t="shared" ca="1" si="24"/>
        <v>3.4344331226903335E-2</v>
      </c>
      <c r="X22" s="3">
        <f t="shared" ca="1" si="25"/>
        <v>3.8933285833749227E-2</v>
      </c>
      <c r="Y22" s="3">
        <f t="shared" ca="1" si="26"/>
        <v>4.073923200464704E-2</v>
      </c>
      <c r="Z22" s="3">
        <f t="shared" ca="1" si="27"/>
        <v>4.7929645632501405E-2</v>
      </c>
      <c r="AA22" s="3">
        <f t="shared" ca="1" si="28"/>
        <v>5.1500608686178603E-2</v>
      </c>
      <c r="AB22" s="3">
        <f t="shared" ca="1" si="29"/>
        <v>5.1821075526127518E-2</v>
      </c>
      <c r="AC22" s="3">
        <f t="shared" ca="1" si="30"/>
        <v>5.8600282742797306E-2</v>
      </c>
      <c r="AD22" s="3">
        <f t="shared" ca="1" si="31"/>
        <v>6.5287347364944515E-2</v>
      </c>
      <c r="AE22" s="3">
        <f t="shared" ca="1" si="32"/>
        <v>6.1028208709063073E-2</v>
      </c>
      <c r="AF22" s="3">
        <f t="shared" ca="1" si="33"/>
        <v>7.6540180222477078E-2</v>
      </c>
      <c r="AG22" s="3">
        <f t="shared" ca="1" si="34"/>
        <v>7.2502936802017248E-2</v>
      </c>
      <c r="AH22" s="3">
        <f t="shared" ca="1" si="35"/>
        <v>0.10959289197554839</v>
      </c>
      <c r="AI22" s="3">
        <f t="shared" ca="1" si="36"/>
        <v>8.5969160480037971E-2</v>
      </c>
      <c r="AJ22" s="3">
        <f t="shared" ca="1" si="5"/>
        <v>0.16793474800599617</v>
      </c>
    </row>
    <row r="23" spans="1:36" x14ac:dyDescent="0.35">
      <c r="A23" t="s">
        <v>63</v>
      </c>
      <c r="B23" t="s">
        <v>76</v>
      </c>
      <c r="C23" s="4">
        <v>7</v>
      </c>
      <c r="D23" s="3">
        <f t="shared" ca="1" si="4"/>
        <v>1.7226710086550308E-2</v>
      </c>
      <c r="E23" s="3">
        <f t="shared" ca="1" si="6"/>
        <v>1.6453362690508275E-2</v>
      </c>
      <c r="F23" s="3">
        <f t="shared" ca="1" si="7"/>
        <v>1.9345344187116687E-2</v>
      </c>
      <c r="G23" s="3">
        <f t="shared" ca="1" si="8"/>
        <v>1.8458083368384004E-2</v>
      </c>
      <c r="H23" s="3">
        <f t="shared" ca="1" si="9"/>
        <v>2.2794438285014353E-2</v>
      </c>
      <c r="I23" s="3">
        <f t="shared" ca="1" si="10"/>
        <v>1.9673062716267599E-2</v>
      </c>
      <c r="J23" s="3">
        <f t="shared" ca="1" si="11"/>
        <v>2.4729653518105847E-2</v>
      </c>
      <c r="K23" s="3">
        <f t="shared" ca="1" si="12"/>
        <v>2.1736860398129713E-2</v>
      </c>
      <c r="L23" s="3">
        <f t="shared" ca="1" si="13"/>
        <v>2.6668287764437408E-2</v>
      </c>
      <c r="M23" s="3">
        <f t="shared" ca="1" si="14"/>
        <v>2.2834791632298294E-2</v>
      </c>
      <c r="N23" s="3">
        <f t="shared" ca="1" si="15"/>
        <v>2.9265929075964033E-2</v>
      </c>
      <c r="O23" s="3">
        <f t="shared" ca="1" si="16"/>
        <v>2.5415459108561422E-2</v>
      </c>
      <c r="P23" s="3">
        <f t="shared" ca="1" si="17"/>
        <v>3.0000408365831226E-2</v>
      </c>
      <c r="Q23" s="3">
        <f t="shared" ca="1" si="18"/>
        <v>2.7480505227598633E-2</v>
      </c>
      <c r="R23" s="3">
        <f t="shared" ca="1" si="19"/>
        <v>3.2054880705174676E-2</v>
      </c>
      <c r="S23" s="3">
        <f t="shared" ca="1" si="20"/>
        <v>2.9895950672121752E-2</v>
      </c>
      <c r="T23" s="3">
        <f t="shared" ca="1" si="21"/>
        <v>3.3868544012707703E-2</v>
      </c>
      <c r="U23" s="3">
        <f t="shared" ca="1" si="22"/>
        <v>3.2885630716157327E-2</v>
      </c>
      <c r="V23" s="3">
        <f t="shared" ca="1" si="23"/>
        <v>3.4460831225618056E-2</v>
      </c>
      <c r="W23" s="3">
        <f t="shared" ca="1" si="24"/>
        <v>3.5329980357340432E-2</v>
      </c>
      <c r="X23" s="3">
        <f t="shared" ca="1" si="25"/>
        <v>3.9848456895077031E-2</v>
      </c>
      <c r="Y23" s="3">
        <f t="shared" ca="1" si="26"/>
        <v>4.1668428605155391E-2</v>
      </c>
      <c r="Z23" s="3">
        <f t="shared" ca="1" si="27"/>
        <v>4.8887780807242896E-2</v>
      </c>
      <c r="AA23" s="3">
        <f t="shared" ca="1" si="28"/>
        <v>5.2483147803501003E-2</v>
      </c>
      <c r="AB23" s="3">
        <f t="shared" ca="1" si="29"/>
        <v>5.2789868959764417E-2</v>
      </c>
      <c r="AC23" s="3">
        <f t="shared" ca="1" si="30"/>
        <v>5.9587536934887456E-2</v>
      </c>
      <c r="AD23" s="3">
        <f t="shared" ca="1" si="31"/>
        <v>6.6191822836581288E-2</v>
      </c>
      <c r="AE23" s="3">
        <f t="shared" ca="1" si="32"/>
        <v>6.1967285148231542E-2</v>
      </c>
      <c r="AF23" s="3">
        <f t="shared" ca="1" si="33"/>
        <v>7.7469532236430397E-2</v>
      </c>
      <c r="AG23" s="3">
        <f t="shared" ca="1" si="34"/>
        <v>7.3439550165172562E-2</v>
      </c>
      <c r="AH23" s="3">
        <f t="shared" ca="1" si="35"/>
        <v>0.11056056495424174</v>
      </c>
      <c r="AI23" s="3">
        <f t="shared" ca="1" si="36"/>
        <v>8.6958162508376527E-2</v>
      </c>
      <c r="AJ23" s="3">
        <f t="shared" ca="1" si="5"/>
        <v>0.16889210828009404</v>
      </c>
    </row>
    <row r="24" spans="1:36" x14ac:dyDescent="0.35">
      <c r="A24" t="s">
        <v>63</v>
      </c>
      <c r="B24" t="s">
        <v>76</v>
      </c>
      <c r="C24" s="4" t="s">
        <v>75</v>
      </c>
      <c r="D24" s="3">
        <f t="shared" ca="1" si="4"/>
        <v>1.8128009240577364E-2</v>
      </c>
      <c r="E24" s="3">
        <f t="shared" ca="1" si="6"/>
        <v>1.7361062024404472E-2</v>
      </c>
      <c r="F24" s="3">
        <f t="shared" ca="1" si="7"/>
        <v>2.0344876758119395E-2</v>
      </c>
      <c r="G24" s="3">
        <f t="shared" ca="1" si="8"/>
        <v>1.9401094330894812E-2</v>
      </c>
      <c r="H24" s="3">
        <f t="shared" ca="1" si="9"/>
        <v>2.3754541829204532E-2</v>
      </c>
      <c r="I24" s="3">
        <f t="shared" ca="1" si="10"/>
        <v>2.0672201740085081E-2</v>
      </c>
      <c r="J24" s="3">
        <f t="shared" ca="1" si="11"/>
        <v>2.568068581481435E-2</v>
      </c>
      <c r="K24" s="3">
        <f t="shared" ca="1" si="12"/>
        <v>2.2664797669197115E-2</v>
      </c>
      <c r="L24" s="3">
        <f t="shared" ca="1" si="13"/>
        <v>2.7644006949034045E-2</v>
      </c>
      <c r="M24" s="3">
        <f t="shared" ca="1" si="14"/>
        <v>2.3795570610540669E-2</v>
      </c>
      <c r="N24" s="3">
        <f t="shared" ca="1" si="15"/>
        <v>3.0248120067561998E-2</v>
      </c>
      <c r="O24" s="3">
        <f t="shared" ca="1" si="16"/>
        <v>2.636141593659529E-2</v>
      </c>
      <c r="P24" s="3">
        <f t="shared" ca="1" si="17"/>
        <v>3.0999578985167791E-2</v>
      </c>
      <c r="Q24" s="3">
        <f t="shared" ca="1" si="18"/>
        <v>2.8436850770994188E-2</v>
      </c>
      <c r="R24" s="3">
        <f t="shared" ca="1" si="19"/>
        <v>3.3033607776862088E-2</v>
      </c>
      <c r="S24" s="3">
        <f t="shared" ca="1" si="20"/>
        <v>3.0838425467124876E-2</v>
      </c>
      <c r="T24" s="3">
        <f t="shared" ca="1" si="21"/>
        <v>3.4854553001836049E-2</v>
      </c>
      <c r="U24" s="3">
        <f t="shared" ca="1" si="22"/>
        <v>3.3879868880372109E-2</v>
      </c>
      <c r="V24" s="3">
        <f t="shared" ca="1" si="23"/>
        <v>3.5401078304836291E-2</v>
      </c>
      <c r="W24" s="3">
        <f t="shared" ca="1" si="24"/>
        <v>3.6238380121084712E-2</v>
      </c>
      <c r="X24" s="3">
        <f t="shared" ca="1" si="25"/>
        <v>4.0779280047233524E-2</v>
      </c>
      <c r="Y24" s="3">
        <f t="shared" ca="1" si="26"/>
        <v>4.2589542216064404E-2</v>
      </c>
      <c r="Z24" s="3">
        <f t="shared" ca="1" si="27"/>
        <v>4.9838985429889016E-2</v>
      </c>
      <c r="AA24" s="3">
        <f t="shared" ca="1" si="28"/>
        <v>5.341735812115013E-2</v>
      </c>
      <c r="AB24" s="3">
        <f t="shared" ca="1" si="29"/>
        <v>5.372525744056713E-2</v>
      </c>
      <c r="AC24" s="3">
        <f t="shared" ca="1" si="30"/>
        <v>6.0514150933259549E-2</v>
      </c>
      <c r="AD24" s="3">
        <f t="shared" ca="1" si="31"/>
        <v>6.714202028813375E-2</v>
      </c>
      <c r="AE24" s="3">
        <f t="shared" ca="1" si="32"/>
        <v>6.2890499199080435E-2</v>
      </c>
      <c r="AF24" s="3">
        <f t="shared" ca="1" si="33"/>
        <v>7.8423101080066782E-2</v>
      </c>
      <c r="AG24" s="3">
        <f t="shared" ca="1" si="34"/>
        <v>7.4406791801274186E-2</v>
      </c>
      <c r="AH24" s="3">
        <f t="shared" ca="1" si="35"/>
        <v>0.11148382515303333</v>
      </c>
      <c r="AI24" s="3">
        <f t="shared" ca="1" si="36"/>
        <v>8.7943961382403318E-2</v>
      </c>
      <c r="AJ24" s="3">
        <f t="shared" ca="1" si="5"/>
        <v>0.1698647046093624</v>
      </c>
    </row>
    <row r="25" spans="1:36" x14ac:dyDescent="0.35">
      <c r="A25" t="s">
        <v>63</v>
      </c>
      <c r="B25" t="s">
        <v>61</v>
      </c>
      <c r="C25" s="4">
        <v>1</v>
      </c>
      <c r="D25" s="3">
        <f ca="1">MIN(0.99,D6+$D$3)</f>
        <v>1.9707969626876045E-3</v>
      </c>
      <c r="E25" s="3">
        <f t="shared" ref="E25:AJ25" ca="1" si="37">MIN(0.99,E6+$D$3)</f>
        <v>1.5690660305090498E-3</v>
      </c>
      <c r="F25" s="3">
        <f t="shared" ca="1" si="37"/>
        <v>4.1215214995948008E-3</v>
      </c>
      <c r="G25" s="3">
        <f t="shared" ca="1" si="37"/>
        <v>3.2932758302096801E-3</v>
      </c>
      <c r="H25" s="3">
        <f t="shared" ca="1" si="37"/>
        <v>7.6388033787045386E-3</v>
      </c>
      <c r="I25" s="3">
        <f t="shared" ca="1" si="37"/>
        <v>4.4187236416048424E-3</v>
      </c>
      <c r="J25" s="3">
        <f t="shared" ca="1" si="37"/>
        <v>9.437289767064809E-3</v>
      </c>
      <c r="K25" s="3">
        <f t="shared" ca="1" si="37"/>
        <v>6.60479264892331E-3</v>
      </c>
      <c r="L25" s="3">
        <f t="shared" ca="1" si="37"/>
        <v>1.1562939556702796E-2</v>
      </c>
      <c r="M25" s="3">
        <f t="shared" ca="1" si="37"/>
        <v>7.7295108429775517E-3</v>
      </c>
      <c r="N25" s="3">
        <f t="shared" ca="1" si="37"/>
        <v>1.4083641457633196E-2</v>
      </c>
      <c r="O25" s="3">
        <f t="shared" ca="1" si="37"/>
        <v>1.0371449619040525E-2</v>
      </c>
      <c r="P25" s="3">
        <f t="shared" ca="1" si="37"/>
        <v>1.4998260665686124E-2</v>
      </c>
      <c r="Q25" s="3">
        <f t="shared" ca="1" si="37"/>
        <v>1.2318788149466117E-2</v>
      </c>
      <c r="R25" s="3">
        <f t="shared" ca="1" si="37"/>
        <v>1.679611868064123E-2</v>
      </c>
      <c r="S25" s="3">
        <f t="shared" ca="1" si="37"/>
        <v>1.4624021436794039E-2</v>
      </c>
      <c r="T25" s="3">
        <f t="shared" ca="1" si="37"/>
        <v>1.8683665660623912E-2</v>
      </c>
      <c r="U25" s="3">
        <f t="shared" ca="1" si="37"/>
        <v>1.773076720537229E-2</v>
      </c>
      <c r="V25" s="3">
        <f t="shared" ca="1" si="37"/>
        <v>1.9270831647034782E-2</v>
      </c>
      <c r="W25" s="3">
        <f t="shared" ca="1" si="37"/>
        <v>2.0103070506232175E-2</v>
      </c>
      <c r="X25" s="3">
        <f t="shared" ca="1" si="37"/>
        <v>2.4690411886367974E-2</v>
      </c>
      <c r="Y25" s="3">
        <f t="shared" ca="1" si="37"/>
        <v>2.6553909995353071E-2</v>
      </c>
      <c r="Z25" s="3">
        <f t="shared" ca="1" si="37"/>
        <v>3.3879358420199471E-2</v>
      </c>
      <c r="AA25" s="3">
        <f t="shared" ca="1" si="37"/>
        <v>3.7237765728436345E-2</v>
      </c>
      <c r="AB25" s="3">
        <f t="shared" ca="1" si="37"/>
        <v>3.769767664916171E-2</v>
      </c>
      <c r="AC25" s="3">
        <f t="shared" ca="1" si="37"/>
        <v>4.4366275859263407E-2</v>
      </c>
      <c r="AD25" s="3">
        <f t="shared" ca="1" si="37"/>
        <v>5.0869002402212635E-2</v>
      </c>
      <c r="AE25" s="3">
        <f t="shared" ca="1" si="37"/>
        <v>4.6835099773856123E-2</v>
      </c>
      <c r="AF25" s="3">
        <f t="shared" ca="1" si="37"/>
        <v>6.2391657822298011E-2</v>
      </c>
      <c r="AG25" s="3">
        <f t="shared" ca="1" si="37"/>
        <v>5.8332463289560002E-2</v>
      </c>
      <c r="AH25" s="3">
        <f t="shared" ca="1" si="37"/>
        <v>9.5340240325817574E-2</v>
      </c>
      <c r="AI25" s="3">
        <f t="shared" ca="1" si="37"/>
        <v>7.1781168519010605E-2</v>
      </c>
      <c r="AJ25" s="3">
        <f t="shared" ca="1" si="37"/>
        <v>0.15366365671004434</v>
      </c>
    </row>
    <row r="26" spans="1:36" x14ac:dyDescent="0.35">
      <c r="A26" t="s">
        <v>63</v>
      </c>
      <c r="B26" t="s">
        <v>61</v>
      </c>
      <c r="C26" s="4" t="s">
        <v>64</v>
      </c>
      <c r="D26" s="3">
        <f t="shared" ref="D26:AJ26" ca="1" si="38">MIN(0.99,D7+$D$3)</f>
        <v>2.9384593379258644E-3</v>
      </c>
      <c r="E26" s="3">
        <f t="shared" ca="1" si="38"/>
        <v>2.4807373623102753E-3</v>
      </c>
      <c r="F26" s="3">
        <f t="shared" ca="1" si="38"/>
        <v>5.0578600405059345E-3</v>
      </c>
      <c r="G26" s="3">
        <f t="shared" ca="1" si="38"/>
        <v>4.2354742186098372E-3</v>
      </c>
      <c r="H26" s="3">
        <f t="shared" ca="1" si="38"/>
        <v>8.5601048732201132E-3</v>
      </c>
      <c r="I26" s="3">
        <f t="shared" ca="1" si="38"/>
        <v>5.3496928258317351E-3</v>
      </c>
      <c r="J26" s="3">
        <f t="shared" ca="1" si="38"/>
        <v>1.0368869380813807E-2</v>
      </c>
      <c r="K26" s="3">
        <f t="shared" ca="1" si="38"/>
        <v>7.5057938319108885E-3</v>
      </c>
      <c r="L26" s="3">
        <f t="shared" ca="1" si="38"/>
        <v>1.2533731775278417E-2</v>
      </c>
      <c r="M26" s="3">
        <f t="shared" ca="1" si="38"/>
        <v>8.7039464028803686E-3</v>
      </c>
      <c r="N26" s="3">
        <f t="shared" ca="1" si="38"/>
        <v>1.4998045558863703E-2</v>
      </c>
      <c r="O26" s="3">
        <f t="shared" ca="1" si="38"/>
        <v>1.1319499482248273E-2</v>
      </c>
      <c r="P26" s="3">
        <f t="shared" ca="1" si="38"/>
        <v>1.5900513361676648E-2</v>
      </c>
      <c r="Q26" s="3">
        <f t="shared" ca="1" si="38"/>
        <v>1.3293840655751878E-2</v>
      </c>
      <c r="R26" s="3">
        <f t="shared" ca="1" si="38"/>
        <v>1.7773413117536999E-2</v>
      </c>
      <c r="S26" s="3">
        <f t="shared" ca="1" si="38"/>
        <v>1.5587949221233615E-2</v>
      </c>
      <c r="T26" s="3">
        <f t="shared" ca="1" si="38"/>
        <v>1.9614214425005393E-2</v>
      </c>
      <c r="U26" s="3">
        <f t="shared" ca="1" si="38"/>
        <v>1.8678737189284221E-2</v>
      </c>
      <c r="V26" s="3">
        <f t="shared" ca="1" si="38"/>
        <v>2.0200750885015883E-2</v>
      </c>
      <c r="W26" s="3">
        <f t="shared" ca="1" si="38"/>
        <v>2.1011378944985837E-2</v>
      </c>
      <c r="X26" s="3">
        <f t="shared" ca="1" si="38"/>
        <v>2.5626372878004421E-2</v>
      </c>
      <c r="Y26" s="3">
        <f t="shared" ca="1" si="38"/>
        <v>2.7536905966197168E-2</v>
      </c>
      <c r="Z26" s="3">
        <f t="shared" ca="1" si="38"/>
        <v>3.4863018343289802E-2</v>
      </c>
      <c r="AA26" s="3">
        <f t="shared" ca="1" si="38"/>
        <v>3.8163404257570525E-2</v>
      </c>
      <c r="AB26" s="3">
        <f t="shared" ca="1" si="38"/>
        <v>3.8609863437189543E-2</v>
      </c>
      <c r="AC26" s="3">
        <f t="shared" ca="1" si="38"/>
        <v>4.5343236775646785E-2</v>
      </c>
      <c r="AD26" s="3">
        <f t="shared" ca="1" si="38"/>
        <v>5.1844269055930356E-2</v>
      </c>
      <c r="AE26" s="3">
        <f t="shared" ca="1" si="38"/>
        <v>4.7801946744002836E-2</v>
      </c>
      <c r="AF26" s="3">
        <f t="shared" ca="1" si="38"/>
        <v>6.3333380176231718E-2</v>
      </c>
      <c r="AG26" s="3">
        <f t="shared" ca="1" si="38"/>
        <v>5.9293849091046354E-2</v>
      </c>
      <c r="AH26" s="3">
        <f t="shared" ca="1" si="38"/>
        <v>9.626271352262436E-2</v>
      </c>
      <c r="AI26" s="3">
        <f t="shared" ca="1" si="38"/>
        <v>7.2737530171032183E-2</v>
      </c>
      <c r="AJ26" s="3">
        <f t="shared" ca="1" si="38"/>
        <v>0.15456743211738025</v>
      </c>
    </row>
    <row r="27" spans="1:36" x14ac:dyDescent="0.35">
      <c r="A27" t="s">
        <v>63</v>
      </c>
      <c r="B27" t="s">
        <v>61</v>
      </c>
      <c r="C27" s="4">
        <v>2</v>
      </c>
      <c r="D27" s="3">
        <f t="shared" ref="D27:AJ27" ca="1" si="39">MIN(0.99,D8+$D$3)</f>
        <v>3.9228797801682735E-3</v>
      </c>
      <c r="E27" s="3">
        <f t="shared" ca="1" si="39"/>
        <v>3.3829556671498753E-3</v>
      </c>
      <c r="F27" s="3">
        <f t="shared" ca="1" si="39"/>
        <v>6.0186621216086304E-3</v>
      </c>
      <c r="G27" s="3">
        <f t="shared" ca="1" si="39"/>
        <v>5.1526665779722371E-3</v>
      </c>
      <c r="H27" s="3">
        <f t="shared" ca="1" si="39"/>
        <v>9.4799430690968856E-3</v>
      </c>
      <c r="I27" s="3">
        <f t="shared" ca="1" si="39"/>
        <v>6.3240730137960038E-3</v>
      </c>
      <c r="J27" s="3">
        <f t="shared" ca="1" si="39"/>
        <v>1.1355998601632045E-2</v>
      </c>
      <c r="K27" s="3">
        <f t="shared" ca="1" si="39"/>
        <v>8.4175861783362151E-3</v>
      </c>
      <c r="L27" s="3">
        <f t="shared" ca="1" si="39"/>
        <v>1.3439573820187376E-2</v>
      </c>
      <c r="M27" s="3">
        <f t="shared" ca="1" si="39"/>
        <v>9.6273402328927171E-3</v>
      </c>
      <c r="N27" s="3">
        <f t="shared" ca="1" si="39"/>
        <v>1.5932006874559125E-2</v>
      </c>
      <c r="O27" s="3">
        <f t="shared" ca="1" si="39"/>
        <v>1.2264004365093038E-2</v>
      </c>
      <c r="P27" s="3">
        <f t="shared" ca="1" si="39"/>
        <v>1.6818215378177993E-2</v>
      </c>
      <c r="Q27" s="3">
        <f t="shared" ca="1" si="39"/>
        <v>1.427398900257134E-2</v>
      </c>
      <c r="R27" s="3">
        <f t="shared" ca="1" si="39"/>
        <v>1.8692704390182779E-2</v>
      </c>
      <c r="S27" s="3">
        <f t="shared" ca="1" si="39"/>
        <v>1.6548346558081448E-2</v>
      </c>
      <c r="T27" s="3">
        <f t="shared" ca="1" si="39"/>
        <v>2.0528487849154519E-2</v>
      </c>
      <c r="U27" s="3">
        <f t="shared" ca="1" si="39"/>
        <v>1.9587883536819766E-2</v>
      </c>
      <c r="V27" s="3">
        <f t="shared" ca="1" si="39"/>
        <v>2.1169494869658793E-2</v>
      </c>
      <c r="W27" s="3">
        <f t="shared" ca="1" si="39"/>
        <v>2.1937610965666567E-2</v>
      </c>
      <c r="X27" s="3">
        <f t="shared" ca="1" si="39"/>
        <v>2.6532719612774508E-2</v>
      </c>
      <c r="Y27" s="3">
        <f t="shared" ca="1" si="39"/>
        <v>2.8504210216960913E-2</v>
      </c>
      <c r="Z27" s="3">
        <f t="shared" ca="1" si="39"/>
        <v>3.5763635083073404E-2</v>
      </c>
      <c r="AA27" s="3">
        <f t="shared" ca="1" si="39"/>
        <v>3.9153464053501702E-2</v>
      </c>
      <c r="AB27" s="3">
        <f t="shared" ca="1" si="39"/>
        <v>3.9566450079826405E-2</v>
      </c>
      <c r="AC27" s="3">
        <f t="shared" ca="1" si="39"/>
        <v>4.6337382464555522E-2</v>
      </c>
      <c r="AD27" s="3">
        <f t="shared" ca="1" si="39"/>
        <v>5.2832197191042853E-2</v>
      </c>
      <c r="AE27" s="3">
        <f t="shared" ca="1" si="39"/>
        <v>4.877184568105293E-2</v>
      </c>
      <c r="AF27" s="3">
        <f t="shared" ca="1" si="39"/>
        <v>6.4237789522823871E-2</v>
      </c>
      <c r="AG27" s="3">
        <f t="shared" ca="1" si="39"/>
        <v>6.0255274105109224E-2</v>
      </c>
      <c r="AH27" s="3">
        <f t="shared" ca="1" si="39"/>
        <v>9.7207471222166317E-2</v>
      </c>
      <c r="AI27" s="3">
        <f t="shared" ca="1" si="39"/>
        <v>7.3682930335280589E-2</v>
      </c>
      <c r="AJ27" s="3">
        <f t="shared" ca="1" si="39"/>
        <v>0.15555452445282456</v>
      </c>
    </row>
    <row r="28" spans="1:36" x14ac:dyDescent="0.35">
      <c r="A28" t="s">
        <v>63</v>
      </c>
      <c r="B28" t="s">
        <v>61</v>
      </c>
      <c r="C28" s="4" t="s">
        <v>65</v>
      </c>
      <c r="D28" s="3">
        <f t="shared" ref="D28:AJ28" ca="1" si="40">MIN(0.99,D9+$D$3)</f>
        <v>4.8250315221995696E-3</v>
      </c>
      <c r="E28" s="3">
        <f t="shared" ca="1" si="40"/>
        <v>4.3049942950616404E-3</v>
      </c>
      <c r="F28" s="3">
        <f t="shared" ca="1" si="40"/>
        <v>6.9755210946197957E-3</v>
      </c>
      <c r="G28" s="3">
        <f t="shared" ca="1" si="40"/>
        <v>6.0701663459843593E-3</v>
      </c>
      <c r="H28" s="3">
        <f t="shared" ca="1" si="40"/>
        <v>1.0437597025643702E-2</v>
      </c>
      <c r="I28" s="3">
        <f t="shared" ca="1" si="40"/>
        <v>7.2826480248584357E-3</v>
      </c>
      <c r="J28" s="3">
        <f t="shared" ca="1" si="40"/>
        <v>1.2265827930688457E-2</v>
      </c>
      <c r="K28" s="3">
        <f t="shared" ca="1" si="40"/>
        <v>9.3327192114485875E-3</v>
      </c>
      <c r="L28" s="3">
        <f t="shared" ca="1" si="40"/>
        <v>1.4353248808133458E-2</v>
      </c>
      <c r="M28" s="3">
        <f t="shared" ca="1" si="40"/>
        <v>1.0535378375303842E-2</v>
      </c>
      <c r="N28" s="3">
        <f t="shared" ca="1" si="40"/>
        <v>1.6906133682767298E-2</v>
      </c>
      <c r="O28" s="3">
        <f t="shared" ca="1" si="40"/>
        <v>1.3195156661598133E-2</v>
      </c>
      <c r="P28" s="3">
        <f t="shared" ca="1" si="40"/>
        <v>1.7751084547672689E-2</v>
      </c>
      <c r="Q28" s="3">
        <f t="shared" ca="1" si="40"/>
        <v>1.5234404075577714E-2</v>
      </c>
      <c r="R28" s="3">
        <f t="shared" ca="1" si="40"/>
        <v>1.9660482826014118E-2</v>
      </c>
      <c r="S28" s="3">
        <f t="shared" ca="1" si="40"/>
        <v>1.7527189296960052E-2</v>
      </c>
      <c r="T28" s="3">
        <f t="shared" ca="1" si="40"/>
        <v>2.1521378867798594E-2</v>
      </c>
      <c r="U28" s="3">
        <f t="shared" ca="1" si="40"/>
        <v>2.052619165473718E-2</v>
      </c>
      <c r="V28" s="3">
        <f t="shared" ca="1" si="40"/>
        <v>2.2131711029112731E-2</v>
      </c>
      <c r="W28" s="3">
        <f t="shared" ca="1" si="40"/>
        <v>2.2890007075341418E-2</v>
      </c>
      <c r="X28" s="3">
        <f t="shared" ca="1" si="40"/>
        <v>2.7511001979500661E-2</v>
      </c>
      <c r="Y28" s="3">
        <f t="shared" ca="1" si="40"/>
        <v>2.9438208514034454E-2</v>
      </c>
      <c r="Z28" s="3">
        <f t="shared" ca="1" si="40"/>
        <v>3.6751075234411873E-2</v>
      </c>
      <c r="AA28" s="3">
        <f t="shared" ca="1" si="40"/>
        <v>4.0146579712575764E-2</v>
      </c>
      <c r="AB28" s="3">
        <f t="shared" ca="1" si="40"/>
        <v>4.0561150086960686E-2</v>
      </c>
      <c r="AC28" s="3">
        <f t="shared" ca="1" si="40"/>
        <v>4.726663386455781E-2</v>
      </c>
      <c r="AD28" s="3">
        <f t="shared" ca="1" si="40"/>
        <v>5.3737083050976416E-2</v>
      </c>
      <c r="AE28" s="3">
        <f t="shared" ca="1" si="40"/>
        <v>4.9705399334886533E-2</v>
      </c>
      <c r="AF28" s="3">
        <f t="shared" ca="1" si="40"/>
        <v>6.5196925610243511E-2</v>
      </c>
      <c r="AG28" s="3">
        <f t="shared" ca="1" si="40"/>
        <v>6.1179198484795097E-2</v>
      </c>
      <c r="AH28" s="3">
        <f t="shared" ca="1" si="40"/>
        <v>9.8166042156176789E-2</v>
      </c>
      <c r="AI28" s="3">
        <f t="shared" ca="1" si="40"/>
        <v>7.4611669550506896E-2</v>
      </c>
      <c r="AJ28" s="3">
        <f t="shared" ca="1" si="40"/>
        <v>0.15648949377065216</v>
      </c>
    </row>
    <row r="29" spans="1:36" x14ac:dyDescent="0.35">
      <c r="A29" t="s">
        <v>63</v>
      </c>
      <c r="B29" t="s">
        <v>61</v>
      </c>
      <c r="C29" s="4" t="s">
        <v>66</v>
      </c>
      <c r="D29" s="3">
        <f t="shared" ref="D29:AJ29" ca="1" si="41">MIN(0.99,D10+$D$3)</f>
        <v>5.7692836700699718E-3</v>
      </c>
      <c r="E29" s="3">
        <f t="shared" ca="1" si="41"/>
        <v>5.2058747631128803E-3</v>
      </c>
      <c r="F29" s="3">
        <f t="shared" ca="1" si="41"/>
        <v>7.9260695533406311E-3</v>
      </c>
      <c r="G29" s="3">
        <f t="shared" ca="1" si="41"/>
        <v>7.0358929821895556E-3</v>
      </c>
      <c r="H29" s="3">
        <f t="shared" ca="1" si="41"/>
        <v>1.1393749810391447E-2</v>
      </c>
      <c r="I29" s="3">
        <f t="shared" ca="1" si="41"/>
        <v>8.2203665764843878E-3</v>
      </c>
      <c r="J29" s="3">
        <f t="shared" ca="1" si="41"/>
        <v>1.3259524582664894E-2</v>
      </c>
      <c r="K29" s="3">
        <f t="shared" ca="1" si="41"/>
        <v>1.0317038832338539E-2</v>
      </c>
      <c r="L29" s="3">
        <f t="shared" ca="1" si="41"/>
        <v>1.5329657663037788E-2</v>
      </c>
      <c r="M29" s="3">
        <f t="shared" ca="1" si="41"/>
        <v>1.1521997300802202E-2</v>
      </c>
      <c r="N29" s="3">
        <f t="shared" ca="1" si="41"/>
        <v>1.7903700710796503E-2</v>
      </c>
      <c r="O29" s="3">
        <f t="shared" ca="1" si="41"/>
        <v>1.4118368627681583E-2</v>
      </c>
      <c r="P29" s="3">
        <f t="shared" ca="1" si="41"/>
        <v>1.8713217543826436E-2</v>
      </c>
      <c r="Q29" s="3">
        <f t="shared" ca="1" si="41"/>
        <v>1.613731158000634E-2</v>
      </c>
      <c r="R29" s="3">
        <f t="shared" ca="1" si="41"/>
        <v>2.0622532596617962E-2</v>
      </c>
      <c r="S29" s="3">
        <f t="shared" ca="1" si="41"/>
        <v>1.8507028096376301E-2</v>
      </c>
      <c r="T29" s="3">
        <f t="shared" ca="1" si="41"/>
        <v>2.2431228860219057E-2</v>
      </c>
      <c r="U29" s="3">
        <f t="shared" ca="1" si="41"/>
        <v>2.1508241273339695E-2</v>
      </c>
      <c r="V29" s="3">
        <f t="shared" ca="1" si="41"/>
        <v>2.3104045969078089E-2</v>
      </c>
      <c r="W29" s="3">
        <f t="shared" ca="1" si="41"/>
        <v>2.3864958386669213E-2</v>
      </c>
      <c r="X29" s="3">
        <f t="shared" ca="1" si="41"/>
        <v>2.8470677742665967E-2</v>
      </c>
      <c r="Y29" s="3">
        <f t="shared" ca="1" si="41"/>
        <v>3.0398478032501314E-2</v>
      </c>
      <c r="Z29" s="3">
        <f t="shared" ca="1" si="41"/>
        <v>3.7678257651536699E-2</v>
      </c>
      <c r="AA29" s="3">
        <f t="shared" ca="1" si="41"/>
        <v>4.1120223461306872E-2</v>
      </c>
      <c r="AB29" s="3">
        <f t="shared" ca="1" si="41"/>
        <v>4.1552261826383684E-2</v>
      </c>
      <c r="AC29" s="3">
        <f t="shared" ca="1" si="41"/>
        <v>4.8169773075851033E-2</v>
      </c>
      <c r="AD29" s="3">
        <f t="shared" ca="1" si="41"/>
        <v>5.470296319243214E-2</v>
      </c>
      <c r="AE29" s="3">
        <f t="shared" ca="1" si="41"/>
        <v>5.0679468295553365E-2</v>
      </c>
      <c r="AF29" s="3">
        <f t="shared" ca="1" si="41"/>
        <v>6.6179717280152997E-2</v>
      </c>
      <c r="AG29" s="3">
        <f t="shared" ca="1" si="41"/>
        <v>6.2159895952065579E-2</v>
      </c>
      <c r="AH29" s="3">
        <f t="shared" ca="1" si="41"/>
        <v>9.9076110549769267E-2</v>
      </c>
      <c r="AI29" s="3">
        <f t="shared" ca="1" si="41"/>
        <v>7.5527548994164542E-2</v>
      </c>
      <c r="AJ29" s="3">
        <f t="shared" ca="1" si="41"/>
        <v>0.15746415584840753</v>
      </c>
    </row>
    <row r="30" spans="1:36" x14ac:dyDescent="0.35">
      <c r="A30" t="s">
        <v>63</v>
      </c>
      <c r="B30" t="s">
        <v>61</v>
      </c>
      <c r="C30" s="4">
        <v>3</v>
      </c>
      <c r="D30" s="3">
        <f t="shared" ref="D30:AJ30" ca="1" si="42">MIN(0.99,D11+$D$3)</f>
        <v>6.6910726196157712E-3</v>
      </c>
      <c r="E30" s="3">
        <f t="shared" ca="1" si="42"/>
        <v>6.1646075552224651E-3</v>
      </c>
      <c r="F30" s="3">
        <f t="shared" ca="1" si="42"/>
        <v>8.9218690948698817E-3</v>
      </c>
      <c r="G30" s="3">
        <f t="shared" ca="1" si="42"/>
        <v>8.0124382166867434E-3</v>
      </c>
      <c r="H30" s="3">
        <f t="shared" ca="1" si="42"/>
        <v>1.2333523826107202E-2</v>
      </c>
      <c r="I30" s="3">
        <f t="shared" ca="1" si="42"/>
        <v>9.172883019657959E-3</v>
      </c>
      <c r="J30" s="3">
        <f t="shared" ca="1" si="42"/>
        <v>1.4222404363890502E-2</v>
      </c>
      <c r="K30" s="3">
        <f t="shared" ca="1" si="42"/>
        <v>1.1282985534600679E-2</v>
      </c>
      <c r="L30" s="3">
        <f t="shared" ca="1" si="42"/>
        <v>1.6254768045863153E-2</v>
      </c>
      <c r="M30" s="3">
        <f t="shared" ca="1" si="42"/>
        <v>1.2513728339233341E-2</v>
      </c>
      <c r="N30" s="3">
        <f t="shared" ca="1" si="42"/>
        <v>1.8876337898784092E-2</v>
      </c>
      <c r="O30" s="3">
        <f t="shared" ca="1" si="42"/>
        <v>1.5021811522918885E-2</v>
      </c>
      <c r="P30" s="3">
        <f t="shared" ca="1" si="42"/>
        <v>1.9646098948543616E-2</v>
      </c>
      <c r="Q30" s="3">
        <f t="shared" ca="1" si="42"/>
        <v>1.7067400925390164E-2</v>
      </c>
      <c r="R30" s="3">
        <f t="shared" ca="1" si="42"/>
        <v>2.1523217633407761E-2</v>
      </c>
      <c r="S30" s="3">
        <f t="shared" ca="1" si="42"/>
        <v>1.9440539473532494E-2</v>
      </c>
      <c r="T30" s="3">
        <f t="shared" ca="1" si="42"/>
        <v>2.3402726472503157E-2</v>
      </c>
      <c r="U30" s="3">
        <f t="shared" ca="1" si="42"/>
        <v>2.249357004099262E-2</v>
      </c>
      <c r="V30" s="3">
        <f t="shared" ca="1" si="42"/>
        <v>2.406654090067124E-2</v>
      </c>
      <c r="W30" s="3">
        <f t="shared" ca="1" si="42"/>
        <v>2.4791824556469208E-2</v>
      </c>
      <c r="X30" s="3">
        <f t="shared" ca="1" si="42"/>
        <v>2.9382767868824308E-2</v>
      </c>
      <c r="Y30" s="3">
        <f t="shared" ca="1" si="42"/>
        <v>3.1387608538845507E-2</v>
      </c>
      <c r="Z30" s="3">
        <f t="shared" ca="1" si="42"/>
        <v>3.8596369996838492E-2</v>
      </c>
      <c r="AA30" s="3">
        <f t="shared" ca="1" si="42"/>
        <v>4.2020599302233758E-2</v>
      </c>
      <c r="AB30" s="3">
        <f t="shared" ca="1" si="42"/>
        <v>4.2519875636484676E-2</v>
      </c>
      <c r="AC30" s="3">
        <f t="shared" ca="1" si="42"/>
        <v>4.9112482033291889E-2</v>
      </c>
      <c r="AD30" s="3">
        <f t="shared" ca="1" si="42"/>
        <v>5.5688945644697313E-2</v>
      </c>
      <c r="AE30" s="3">
        <f t="shared" ca="1" si="42"/>
        <v>5.1659008247430464E-2</v>
      </c>
      <c r="AF30" s="3">
        <f t="shared" ca="1" si="42"/>
        <v>6.7156057578600992E-2</v>
      </c>
      <c r="AG30" s="3">
        <f t="shared" ca="1" si="42"/>
        <v>6.3068832629817648E-2</v>
      </c>
      <c r="AH30" s="3">
        <f t="shared" ca="1" si="42"/>
        <v>9.9998375864345262E-2</v>
      </c>
      <c r="AI30" s="3">
        <f t="shared" ca="1" si="42"/>
        <v>7.6519334157874458E-2</v>
      </c>
      <c r="AJ30" s="3">
        <f t="shared" ca="1" si="42"/>
        <v>0.15845232156878791</v>
      </c>
    </row>
    <row r="31" spans="1:36" x14ac:dyDescent="0.35">
      <c r="A31" t="s">
        <v>63</v>
      </c>
      <c r="B31" t="s">
        <v>61</v>
      </c>
      <c r="C31" s="4" t="s">
        <v>67</v>
      </c>
      <c r="D31" s="3">
        <f t="shared" ref="D31:AJ31" ca="1" si="43">MIN(0.99,D12+$D$3)</f>
        <v>7.6598234192023383E-3</v>
      </c>
      <c r="E31" s="3">
        <f t="shared" ca="1" si="43"/>
        <v>7.0810712503510355E-3</v>
      </c>
      <c r="F31" s="3">
        <f t="shared" ca="1" si="43"/>
        <v>9.8535226763512597E-3</v>
      </c>
      <c r="G31" s="3">
        <f t="shared" ca="1" si="43"/>
        <v>8.921336909490981E-3</v>
      </c>
      <c r="H31" s="3">
        <f t="shared" ca="1" si="43"/>
        <v>1.3329771773689703E-2</v>
      </c>
      <c r="I31" s="3">
        <f t="shared" ca="1" si="43"/>
        <v>1.012881430939341E-2</v>
      </c>
      <c r="J31" s="3">
        <f t="shared" ca="1" si="43"/>
        <v>1.5139378113403677E-2</v>
      </c>
      <c r="K31" s="3">
        <f t="shared" ca="1" si="43"/>
        <v>1.2213835340970456E-2</v>
      </c>
      <c r="L31" s="3">
        <f t="shared" ca="1" si="43"/>
        <v>1.7252580197360017E-2</v>
      </c>
      <c r="M31" s="3">
        <f t="shared" ca="1" si="43"/>
        <v>1.3423825683707744E-2</v>
      </c>
      <c r="N31" s="3">
        <f t="shared" ca="1" si="43"/>
        <v>1.9785137906180316E-2</v>
      </c>
      <c r="O31" s="3">
        <f t="shared" ca="1" si="43"/>
        <v>1.5989220247703214E-2</v>
      </c>
      <c r="P31" s="3">
        <f t="shared" ca="1" si="43"/>
        <v>2.0548630181002153E-2</v>
      </c>
      <c r="Q31" s="3">
        <f t="shared" ca="1" si="43"/>
        <v>1.803650705275359E-2</v>
      </c>
      <c r="R31" s="3">
        <f t="shared" ca="1" si="43"/>
        <v>2.2510482139925157E-2</v>
      </c>
      <c r="S31" s="3">
        <f t="shared" ca="1" si="43"/>
        <v>2.0439949696174201E-2</v>
      </c>
      <c r="T31" s="3">
        <f t="shared" ca="1" si="43"/>
        <v>2.4392123891440323E-2</v>
      </c>
      <c r="U31" s="3">
        <f t="shared" ca="1" si="43"/>
        <v>2.339806080160408E-2</v>
      </c>
      <c r="V31" s="3">
        <f t="shared" ca="1" si="43"/>
        <v>2.5053956147871412E-2</v>
      </c>
      <c r="W31" s="3">
        <f t="shared" ca="1" si="43"/>
        <v>2.5702325776036643E-2</v>
      </c>
      <c r="X31" s="3">
        <f t="shared" ca="1" si="43"/>
        <v>3.0361286608982265E-2</v>
      </c>
      <c r="Y31" s="3">
        <f t="shared" ca="1" si="43"/>
        <v>3.2318236562839289E-2</v>
      </c>
      <c r="Z31" s="3">
        <f t="shared" ca="1" si="43"/>
        <v>3.9499490263970136E-2</v>
      </c>
      <c r="AA31" s="3">
        <f t="shared" ca="1" si="43"/>
        <v>4.2984855149505376E-2</v>
      </c>
      <c r="AB31" s="3">
        <f t="shared" ca="1" si="43"/>
        <v>4.3452658602999045E-2</v>
      </c>
      <c r="AC31" s="3">
        <f t="shared" ca="1" si="43"/>
        <v>5.0106200784981583E-2</v>
      </c>
      <c r="AD31" s="3">
        <f t="shared" ca="1" si="43"/>
        <v>5.6680309952741599E-2</v>
      </c>
      <c r="AE31" s="3">
        <f t="shared" ca="1" si="43"/>
        <v>5.2596648516072611E-2</v>
      </c>
      <c r="AF31" s="3">
        <f t="shared" ca="1" si="43"/>
        <v>6.8117537271460679E-2</v>
      </c>
      <c r="AG31" s="3">
        <f t="shared" ca="1" si="43"/>
        <v>6.4057097244872588E-2</v>
      </c>
      <c r="AH31" s="3">
        <f t="shared" ca="1" si="43"/>
        <v>0.10096662516749069</v>
      </c>
      <c r="AI31" s="3">
        <f t="shared" ca="1" si="43"/>
        <v>7.7458012924774611E-2</v>
      </c>
      <c r="AJ31" s="3">
        <f t="shared" ca="1" si="43"/>
        <v>0.1593822971796244</v>
      </c>
    </row>
    <row r="32" spans="1:36" x14ac:dyDescent="0.35">
      <c r="A32" t="s">
        <v>63</v>
      </c>
      <c r="B32" t="s">
        <v>61</v>
      </c>
      <c r="C32" s="4" t="s">
        <v>68</v>
      </c>
      <c r="D32" s="3">
        <f t="shared" ref="D32:AJ32" ca="1" si="44">MIN(0.99,D13+$D$3)</f>
        <v>8.6089092718048613E-3</v>
      </c>
      <c r="E32" s="3">
        <f t="shared" ca="1" si="44"/>
        <v>8.0777284718701603E-3</v>
      </c>
      <c r="F32" s="3">
        <f t="shared" ca="1" si="44"/>
        <v>1.0827625120755323E-2</v>
      </c>
      <c r="G32" s="3">
        <f t="shared" ca="1" si="44"/>
        <v>9.8485689236210462E-3</v>
      </c>
      <c r="H32" s="3">
        <f t="shared" ca="1" si="44"/>
        <v>1.4292395051692074E-2</v>
      </c>
      <c r="I32" s="3">
        <f t="shared" ca="1" si="44"/>
        <v>1.112520889158887E-2</v>
      </c>
      <c r="J32" s="3">
        <f t="shared" ca="1" si="44"/>
        <v>1.6056900086384149E-2</v>
      </c>
      <c r="K32" s="3">
        <f t="shared" ca="1" si="44"/>
        <v>1.3153640611566861E-2</v>
      </c>
      <c r="L32" s="3">
        <f t="shared" ca="1" si="44"/>
        <v>1.8235040471485924E-2</v>
      </c>
      <c r="M32" s="3">
        <f t="shared" ca="1" si="44"/>
        <v>1.4367311586031915E-2</v>
      </c>
      <c r="N32" s="3">
        <f t="shared" ca="1" si="44"/>
        <v>2.0727361055496895E-2</v>
      </c>
      <c r="O32" s="3">
        <f t="shared" ca="1" si="44"/>
        <v>1.6892249443894902E-2</v>
      </c>
      <c r="P32" s="3">
        <f t="shared" ca="1" si="44"/>
        <v>2.1487547331497089E-2</v>
      </c>
      <c r="Q32" s="3">
        <f t="shared" ca="1" si="44"/>
        <v>1.8951733216274504E-2</v>
      </c>
      <c r="R32" s="3">
        <f t="shared" ca="1" si="44"/>
        <v>2.3505119570833542E-2</v>
      </c>
      <c r="S32" s="3">
        <f t="shared" ca="1" si="44"/>
        <v>2.1435510808893467E-2</v>
      </c>
      <c r="T32" s="3">
        <f t="shared" ca="1" si="44"/>
        <v>2.5323890972373357E-2</v>
      </c>
      <c r="U32" s="3">
        <f t="shared" ca="1" si="44"/>
        <v>2.4381399304018853E-2</v>
      </c>
      <c r="V32" s="3">
        <f t="shared" ca="1" si="44"/>
        <v>2.6052354505171002E-2</v>
      </c>
      <c r="W32" s="3">
        <f t="shared" ca="1" si="44"/>
        <v>2.6676576717324652E-2</v>
      </c>
      <c r="X32" s="3">
        <f t="shared" ca="1" si="44"/>
        <v>3.1311472520536933E-2</v>
      </c>
      <c r="Y32" s="3">
        <f t="shared" ca="1" si="44"/>
        <v>3.3286553940264335E-2</v>
      </c>
      <c r="Z32" s="3">
        <f t="shared" ca="1" si="44"/>
        <v>4.0420959586169945E-2</v>
      </c>
      <c r="AA32" s="3">
        <f t="shared" ca="1" si="44"/>
        <v>4.390478376946836E-2</v>
      </c>
      <c r="AB32" s="3">
        <f t="shared" ca="1" si="44"/>
        <v>4.4367403514328246E-2</v>
      </c>
      <c r="AC32" s="3">
        <f t="shared" ca="1" si="44"/>
        <v>5.1034500200760051E-2</v>
      </c>
      <c r="AD32" s="3">
        <f t="shared" ca="1" si="44"/>
        <v>5.7626460417665781E-2</v>
      </c>
      <c r="AE32" s="3">
        <f t="shared" ca="1" si="44"/>
        <v>5.3559228185201958E-2</v>
      </c>
      <c r="AF32" s="3">
        <f t="shared" ca="1" si="44"/>
        <v>6.9035939468164512E-2</v>
      </c>
      <c r="AG32" s="3">
        <f t="shared" ca="1" si="44"/>
        <v>6.5056977902074542E-2</v>
      </c>
      <c r="AH32" s="3">
        <f t="shared" ca="1" si="44"/>
        <v>0.1019086403278484</v>
      </c>
      <c r="AI32" s="3">
        <f t="shared" ca="1" si="44"/>
        <v>7.8424918206078026E-2</v>
      </c>
      <c r="AJ32" s="3">
        <f t="shared" ca="1" si="44"/>
        <v>0.16035829315247344</v>
      </c>
    </row>
    <row r="33" spans="1:36" x14ac:dyDescent="0.35">
      <c r="A33" t="s">
        <v>63</v>
      </c>
      <c r="B33" t="s">
        <v>61</v>
      </c>
      <c r="C33" s="4">
        <v>4</v>
      </c>
      <c r="D33" s="3">
        <f t="shared" ref="D33:AJ33" ca="1" si="45">MIN(0.99,D14+$D$3)</f>
        <v>9.6057630717663323E-3</v>
      </c>
      <c r="E33" s="3">
        <f t="shared" ca="1" si="45"/>
        <v>8.9978952156014244E-3</v>
      </c>
      <c r="F33" s="3">
        <f t="shared" ca="1" si="45"/>
        <v>1.1825605303605855E-2</v>
      </c>
      <c r="G33" s="3">
        <f t="shared" ca="1" si="45"/>
        <v>1.0827397933264978E-2</v>
      </c>
      <c r="H33" s="3">
        <f t="shared" ca="1" si="45"/>
        <v>1.520876257383267E-2</v>
      </c>
      <c r="I33" s="3">
        <f t="shared" ca="1" si="45"/>
        <v>1.2099125429489092E-2</v>
      </c>
      <c r="J33" s="3">
        <f t="shared" ca="1" si="45"/>
        <v>1.701188700974084E-2</v>
      </c>
      <c r="K33" s="3">
        <f t="shared" ca="1" si="45"/>
        <v>1.4138674576776544E-2</v>
      </c>
      <c r="L33" s="3">
        <f t="shared" ca="1" si="45"/>
        <v>1.9187253137641462E-2</v>
      </c>
      <c r="M33" s="3">
        <f t="shared" ca="1" si="45"/>
        <v>1.5297871540846442E-2</v>
      </c>
      <c r="N33" s="3">
        <f t="shared" ca="1" si="45"/>
        <v>2.1702776317765578E-2</v>
      </c>
      <c r="O33" s="3">
        <f t="shared" ca="1" si="45"/>
        <v>1.7858233514777212E-2</v>
      </c>
      <c r="P33" s="3">
        <f t="shared" ca="1" si="45"/>
        <v>2.2430247163331408E-2</v>
      </c>
      <c r="Q33" s="3">
        <f t="shared" ca="1" si="45"/>
        <v>1.9873212592507166E-2</v>
      </c>
      <c r="R33" s="3">
        <f t="shared" ca="1" si="45"/>
        <v>2.4474698323807765E-2</v>
      </c>
      <c r="S33" s="3">
        <f t="shared" ca="1" si="45"/>
        <v>2.2352057873673167E-2</v>
      </c>
      <c r="T33" s="3">
        <f t="shared" ca="1" si="45"/>
        <v>2.624088912830768E-2</v>
      </c>
      <c r="U33" s="3">
        <f t="shared" ca="1" si="45"/>
        <v>2.5379710161135677E-2</v>
      </c>
      <c r="V33" s="3">
        <f t="shared" ca="1" si="45"/>
        <v>2.6963594320448717E-2</v>
      </c>
      <c r="W33" s="3">
        <f t="shared" ca="1" si="45"/>
        <v>2.767465926048299E-2</v>
      </c>
      <c r="X33" s="3">
        <f t="shared" ca="1" si="45"/>
        <v>3.2243883571752847E-2</v>
      </c>
      <c r="Y33" s="3">
        <f t="shared" ca="1" si="45"/>
        <v>3.4202517688824971E-2</v>
      </c>
      <c r="Z33" s="3">
        <f t="shared" ca="1" si="45"/>
        <v>4.1323626827329811E-2</v>
      </c>
      <c r="AA33" s="3">
        <f t="shared" ca="1" si="45"/>
        <v>4.4859272920559766E-2</v>
      </c>
      <c r="AB33" s="3">
        <f t="shared" ca="1" si="45"/>
        <v>4.5319926905747751E-2</v>
      </c>
      <c r="AC33" s="3">
        <f t="shared" ca="1" si="45"/>
        <v>5.2022477486434821E-2</v>
      </c>
      <c r="AD33" s="3">
        <f t="shared" ca="1" si="45"/>
        <v>5.8553753814034652E-2</v>
      </c>
      <c r="AE33" s="3">
        <f t="shared" ca="1" si="45"/>
        <v>5.4475967244516581E-2</v>
      </c>
      <c r="AF33" s="3">
        <f t="shared" ca="1" si="45"/>
        <v>6.9972840735966949E-2</v>
      </c>
      <c r="AG33" s="3">
        <f t="shared" ca="1" si="45"/>
        <v>6.5975401829885399E-2</v>
      </c>
      <c r="AH33" s="3">
        <f t="shared" ca="1" si="45"/>
        <v>0.1028916016526235</v>
      </c>
      <c r="AI33" s="3">
        <f t="shared" ca="1" si="45"/>
        <v>7.9386357698374849E-2</v>
      </c>
      <c r="AJ33" s="3">
        <f t="shared" ca="1" si="45"/>
        <v>0.16128569293228104</v>
      </c>
    </row>
    <row r="34" spans="1:36" x14ac:dyDescent="0.35">
      <c r="A34" t="s">
        <v>63</v>
      </c>
      <c r="B34" t="s">
        <v>61</v>
      </c>
      <c r="C34" s="4" t="s">
        <v>69</v>
      </c>
      <c r="D34" s="3">
        <f t="shared" ref="D34:AJ34" ca="1" si="46">MIN(0.99,D15+$D$3)</f>
        <v>1.0604795492028158E-2</v>
      </c>
      <c r="E34" s="3">
        <f t="shared" ca="1" si="46"/>
        <v>9.9241458475938828E-3</v>
      </c>
      <c r="F34" s="3">
        <f t="shared" ca="1" si="46"/>
        <v>1.2807046171304799E-2</v>
      </c>
      <c r="G34" s="3">
        <f t="shared" ca="1" si="46"/>
        <v>1.1762862771956532E-2</v>
      </c>
      <c r="H34" s="3">
        <f t="shared" ca="1" si="46"/>
        <v>1.611312324661892E-2</v>
      </c>
      <c r="I34" s="3">
        <f t="shared" ca="1" si="46"/>
        <v>1.303513749823345E-2</v>
      </c>
      <c r="J34" s="3">
        <f t="shared" ca="1" si="46"/>
        <v>1.8004688200511744E-2</v>
      </c>
      <c r="K34" s="3">
        <f t="shared" ca="1" si="46"/>
        <v>1.5121925295792895E-2</v>
      </c>
      <c r="L34" s="3">
        <f t="shared" ca="1" si="46"/>
        <v>2.0162501860133578E-2</v>
      </c>
      <c r="M34" s="3">
        <f t="shared" ca="1" si="46"/>
        <v>1.620285602279466E-2</v>
      </c>
      <c r="N34" s="3">
        <f t="shared" ca="1" si="46"/>
        <v>2.2633497885896109E-2</v>
      </c>
      <c r="O34" s="3">
        <f t="shared" ca="1" si="46"/>
        <v>1.8842241202363292E-2</v>
      </c>
      <c r="P34" s="3">
        <f t="shared" ca="1" si="46"/>
        <v>2.3382633504005719E-2</v>
      </c>
      <c r="Q34" s="3">
        <f t="shared" ca="1" si="46"/>
        <v>2.082669009202464E-2</v>
      </c>
      <c r="R34" s="3">
        <f t="shared" ca="1" si="46"/>
        <v>2.5423281862646297E-2</v>
      </c>
      <c r="S34" s="3">
        <f t="shared" ca="1" si="46"/>
        <v>2.3268662234211111E-2</v>
      </c>
      <c r="T34" s="3">
        <f t="shared" ca="1" si="46"/>
        <v>2.723518160927867E-2</v>
      </c>
      <c r="U34" s="3">
        <f t="shared" ca="1" si="46"/>
        <v>2.6354105863839017E-2</v>
      </c>
      <c r="V34" s="3">
        <f t="shared" ca="1" si="46"/>
        <v>2.7954502017220981E-2</v>
      </c>
      <c r="W34" s="3">
        <f t="shared" ca="1" si="46"/>
        <v>2.8668357119408006E-2</v>
      </c>
      <c r="X34" s="3">
        <f t="shared" ca="1" si="46"/>
        <v>3.3169876040847077E-2</v>
      </c>
      <c r="Y34" s="3">
        <f t="shared" ca="1" si="46"/>
        <v>3.5121889738997152E-2</v>
      </c>
      <c r="Z34" s="3">
        <f t="shared" ca="1" si="46"/>
        <v>4.2270689276493321E-2</v>
      </c>
      <c r="AA34" s="3">
        <f t="shared" ca="1" si="46"/>
        <v>4.5849121588289979E-2</v>
      </c>
      <c r="AB34" s="3">
        <f t="shared" ca="1" si="46"/>
        <v>4.6243259391546651E-2</v>
      </c>
      <c r="AC34" s="3">
        <f t="shared" ca="1" si="46"/>
        <v>5.2934916575293665E-2</v>
      </c>
      <c r="AD34" s="3">
        <f t="shared" ca="1" si="46"/>
        <v>5.9549956082398894E-2</v>
      </c>
      <c r="AE34" s="3">
        <f t="shared" ca="1" si="46"/>
        <v>5.5377590022236911E-2</v>
      </c>
      <c r="AF34" s="3">
        <f t="shared" ca="1" si="46"/>
        <v>7.0910108159014912E-2</v>
      </c>
      <c r="AG34" s="3">
        <f t="shared" ca="1" si="46"/>
        <v>6.6957240044452818E-2</v>
      </c>
      <c r="AH34" s="3">
        <f t="shared" ca="1" si="46"/>
        <v>0.10389029219687405</v>
      </c>
      <c r="AI34" s="3">
        <f t="shared" ca="1" si="46"/>
        <v>8.0336226763382396E-2</v>
      </c>
      <c r="AJ34" s="3">
        <f t="shared" ca="1" si="46"/>
        <v>0.1622631998232979</v>
      </c>
    </row>
    <row r="35" spans="1:36" x14ac:dyDescent="0.35">
      <c r="A35" t="s">
        <v>63</v>
      </c>
      <c r="B35" t="s">
        <v>61</v>
      </c>
      <c r="C35" s="4" t="s">
        <v>70</v>
      </c>
      <c r="D35" s="3">
        <f t="shared" ref="D35:AJ35" ca="1" si="47">MIN(0.99,D16+$D$3)</f>
        <v>1.1595701454816702E-2</v>
      </c>
      <c r="E35" s="3">
        <f t="shared" ca="1" si="47"/>
        <v>1.0826300332724421E-2</v>
      </c>
      <c r="F35" s="3">
        <f t="shared" ca="1" si="47"/>
        <v>1.372484405586652E-2</v>
      </c>
      <c r="G35" s="3">
        <f t="shared" ca="1" si="47"/>
        <v>1.2743669075720838E-2</v>
      </c>
      <c r="H35" s="3">
        <f t="shared" ca="1" si="47"/>
        <v>1.7100721665420062E-2</v>
      </c>
      <c r="I35" s="3">
        <f t="shared" ca="1" si="47"/>
        <v>1.3991388251080383E-2</v>
      </c>
      <c r="J35" s="3">
        <f t="shared" ca="1" si="47"/>
        <v>1.895596278456825E-2</v>
      </c>
      <c r="K35" s="3">
        <f t="shared" ca="1" si="47"/>
        <v>1.6055103584210736E-2</v>
      </c>
      <c r="L35" s="3">
        <f t="shared" ca="1" si="47"/>
        <v>2.1093859252425049E-2</v>
      </c>
      <c r="M35" s="3">
        <f t="shared" ca="1" si="47"/>
        <v>1.7115008933823461E-2</v>
      </c>
      <c r="N35" s="3">
        <f t="shared" ca="1" si="47"/>
        <v>2.3612519349033585E-2</v>
      </c>
      <c r="O35" s="3">
        <f t="shared" ca="1" si="47"/>
        <v>1.9800808236020727E-2</v>
      </c>
      <c r="P35" s="3">
        <f t="shared" ca="1" si="47"/>
        <v>2.4359493816298716E-2</v>
      </c>
      <c r="Q35" s="3">
        <f t="shared" ca="1" si="47"/>
        <v>2.1734821483207926E-2</v>
      </c>
      <c r="R35" s="3">
        <f t="shared" ca="1" si="47"/>
        <v>2.6325420845434339E-2</v>
      </c>
      <c r="S35" s="3">
        <f t="shared" ca="1" si="47"/>
        <v>2.425527563490663E-2</v>
      </c>
      <c r="T35" s="3">
        <f t="shared" ca="1" si="47"/>
        <v>2.8230006308613873E-2</v>
      </c>
      <c r="U35" s="3">
        <f t="shared" ca="1" si="47"/>
        <v>2.7317223571781849E-2</v>
      </c>
      <c r="V35" s="3">
        <f t="shared" ca="1" si="47"/>
        <v>2.8930349939370492E-2</v>
      </c>
      <c r="W35" s="3">
        <f t="shared" ca="1" si="47"/>
        <v>2.9657987878614966E-2</v>
      </c>
      <c r="X35" s="3">
        <f t="shared" ca="1" si="47"/>
        <v>3.4160536731102226E-2</v>
      </c>
      <c r="Y35" s="3">
        <f t="shared" ca="1" si="47"/>
        <v>3.6038793312184937E-2</v>
      </c>
      <c r="Z35" s="3">
        <f t="shared" ca="1" si="47"/>
        <v>4.3246164994766689E-2</v>
      </c>
      <c r="AA35" s="3">
        <f t="shared" ca="1" si="47"/>
        <v>4.6799512248973614E-2</v>
      </c>
      <c r="AB35" s="3">
        <f t="shared" ca="1" si="47"/>
        <v>4.7155647278909793E-2</v>
      </c>
      <c r="AC35" s="3">
        <f t="shared" ca="1" si="47"/>
        <v>5.3907912030394418E-2</v>
      </c>
      <c r="AD35" s="3">
        <f t="shared" ca="1" si="47"/>
        <v>6.0525753168556691E-2</v>
      </c>
      <c r="AE35" s="3">
        <f t="shared" ca="1" si="47"/>
        <v>5.6362169382365788E-2</v>
      </c>
      <c r="AF35" s="3">
        <f t="shared" ca="1" si="47"/>
        <v>7.1818524889749019E-2</v>
      </c>
      <c r="AG35" s="3">
        <f t="shared" ca="1" si="47"/>
        <v>6.7857867199433652E-2</v>
      </c>
      <c r="AH35" s="3">
        <f t="shared" ca="1" si="47"/>
        <v>0.1048646016736095</v>
      </c>
      <c r="AI35" s="3">
        <f t="shared" ca="1" si="47"/>
        <v>8.1272154106374006E-2</v>
      </c>
      <c r="AJ35" s="3">
        <f t="shared" ca="1" si="47"/>
        <v>0.1632045443072036</v>
      </c>
    </row>
    <row r="36" spans="1:36" x14ac:dyDescent="0.35">
      <c r="A36" t="s">
        <v>63</v>
      </c>
      <c r="B36" t="s">
        <v>61</v>
      </c>
      <c r="C36" s="4">
        <v>5</v>
      </c>
      <c r="D36" s="3">
        <f t="shared" ref="D36:AJ36" ca="1" si="48">MIN(0.99,D17+$D$3)</f>
        <v>1.2556052548276592E-2</v>
      </c>
      <c r="E36" s="3">
        <f t="shared" ca="1" si="48"/>
        <v>1.1817136750568419E-2</v>
      </c>
      <c r="F36" s="3">
        <f t="shared" ca="1" si="48"/>
        <v>1.4669192133634219E-2</v>
      </c>
      <c r="G36" s="3">
        <f t="shared" ca="1" si="48"/>
        <v>1.3727357810103216E-2</v>
      </c>
      <c r="H36" s="3">
        <f t="shared" ca="1" si="48"/>
        <v>1.8074700496994688E-2</v>
      </c>
      <c r="I36" s="3">
        <f t="shared" ca="1" si="48"/>
        <v>1.4985357524817527E-2</v>
      </c>
      <c r="J36" s="3">
        <f t="shared" ca="1" si="48"/>
        <v>1.9949883730470679E-2</v>
      </c>
      <c r="K36" s="3">
        <f t="shared" ca="1" si="48"/>
        <v>1.7043430289160826E-2</v>
      </c>
      <c r="L36" s="3">
        <f t="shared" ca="1" si="48"/>
        <v>2.2019932770059716E-2</v>
      </c>
      <c r="M36" s="3">
        <f t="shared" ca="1" si="48"/>
        <v>1.8038825879667288E-2</v>
      </c>
      <c r="N36" s="3">
        <f t="shared" ca="1" si="48"/>
        <v>2.4552625599673222E-2</v>
      </c>
      <c r="O36" s="3">
        <f t="shared" ca="1" si="48"/>
        <v>2.0733623665499381E-2</v>
      </c>
      <c r="P36" s="3">
        <f t="shared" ca="1" si="48"/>
        <v>2.5272893723451401E-2</v>
      </c>
      <c r="Q36" s="3">
        <f t="shared" ca="1" si="48"/>
        <v>2.2691908172848337E-2</v>
      </c>
      <c r="R36" s="3">
        <f t="shared" ca="1" si="48"/>
        <v>2.7299896175524935E-2</v>
      </c>
      <c r="S36" s="3">
        <f t="shared" ca="1" si="48"/>
        <v>2.5192504150817446E-2</v>
      </c>
      <c r="T36" s="3">
        <f t="shared" ca="1" si="48"/>
        <v>2.9142651773624621E-2</v>
      </c>
      <c r="U36" s="3">
        <f t="shared" ca="1" si="48"/>
        <v>2.830698462346207E-2</v>
      </c>
      <c r="V36" s="3">
        <f t="shared" ca="1" si="48"/>
        <v>2.9860610285067344E-2</v>
      </c>
      <c r="W36" s="3">
        <f t="shared" ca="1" si="48"/>
        <v>3.0607847513868261E-2</v>
      </c>
      <c r="X36" s="3">
        <f t="shared" ca="1" si="48"/>
        <v>3.5147155647595574E-2</v>
      </c>
      <c r="Y36" s="3">
        <f t="shared" ca="1" si="48"/>
        <v>3.7024896280166739E-2</v>
      </c>
      <c r="Z36" s="3">
        <f t="shared" ca="1" si="48"/>
        <v>4.420774721360745E-2</v>
      </c>
      <c r="AA36" s="3">
        <f t="shared" ca="1" si="48"/>
        <v>4.7746265183318412E-2</v>
      </c>
      <c r="AB36" s="3">
        <f t="shared" ca="1" si="48"/>
        <v>4.8088254864359845E-2</v>
      </c>
      <c r="AC36" s="3">
        <f t="shared" ca="1" si="48"/>
        <v>5.4896931185810134E-2</v>
      </c>
      <c r="AD36" s="3">
        <f t="shared" ca="1" si="48"/>
        <v>6.151873155220202E-2</v>
      </c>
      <c r="AE36" s="3">
        <f t="shared" ca="1" si="48"/>
        <v>5.7280456719436358E-2</v>
      </c>
      <c r="AF36" s="3">
        <f t="shared" ca="1" si="48"/>
        <v>7.2740520315356882E-2</v>
      </c>
      <c r="AG36" s="3">
        <f t="shared" ca="1" si="48"/>
        <v>6.88091653517649E-2</v>
      </c>
      <c r="AH36" s="3">
        <f t="shared" ca="1" si="48"/>
        <v>0.10583627617163927</v>
      </c>
      <c r="AI36" s="3">
        <f t="shared" ca="1" si="48"/>
        <v>8.223248602015365E-2</v>
      </c>
      <c r="AJ36" s="3">
        <f t="shared" ca="1" si="48"/>
        <v>0.16420188865762403</v>
      </c>
    </row>
    <row r="37" spans="1:36" x14ac:dyDescent="0.35">
      <c r="A37" t="s">
        <v>63</v>
      </c>
      <c r="B37" t="s">
        <v>61</v>
      </c>
      <c r="C37" s="4" t="s">
        <v>71</v>
      </c>
      <c r="D37" s="3">
        <f t="shared" ref="D37:AJ37" ca="1" si="49">MIN(0.99,D18+$D$3)</f>
        <v>1.3486357486533231E-2</v>
      </c>
      <c r="E37" s="3">
        <f t="shared" ca="1" si="49"/>
        <v>1.272357516757126E-2</v>
      </c>
      <c r="F37" s="3">
        <f t="shared" ca="1" si="49"/>
        <v>1.5587307073206748E-2</v>
      </c>
      <c r="G37" s="3">
        <f t="shared" ca="1" si="49"/>
        <v>1.4709671696559474E-2</v>
      </c>
      <c r="H37" s="3">
        <f t="shared" ca="1" si="49"/>
        <v>1.9072149445550173E-2</v>
      </c>
      <c r="I37" s="3">
        <f t="shared" ca="1" si="49"/>
        <v>1.5940827941307106E-2</v>
      </c>
      <c r="J37" s="3">
        <f t="shared" ca="1" si="49"/>
        <v>2.0940784219190042E-2</v>
      </c>
      <c r="K37" s="3">
        <f t="shared" ca="1" si="49"/>
        <v>1.801487555233371E-2</v>
      </c>
      <c r="L37" s="3">
        <f t="shared" ca="1" si="49"/>
        <v>2.2945215523924624E-2</v>
      </c>
      <c r="M37" s="3">
        <f t="shared" ca="1" si="49"/>
        <v>1.9019866960198327E-2</v>
      </c>
      <c r="N37" s="3">
        <f t="shared" ca="1" si="49"/>
        <v>2.5518005967786611E-2</v>
      </c>
      <c r="O37" s="3">
        <f t="shared" ca="1" si="49"/>
        <v>2.1707102656402993E-2</v>
      </c>
      <c r="P37" s="3">
        <f t="shared" ca="1" si="49"/>
        <v>2.6204471017043946E-2</v>
      </c>
      <c r="Q37" s="3">
        <f t="shared" ca="1" si="49"/>
        <v>2.3673985098210084E-2</v>
      </c>
      <c r="R37" s="3">
        <f t="shared" ca="1" si="49"/>
        <v>2.8225588545278936E-2</v>
      </c>
      <c r="S37" s="3">
        <f t="shared" ca="1" si="49"/>
        <v>2.614803492820067E-2</v>
      </c>
      <c r="T37" s="3">
        <f t="shared" ca="1" si="49"/>
        <v>3.0070442126574268E-2</v>
      </c>
      <c r="U37" s="3">
        <f t="shared" ca="1" si="49"/>
        <v>2.9220894661883885E-2</v>
      </c>
      <c r="V37" s="3">
        <f t="shared" ca="1" si="49"/>
        <v>3.0794050154439458E-2</v>
      </c>
      <c r="W37" s="3">
        <f t="shared" ca="1" si="49"/>
        <v>3.1531844269168531E-2</v>
      </c>
      <c r="X37" s="3">
        <f t="shared" ca="1" si="49"/>
        <v>3.605421183367969E-2</v>
      </c>
      <c r="Y37" s="3">
        <f t="shared" ca="1" si="49"/>
        <v>3.797608253791921E-2</v>
      </c>
      <c r="Z37" s="3">
        <f t="shared" ca="1" si="49"/>
        <v>4.5190807103522738E-2</v>
      </c>
      <c r="AA37" s="3">
        <f t="shared" ca="1" si="49"/>
        <v>4.8671114762931171E-2</v>
      </c>
      <c r="AB37" s="3">
        <f t="shared" ca="1" si="49"/>
        <v>4.8999948180492234E-2</v>
      </c>
      <c r="AC37" s="3">
        <f t="shared" ca="1" si="49"/>
        <v>5.5870842147789174E-2</v>
      </c>
      <c r="AD37" s="3">
        <f t="shared" ca="1" si="49"/>
        <v>6.2487348190474273E-2</v>
      </c>
      <c r="AE37" s="3">
        <f t="shared" ca="1" si="49"/>
        <v>5.8235560299499459E-2</v>
      </c>
      <c r="AF37" s="3">
        <f t="shared" ca="1" si="49"/>
        <v>7.3738035746347477E-2</v>
      </c>
      <c r="AG37" s="3">
        <f t="shared" ca="1" si="49"/>
        <v>6.971853851693717E-2</v>
      </c>
      <c r="AH37" s="3">
        <f t="shared" ca="1" si="49"/>
        <v>0.10680549609748617</v>
      </c>
      <c r="AI37" s="3">
        <f t="shared" ca="1" si="49"/>
        <v>8.3170607117273948E-2</v>
      </c>
      <c r="AJ37" s="3">
        <f t="shared" ca="1" si="49"/>
        <v>0.16515235118980423</v>
      </c>
    </row>
    <row r="38" spans="1:36" x14ac:dyDescent="0.35">
      <c r="A38" t="s">
        <v>63</v>
      </c>
      <c r="B38" t="s">
        <v>61</v>
      </c>
      <c r="C38" s="4" t="s">
        <v>72</v>
      </c>
      <c r="D38" s="3">
        <f t="shared" ref="D38:AJ38" ca="1" si="50">MIN(0.99,D19+$D$3)</f>
        <v>1.4408113325230794E-2</v>
      </c>
      <c r="E38" s="3">
        <f t="shared" ca="1" si="50"/>
        <v>1.3681929290234554E-2</v>
      </c>
      <c r="F38" s="3">
        <f t="shared" ca="1" si="50"/>
        <v>1.6562564904173929E-2</v>
      </c>
      <c r="G38" s="3">
        <f t="shared" ca="1" si="50"/>
        <v>1.5706714504824713E-2</v>
      </c>
      <c r="H38" s="3">
        <f t="shared" ca="1" si="50"/>
        <v>2.0048927787661767E-2</v>
      </c>
      <c r="I38" s="3">
        <f t="shared" ca="1" si="50"/>
        <v>1.6878257458817162E-2</v>
      </c>
      <c r="J38" s="3">
        <f t="shared" ca="1" si="50"/>
        <v>2.1851309073026591E-2</v>
      </c>
      <c r="K38" s="3">
        <f t="shared" ca="1" si="50"/>
        <v>1.8944594783070708E-2</v>
      </c>
      <c r="L38" s="3">
        <f t="shared" ca="1" si="50"/>
        <v>2.3880720455501516E-2</v>
      </c>
      <c r="M38" s="3">
        <f t="shared" ca="1" si="50"/>
        <v>1.9980272273753496E-2</v>
      </c>
      <c r="N38" s="3">
        <f t="shared" ca="1" si="50"/>
        <v>2.6481510600265903E-2</v>
      </c>
      <c r="O38" s="3">
        <f t="shared" ca="1" si="50"/>
        <v>2.2649324957551665E-2</v>
      </c>
      <c r="P38" s="3">
        <f t="shared" ca="1" si="50"/>
        <v>2.719691950937568E-2</v>
      </c>
      <c r="Q38" s="3">
        <f t="shared" ca="1" si="50"/>
        <v>2.4609181993810153E-2</v>
      </c>
      <c r="R38" s="3">
        <f t="shared" ca="1" si="50"/>
        <v>2.913533486431235E-2</v>
      </c>
      <c r="S38" s="3">
        <f t="shared" ca="1" si="50"/>
        <v>2.7134854804348608E-2</v>
      </c>
      <c r="T38" s="3">
        <f t="shared" ca="1" si="50"/>
        <v>3.105528563843574E-2</v>
      </c>
      <c r="U38" s="3">
        <f t="shared" ca="1" si="50"/>
        <v>3.0134458497370047E-2</v>
      </c>
      <c r="V38" s="3">
        <f t="shared" ca="1" si="50"/>
        <v>3.171123888608908E-2</v>
      </c>
      <c r="W38" s="3">
        <f t="shared" ca="1" si="50"/>
        <v>3.2531781680966543E-2</v>
      </c>
      <c r="X38" s="3">
        <f t="shared" ca="1" si="50"/>
        <v>3.7008781199407245E-2</v>
      </c>
      <c r="Y38" s="3">
        <f t="shared" ca="1" si="50"/>
        <v>3.8879925180752298E-2</v>
      </c>
      <c r="Z38" s="3">
        <f t="shared" ca="1" si="50"/>
        <v>4.6137471712592679E-2</v>
      </c>
      <c r="AA38" s="3">
        <f t="shared" ca="1" si="50"/>
        <v>4.9633861457387414E-2</v>
      </c>
      <c r="AB38" s="3">
        <f t="shared" ca="1" si="50"/>
        <v>4.9946540123321337E-2</v>
      </c>
      <c r="AC38" s="3">
        <f t="shared" ca="1" si="50"/>
        <v>5.6827303048571649E-2</v>
      </c>
      <c r="AD38" s="3">
        <f t="shared" ca="1" si="50"/>
        <v>6.3425484279590494E-2</v>
      </c>
      <c r="AE38" s="3">
        <f t="shared" ca="1" si="50"/>
        <v>5.9191378051954853E-2</v>
      </c>
      <c r="AF38" s="3">
        <f t="shared" ca="1" si="50"/>
        <v>7.469538517349926E-2</v>
      </c>
      <c r="AG38" s="3">
        <f t="shared" ca="1" si="50"/>
        <v>7.0641256912083741E-2</v>
      </c>
      <c r="AH38" s="3">
        <f t="shared" ca="1" si="50"/>
        <v>0.10773485015729412</v>
      </c>
      <c r="AI38" s="3">
        <f t="shared" ca="1" si="50"/>
        <v>8.415296267306667E-2</v>
      </c>
      <c r="AJ38" s="3">
        <f t="shared" ca="1" si="50"/>
        <v>0.16614563104603747</v>
      </c>
    </row>
    <row r="39" spans="1:36" x14ac:dyDescent="0.35">
      <c r="A39" t="s">
        <v>63</v>
      </c>
      <c r="B39" t="s">
        <v>61</v>
      </c>
      <c r="C39" s="4">
        <v>6</v>
      </c>
      <c r="D39" s="3">
        <f t="shared" ref="D39:AJ39" ca="1" si="51">MIN(0.99,D20+$D$3)</f>
        <v>1.5394632355932279E-2</v>
      </c>
      <c r="E39" s="3">
        <f t="shared" ca="1" si="51"/>
        <v>1.4641195400122566E-2</v>
      </c>
      <c r="F39" s="3">
        <f t="shared" ca="1" si="51"/>
        <v>1.7511388668425731E-2</v>
      </c>
      <c r="G39" s="3">
        <f t="shared" ca="1" si="51"/>
        <v>1.6625723815489758E-2</v>
      </c>
      <c r="H39" s="3">
        <f t="shared" ca="1" si="51"/>
        <v>2.0956837306065186E-2</v>
      </c>
      <c r="I39" s="3">
        <f t="shared" ca="1" si="51"/>
        <v>1.7805444461140383E-2</v>
      </c>
      <c r="J39" s="3">
        <f t="shared" ca="1" si="51"/>
        <v>2.2833474018499604E-2</v>
      </c>
      <c r="K39" s="3">
        <f t="shared" ca="1" si="51"/>
        <v>1.9919188002477287E-2</v>
      </c>
      <c r="L39" s="3">
        <f t="shared" ca="1" si="51"/>
        <v>2.4849290430718457E-2</v>
      </c>
      <c r="M39" s="3">
        <f t="shared" ca="1" si="51"/>
        <v>2.0908803782563698E-2</v>
      </c>
      <c r="N39" s="3">
        <f t="shared" ca="1" si="51"/>
        <v>2.7462944069891516E-2</v>
      </c>
      <c r="O39" s="3">
        <f t="shared" ca="1" si="51"/>
        <v>2.362791416794336E-2</v>
      </c>
      <c r="P39" s="3">
        <f t="shared" ca="1" si="51"/>
        <v>2.8147134854824309E-2</v>
      </c>
      <c r="Q39" s="3">
        <f t="shared" ca="1" si="51"/>
        <v>2.5562169569610254E-2</v>
      </c>
      <c r="R39" s="3">
        <f t="shared" ca="1" si="51"/>
        <v>3.0104147945340453E-2</v>
      </c>
      <c r="S39" s="3">
        <f t="shared" ca="1" si="51"/>
        <v>2.8060606825952454E-2</v>
      </c>
      <c r="T39" s="3">
        <f t="shared" ca="1" si="51"/>
        <v>3.1999879297719941E-2</v>
      </c>
      <c r="U39" s="3">
        <f t="shared" ca="1" si="51"/>
        <v>3.1059677072176418E-2</v>
      </c>
      <c r="V39" s="3">
        <f t="shared" ca="1" si="51"/>
        <v>3.2621595809218557E-2</v>
      </c>
      <c r="W39" s="3">
        <f t="shared" ca="1" si="51"/>
        <v>3.3446684763107429E-2</v>
      </c>
      <c r="X39" s="3">
        <f t="shared" ca="1" si="51"/>
        <v>3.7973307693038534E-2</v>
      </c>
      <c r="Y39" s="3">
        <f t="shared" ca="1" si="51"/>
        <v>3.9842944705607376E-2</v>
      </c>
      <c r="Z39" s="3">
        <f t="shared" ca="1" si="51"/>
        <v>4.7075913857378311E-2</v>
      </c>
      <c r="AA39" s="3">
        <f t="shared" ca="1" si="51"/>
        <v>5.0558862356386514E-2</v>
      </c>
      <c r="AB39" s="3">
        <f t="shared" ca="1" si="51"/>
        <v>5.0921368682532241E-2</v>
      </c>
      <c r="AC39" s="3">
        <f t="shared" ca="1" si="51"/>
        <v>5.7736146079593959E-2</v>
      </c>
      <c r="AD39" s="3">
        <f t="shared" ca="1" si="51"/>
        <v>6.4419592924496505E-2</v>
      </c>
      <c r="AE39" s="3">
        <f t="shared" ca="1" si="51"/>
        <v>6.0175306703845091E-2</v>
      </c>
      <c r="AF39" s="3">
        <f t="shared" ca="1" si="51"/>
        <v>7.5688123714337294E-2</v>
      </c>
      <c r="AG39" s="3">
        <f t="shared" ca="1" si="51"/>
        <v>7.1542829353237067E-2</v>
      </c>
      <c r="AH39" s="3">
        <f t="shared" ca="1" si="51"/>
        <v>0.10869830910672</v>
      </c>
      <c r="AI39" s="3">
        <f t="shared" ca="1" si="51"/>
        <v>8.5058753798955986E-2</v>
      </c>
      <c r="AJ39" s="3">
        <f t="shared" ca="1" si="51"/>
        <v>0.16706265565797121</v>
      </c>
    </row>
    <row r="40" spans="1:36" x14ac:dyDescent="0.35">
      <c r="A40" t="s">
        <v>63</v>
      </c>
      <c r="B40" t="s">
        <v>61</v>
      </c>
      <c r="C40" s="4" t="s">
        <v>73</v>
      </c>
      <c r="D40" s="3">
        <f t="shared" ref="D40:AJ40" ca="1" si="52">MIN(0.99,D21+$D$3)</f>
        <v>1.6386936351762145E-2</v>
      </c>
      <c r="E40" s="3">
        <f t="shared" ca="1" si="52"/>
        <v>1.5547628701309921E-2</v>
      </c>
      <c r="F40" s="3">
        <f t="shared" ca="1" si="52"/>
        <v>1.8500013892154377E-2</v>
      </c>
      <c r="G40" s="3">
        <f t="shared" ca="1" si="52"/>
        <v>1.7621741231034879E-2</v>
      </c>
      <c r="H40" s="3">
        <f t="shared" ca="1" si="52"/>
        <v>2.1921713832228469E-2</v>
      </c>
      <c r="I40" s="3">
        <f t="shared" ca="1" si="52"/>
        <v>1.8744135370678417E-2</v>
      </c>
      <c r="J40" s="3">
        <f t="shared" ca="1" si="52"/>
        <v>2.3785054890590247E-2</v>
      </c>
      <c r="K40" s="3">
        <f t="shared" ca="1" si="52"/>
        <v>2.0844510714854117E-2</v>
      </c>
      <c r="L40" s="3">
        <f t="shared" ca="1" si="52"/>
        <v>2.5760181910827649E-2</v>
      </c>
      <c r="M40" s="3">
        <f t="shared" ca="1" si="52"/>
        <v>2.1897262463629566E-2</v>
      </c>
      <c r="N40" s="3">
        <f t="shared" ca="1" si="52"/>
        <v>2.8412569454329812E-2</v>
      </c>
      <c r="O40" s="3">
        <f t="shared" ca="1" si="52"/>
        <v>2.4570225178357701E-2</v>
      </c>
      <c r="P40" s="3">
        <f t="shared" ca="1" si="52"/>
        <v>2.9058277735596549E-2</v>
      </c>
      <c r="Q40" s="3">
        <f t="shared" ca="1" si="52"/>
        <v>2.6555017233816623E-2</v>
      </c>
      <c r="R40" s="3">
        <f t="shared" ca="1" si="52"/>
        <v>3.1078642714833044E-2</v>
      </c>
      <c r="S40" s="3">
        <f t="shared" ca="1" si="52"/>
        <v>2.8981916774979948E-2</v>
      </c>
      <c r="T40" s="3">
        <f t="shared" ca="1" si="52"/>
        <v>3.296595138248503E-2</v>
      </c>
      <c r="U40" s="3">
        <f t="shared" ca="1" si="52"/>
        <v>3.1990554205338223E-2</v>
      </c>
      <c r="V40" s="3">
        <f t="shared" ca="1" si="52"/>
        <v>3.3530191387907159E-2</v>
      </c>
      <c r="W40" s="3">
        <f t="shared" ca="1" si="52"/>
        <v>3.4425487108905237E-2</v>
      </c>
      <c r="X40" s="3">
        <f t="shared" ca="1" si="52"/>
        <v>3.8967195172722451E-2</v>
      </c>
      <c r="Y40" s="3">
        <f t="shared" ca="1" si="52"/>
        <v>4.0804531296219852E-2</v>
      </c>
      <c r="Z40" s="3">
        <f t="shared" ca="1" si="52"/>
        <v>4.8001829703067503E-2</v>
      </c>
      <c r="AA40" s="3">
        <f t="shared" ca="1" si="52"/>
        <v>5.1524644663008642E-2</v>
      </c>
      <c r="AB40" s="3">
        <f t="shared" ca="1" si="52"/>
        <v>5.1873881910314612E-2</v>
      </c>
      <c r="AC40" s="3">
        <f t="shared" ca="1" si="52"/>
        <v>5.8673874968464337E-2</v>
      </c>
      <c r="AD40" s="3">
        <f t="shared" ca="1" si="52"/>
        <v>6.538488771895494E-2</v>
      </c>
      <c r="AE40" s="3">
        <f t="shared" ca="1" si="52"/>
        <v>6.1078567578935129E-2</v>
      </c>
      <c r="AF40" s="3">
        <f t="shared" ca="1" si="52"/>
        <v>7.6639311339377195E-2</v>
      </c>
      <c r="AG40" s="3">
        <f t="shared" ca="1" si="52"/>
        <v>7.2541802076112424E-2</v>
      </c>
      <c r="AH40" s="3">
        <f t="shared" ca="1" si="52"/>
        <v>0.10965107764986413</v>
      </c>
      <c r="AI40" s="3">
        <f t="shared" ca="1" si="52"/>
        <v>8.5983719065489156E-2</v>
      </c>
      <c r="AJ40" s="3">
        <f t="shared" ca="1" si="52"/>
        <v>0.16799298878463481</v>
      </c>
    </row>
    <row r="41" spans="1:36" x14ac:dyDescent="0.35">
      <c r="A41" t="s">
        <v>63</v>
      </c>
      <c r="B41" t="s">
        <v>61</v>
      </c>
      <c r="C41" s="4" t="s">
        <v>74</v>
      </c>
      <c r="D41" s="3">
        <f t="shared" ref="D41:AJ41" ca="1" si="53">MIN(0.99,D22+$D$3)</f>
        <v>1.7316337697384304E-2</v>
      </c>
      <c r="E41" s="3">
        <f t="shared" ca="1" si="53"/>
        <v>1.6538279054390537E-2</v>
      </c>
      <c r="F41" s="3">
        <f t="shared" ca="1" si="53"/>
        <v>1.9402286295640923E-2</v>
      </c>
      <c r="G41" s="3">
        <f t="shared" ca="1" si="53"/>
        <v>1.8541311257806243E-2</v>
      </c>
      <c r="H41" s="3">
        <f t="shared" ca="1" si="53"/>
        <v>2.2876947885218726E-2</v>
      </c>
      <c r="I41" s="3">
        <f t="shared" ca="1" si="53"/>
        <v>1.968934603688233E-2</v>
      </c>
      <c r="J41" s="3">
        <f t="shared" ca="1" si="53"/>
        <v>2.4738976535387831E-2</v>
      </c>
      <c r="K41" s="3">
        <f t="shared" ca="1" si="53"/>
        <v>2.1794991529974182E-2</v>
      </c>
      <c r="L41" s="3">
        <f t="shared" ca="1" si="53"/>
        <v>2.6733787315479707E-2</v>
      </c>
      <c r="M41" s="3">
        <f t="shared" ca="1" si="53"/>
        <v>2.2849105925949804E-2</v>
      </c>
      <c r="N41" s="3">
        <f t="shared" ca="1" si="53"/>
        <v>2.9356862334789461E-2</v>
      </c>
      <c r="O41" s="3">
        <f t="shared" ca="1" si="53"/>
        <v>2.5501735513536881E-2</v>
      </c>
      <c r="P41" s="3">
        <f t="shared" ca="1" si="53"/>
        <v>3.0012636013329173E-2</v>
      </c>
      <c r="Q41" s="3">
        <f t="shared" ca="1" si="53"/>
        <v>2.7543480492738404E-2</v>
      </c>
      <c r="R41" s="3">
        <f t="shared" ca="1" si="53"/>
        <v>3.206294272303175E-2</v>
      </c>
      <c r="S41" s="3">
        <f t="shared" ca="1" si="53"/>
        <v>2.9978071046557343E-2</v>
      </c>
      <c r="T41" s="3">
        <f t="shared" ca="1" si="53"/>
        <v>3.3873941535837261E-2</v>
      </c>
      <c r="U41" s="3">
        <f t="shared" ca="1" si="53"/>
        <v>3.2901813714334385E-2</v>
      </c>
      <c r="V41" s="3">
        <f t="shared" ca="1" si="53"/>
        <v>3.4524863128918955E-2</v>
      </c>
      <c r="W41" s="3">
        <f t="shared" ca="1" si="53"/>
        <v>3.5344331226903336E-2</v>
      </c>
      <c r="X41" s="3">
        <f t="shared" ca="1" si="53"/>
        <v>3.9933285833749228E-2</v>
      </c>
      <c r="Y41" s="3">
        <f t="shared" ca="1" si="53"/>
        <v>4.1739232004647041E-2</v>
      </c>
      <c r="Z41" s="3">
        <f t="shared" ca="1" si="53"/>
        <v>4.8929645632501406E-2</v>
      </c>
      <c r="AA41" s="3">
        <f t="shared" ca="1" si="53"/>
        <v>5.2500608686178604E-2</v>
      </c>
      <c r="AB41" s="3">
        <f t="shared" ca="1" si="53"/>
        <v>5.2821075526127519E-2</v>
      </c>
      <c r="AC41" s="3">
        <f t="shared" ca="1" si="53"/>
        <v>5.9600282742797307E-2</v>
      </c>
      <c r="AD41" s="3">
        <f t="shared" ca="1" si="53"/>
        <v>6.6287347364944516E-2</v>
      </c>
      <c r="AE41" s="3">
        <f t="shared" ca="1" si="53"/>
        <v>6.2028208709063073E-2</v>
      </c>
      <c r="AF41" s="3">
        <f t="shared" ca="1" si="53"/>
        <v>7.7540180222477079E-2</v>
      </c>
      <c r="AG41" s="3">
        <f t="shared" ca="1" si="53"/>
        <v>7.3502936802017249E-2</v>
      </c>
      <c r="AH41" s="3">
        <f t="shared" ca="1" si="53"/>
        <v>0.11059289197554839</v>
      </c>
      <c r="AI41" s="3">
        <f t="shared" ca="1" si="53"/>
        <v>8.6969160480037971E-2</v>
      </c>
      <c r="AJ41" s="3">
        <f t="shared" ca="1" si="53"/>
        <v>0.16893474800599617</v>
      </c>
    </row>
    <row r="42" spans="1:36" x14ac:dyDescent="0.35">
      <c r="A42" t="s">
        <v>63</v>
      </c>
      <c r="B42" t="s">
        <v>61</v>
      </c>
      <c r="C42" s="4">
        <v>7</v>
      </c>
      <c r="D42" s="3">
        <f t="shared" ref="D42:AJ42" ca="1" si="54">MIN(0.99,D23+$D$3)</f>
        <v>1.8226710086550309E-2</v>
      </c>
      <c r="E42" s="3">
        <f t="shared" ca="1" si="54"/>
        <v>1.7453362690508276E-2</v>
      </c>
      <c r="F42" s="3">
        <f t="shared" ca="1" si="54"/>
        <v>2.0345344187116688E-2</v>
      </c>
      <c r="G42" s="3">
        <f t="shared" ca="1" si="54"/>
        <v>1.9458083368384005E-2</v>
      </c>
      <c r="H42" s="3">
        <f t="shared" ca="1" si="54"/>
        <v>2.3794438285014353E-2</v>
      </c>
      <c r="I42" s="3">
        <f t="shared" ca="1" si="54"/>
        <v>2.06730627162676E-2</v>
      </c>
      <c r="J42" s="3">
        <f t="shared" ca="1" si="54"/>
        <v>2.5729653518105848E-2</v>
      </c>
      <c r="K42" s="3">
        <f t="shared" ca="1" si="54"/>
        <v>2.2736860398129714E-2</v>
      </c>
      <c r="L42" s="3">
        <f t="shared" ca="1" si="54"/>
        <v>2.7668287764437409E-2</v>
      </c>
      <c r="M42" s="3">
        <f t="shared" ca="1" si="54"/>
        <v>2.3834791632298295E-2</v>
      </c>
      <c r="N42" s="3">
        <f t="shared" ca="1" si="54"/>
        <v>3.0265929075964034E-2</v>
      </c>
      <c r="O42" s="3">
        <f t="shared" ca="1" si="54"/>
        <v>2.6415459108561423E-2</v>
      </c>
      <c r="P42" s="3">
        <f t="shared" ca="1" si="54"/>
        <v>3.1000408365831227E-2</v>
      </c>
      <c r="Q42" s="3">
        <f t="shared" ca="1" si="54"/>
        <v>2.8480505227598634E-2</v>
      </c>
      <c r="R42" s="3">
        <f t="shared" ca="1" si="54"/>
        <v>3.3054880705174677E-2</v>
      </c>
      <c r="S42" s="3">
        <f t="shared" ca="1" si="54"/>
        <v>3.0895950672121753E-2</v>
      </c>
      <c r="T42" s="3">
        <f t="shared" ca="1" si="54"/>
        <v>3.4868544012707704E-2</v>
      </c>
      <c r="U42" s="3">
        <f t="shared" ca="1" si="54"/>
        <v>3.3885630716157328E-2</v>
      </c>
      <c r="V42" s="3">
        <f t="shared" ca="1" si="54"/>
        <v>3.5460831225618057E-2</v>
      </c>
      <c r="W42" s="3">
        <f t="shared" ca="1" si="54"/>
        <v>3.6329980357340433E-2</v>
      </c>
      <c r="X42" s="3">
        <f t="shared" ca="1" si="54"/>
        <v>4.0848456895077032E-2</v>
      </c>
      <c r="Y42" s="3">
        <f t="shared" ca="1" si="54"/>
        <v>4.2668428605155392E-2</v>
      </c>
      <c r="Z42" s="3">
        <f t="shared" ca="1" si="54"/>
        <v>4.9887780807242897E-2</v>
      </c>
      <c r="AA42" s="3">
        <f t="shared" ca="1" si="54"/>
        <v>5.3483147803501004E-2</v>
      </c>
      <c r="AB42" s="3">
        <f t="shared" ca="1" si="54"/>
        <v>5.3789868959764418E-2</v>
      </c>
      <c r="AC42" s="3">
        <f t="shared" ca="1" si="54"/>
        <v>6.0587536934887457E-2</v>
      </c>
      <c r="AD42" s="3">
        <f t="shared" ca="1" si="54"/>
        <v>6.7191822836581289E-2</v>
      </c>
      <c r="AE42" s="3">
        <f t="shared" ca="1" si="54"/>
        <v>6.2967285148231536E-2</v>
      </c>
      <c r="AF42" s="3">
        <f t="shared" ca="1" si="54"/>
        <v>7.8469532236430398E-2</v>
      </c>
      <c r="AG42" s="3">
        <f t="shared" ca="1" si="54"/>
        <v>7.4439550165172563E-2</v>
      </c>
      <c r="AH42" s="3">
        <f t="shared" ca="1" si="54"/>
        <v>0.11156056495424174</v>
      </c>
      <c r="AI42" s="3">
        <f t="shared" ca="1" si="54"/>
        <v>8.7958162508376528E-2</v>
      </c>
      <c r="AJ42" s="3">
        <f t="shared" ca="1" si="54"/>
        <v>0.16989210828009405</v>
      </c>
    </row>
    <row r="43" spans="1:36" x14ac:dyDescent="0.35">
      <c r="A43" t="s">
        <v>63</v>
      </c>
      <c r="B43" t="s">
        <v>61</v>
      </c>
      <c r="C43" s="4" t="s">
        <v>75</v>
      </c>
      <c r="D43" s="3">
        <f t="shared" ref="D43:AJ43" ca="1" si="55">MIN(0.99,D24+$D$3)</f>
        <v>1.9128009240577365E-2</v>
      </c>
      <c r="E43" s="3">
        <f t="shared" ca="1" si="55"/>
        <v>1.8361062024404472E-2</v>
      </c>
      <c r="F43" s="3">
        <f t="shared" ca="1" si="55"/>
        <v>2.1344876758119396E-2</v>
      </c>
      <c r="G43" s="3">
        <f t="shared" ca="1" si="55"/>
        <v>2.0401094330894813E-2</v>
      </c>
      <c r="H43" s="3">
        <f t="shared" ca="1" si="55"/>
        <v>2.4754541829204533E-2</v>
      </c>
      <c r="I43" s="3">
        <f t="shared" ca="1" si="55"/>
        <v>2.1672201740085082E-2</v>
      </c>
      <c r="J43" s="3">
        <f t="shared" ca="1" si="55"/>
        <v>2.6680685814814351E-2</v>
      </c>
      <c r="K43" s="3">
        <f t="shared" ca="1" si="55"/>
        <v>2.3664797669197116E-2</v>
      </c>
      <c r="L43" s="3">
        <f t="shared" ca="1" si="55"/>
        <v>2.8644006949034045E-2</v>
      </c>
      <c r="M43" s="3">
        <f t="shared" ca="1" si="55"/>
        <v>2.479557061054067E-2</v>
      </c>
      <c r="N43" s="3">
        <f t="shared" ca="1" si="55"/>
        <v>3.1248120067561998E-2</v>
      </c>
      <c r="O43" s="3">
        <f t="shared" ca="1" si="55"/>
        <v>2.7361415936595291E-2</v>
      </c>
      <c r="P43" s="3">
        <f t="shared" ca="1" si="55"/>
        <v>3.1999578985167788E-2</v>
      </c>
      <c r="Q43" s="3">
        <f t="shared" ca="1" si="55"/>
        <v>2.9436850770994189E-2</v>
      </c>
      <c r="R43" s="3">
        <f t="shared" ca="1" si="55"/>
        <v>3.4033607776862089E-2</v>
      </c>
      <c r="S43" s="3">
        <f t="shared" ca="1" si="55"/>
        <v>3.1838425467124877E-2</v>
      </c>
      <c r="T43" s="3">
        <f t="shared" ca="1" si="55"/>
        <v>3.5854553001836049E-2</v>
      </c>
      <c r="U43" s="3">
        <f t="shared" ca="1" si="55"/>
        <v>3.487986888037211E-2</v>
      </c>
      <c r="V43" s="3">
        <f t="shared" ca="1" si="55"/>
        <v>3.6401078304836292E-2</v>
      </c>
      <c r="W43" s="3">
        <f t="shared" ca="1" si="55"/>
        <v>3.7238380121084713E-2</v>
      </c>
      <c r="X43" s="3">
        <f t="shared" ca="1" si="55"/>
        <v>4.1779280047233525E-2</v>
      </c>
      <c r="Y43" s="3">
        <f t="shared" ca="1" si="55"/>
        <v>4.3589542216064404E-2</v>
      </c>
      <c r="Z43" s="3">
        <f t="shared" ca="1" si="55"/>
        <v>5.0838985429889016E-2</v>
      </c>
      <c r="AA43" s="3">
        <f t="shared" ca="1" si="55"/>
        <v>5.4417358121150131E-2</v>
      </c>
      <c r="AB43" s="3">
        <f t="shared" ca="1" si="55"/>
        <v>5.4725257440567131E-2</v>
      </c>
      <c r="AC43" s="3">
        <f t="shared" ca="1" si="55"/>
        <v>6.151415093325955E-2</v>
      </c>
      <c r="AD43" s="3">
        <f t="shared" ca="1" si="55"/>
        <v>6.8142020288133751E-2</v>
      </c>
      <c r="AE43" s="3">
        <f t="shared" ca="1" si="55"/>
        <v>6.3890499199080436E-2</v>
      </c>
      <c r="AF43" s="3">
        <f t="shared" ca="1" si="55"/>
        <v>7.9423101080066782E-2</v>
      </c>
      <c r="AG43" s="3">
        <f t="shared" ca="1" si="55"/>
        <v>7.5406791801274187E-2</v>
      </c>
      <c r="AH43" s="3">
        <f t="shared" ca="1" si="55"/>
        <v>0.11248382515303333</v>
      </c>
      <c r="AI43" s="3">
        <f t="shared" ca="1" si="55"/>
        <v>8.8943961382403319E-2</v>
      </c>
      <c r="AJ43" s="3">
        <f t="shared" ca="1" si="55"/>
        <v>0.1708647046093624</v>
      </c>
    </row>
    <row r="44" spans="1:36" x14ac:dyDescent="0.35">
      <c r="A44" t="s">
        <v>63</v>
      </c>
      <c r="B44" t="s">
        <v>62</v>
      </c>
      <c r="C44" s="4">
        <v>1</v>
      </c>
      <c r="D44" s="3">
        <f t="shared" ref="D44:AJ44" ca="1" si="56">MIN(0.99,D25+$D$3)</f>
        <v>2.9707969626876045E-3</v>
      </c>
      <c r="E44" s="3">
        <f t="shared" ca="1" si="56"/>
        <v>2.5690660305090498E-3</v>
      </c>
      <c r="F44" s="3">
        <f t="shared" ca="1" si="56"/>
        <v>5.1215214995948008E-3</v>
      </c>
      <c r="G44" s="3">
        <f t="shared" ca="1" si="56"/>
        <v>4.2932758302096797E-3</v>
      </c>
      <c r="H44" s="3">
        <f t="shared" ca="1" si="56"/>
        <v>8.6388033787045387E-3</v>
      </c>
      <c r="I44" s="3">
        <f t="shared" ca="1" si="56"/>
        <v>5.4187236416048425E-3</v>
      </c>
      <c r="J44" s="3">
        <f t="shared" ca="1" si="56"/>
        <v>1.043728976706481E-2</v>
      </c>
      <c r="K44" s="3">
        <f t="shared" ca="1" si="56"/>
        <v>7.60479264892331E-3</v>
      </c>
      <c r="L44" s="3">
        <f t="shared" ca="1" si="56"/>
        <v>1.2562939556702797E-2</v>
      </c>
      <c r="M44" s="3">
        <f t="shared" ca="1" si="56"/>
        <v>8.7295108429775517E-3</v>
      </c>
      <c r="N44" s="3">
        <f t="shared" ca="1" si="56"/>
        <v>1.5083641457633197E-2</v>
      </c>
      <c r="O44" s="3">
        <f t="shared" ca="1" si="56"/>
        <v>1.1371449619040526E-2</v>
      </c>
      <c r="P44" s="3">
        <f t="shared" ca="1" si="56"/>
        <v>1.5998260665686125E-2</v>
      </c>
      <c r="Q44" s="3">
        <f t="shared" ca="1" si="56"/>
        <v>1.3318788149466118E-2</v>
      </c>
      <c r="R44" s="3">
        <f t="shared" ca="1" si="56"/>
        <v>1.7796118680641231E-2</v>
      </c>
      <c r="S44" s="3">
        <f t="shared" ca="1" si="56"/>
        <v>1.562402143679404E-2</v>
      </c>
      <c r="T44" s="3">
        <f t="shared" ca="1" si="56"/>
        <v>1.9683665660623913E-2</v>
      </c>
      <c r="U44" s="3">
        <f t="shared" ca="1" si="56"/>
        <v>1.8730767205372291E-2</v>
      </c>
      <c r="V44" s="3">
        <f t="shared" ca="1" si="56"/>
        <v>2.0270831647034783E-2</v>
      </c>
      <c r="W44" s="3">
        <f t="shared" ca="1" si="56"/>
        <v>2.1103070506232176E-2</v>
      </c>
      <c r="X44" s="3">
        <f t="shared" ca="1" si="56"/>
        <v>2.5690411886367975E-2</v>
      </c>
      <c r="Y44" s="3">
        <f t="shared" ca="1" si="56"/>
        <v>2.7553909995353072E-2</v>
      </c>
      <c r="Z44" s="3">
        <f t="shared" ca="1" si="56"/>
        <v>3.4879358420199472E-2</v>
      </c>
      <c r="AA44" s="3">
        <f t="shared" ca="1" si="56"/>
        <v>3.8237765728436346E-2</v>
      </c>
      <c r="AB44" s="3">
        <f t="shared" ca="1" si="56"/>
        <v>3.8697676649161711E-2</v>
      </c>
      <c r="AC44" s="3">
        <f t="shared" ca="1" si="56"/>
        <v>4.5366275859263408E-2</v>
      </c>
      <c r="AD44" s="3">
        <f t="shared" ca="1" si="56"/>
        <v>5.1869002402212636E-2</v>
      </c>
      <c r="AE44" s="3">
        <f t="shared" ca="1" si="56"/>
        <v>4.7835099773856124E-2</v>
      </c>
      <c r="AF44" s="3">
        <f t="shared" ca="1" si="56"/>
        <v>6.3391657822298011E-2</v>
      </c>
      <c r="AG44" s="3">
        <f t="shared" ca="1" si="56"/>
        <v>5.9332463289560003E-2</v>
      </c>
      <c r="AH44" s="3">
        <f t="shared" ca="1" si="56"/>
        <v>9.6340240325817575E-2</v>
      </c>
      <c r="AI44" s="3">
        <f t="shared" ca="1" si="56"/>
        <v>7.2781168519010606E-2</v>
      </c>
      <c r="AJ44" s="3">
        <f t="shared" ca="1" si="56"/>
        <v>0.15466365671004434</v>
      </c>
    </row>
    <row r="45" spans="1:36" x14ac:dyDescent="0.35">
      <c r="A45" t="s">
        <v>63</v>
      </c>
      <c r="B45" t="s">
        <v>62</v>
      </c>
      <c r="C45" s="4" t="s">
        <v>64</v>
      </c>
      <c r="D45" s="3">
        <f t="shared" ref="D45:AJ45" ca="1" si="57">MIN(0.99,D26+$D$3)</f>
        <v>3.9384593379258644E-3</v>
      </c>
      <c r="E45" s="3">
        <f t="shared" ca="1" si="57"/>
        <v>3.4807373623102753E-3</v>
      </c>
      <c r="F45" s="3">
        <f t="shared" ca="1" si="57"/>
        <v>6.0578600405059345E-3</v>
      </c>
      <c r="G45" s="3">
        <f t="shared" ca="1" si="57"/>
        <v>5.2354742186098372E-3</v>
      </c>
      <c r="H45" s="3">
        <f t="shared" ca="1" si="57"/>
        <v>9.5601048732201141E-3</v>
      </c>
      <c r="I45" s="3">
        <f t="shared" ca="1" si="57"/>
        <v>6.3496928258317351E-3</v>
      </c>
      <c r="J45" s="3">
        <f t="shared" ca="1" si="57"/>
        <v>1.1368869380813808E-2</v>
      </c>
      <c r="K45" s="3">
        <f t="shared" ca="1" si="57"/>
        <v>8.5057938319108885E-3</v>
      </c>
      <c r="L45" s="3">
        <f t="shared" ca="1" si="57"/>
        <v>1.3533731775278418E-2</v>
      </c>
      <c r="M45" s="3">
        <f t="shared" ca="1" si="57"/>
        <v>9.7039464028803694E-3</v>
      </c>
      <c r="N45" s="3">
        <f t="shared" ca="1" si="57"/>
        <v>1.5998045558863704E-2</v>
      </c>
      <c r="O45" s="3">
        <f t="shared" ca="1" si="57"/>
        <v>1.2319499482248274E-2</v>
      </c>
      <c r="P45" s="3">
        <f t="shared" ca="1" si="57"/>
        <v>1.6900513361676649E-2</v>
      </c>
      <c r="Q45" s="3">
        <f t="shared" ca="1" si="57"/>
        <v>1.4293840655751879E-2</v>
      </c>
      <c r="R45" s="3">
        <f t="shared" ca="1" si="57"/>
        <v>1.8773413117537E-2</v>
      </c>
      <c r="S45" s="3">
        <f t="shared" ca="1" si="57"/>
        <v>1.6587949221233616E-2</v>
      </c>
      <c r="T45" s="3">
        <f t="shared" ca="1" si="57"/>
        <v>2.0614214425005394E-2</v>
      </c>
      <c r="U45" s="3">
        <f t="shared" ca="1" si="57"/>
        <v>1.9678737189284222E-2</v>
      </c>
      <c r="V45" s="3">
        <f t="shared" ca="1" si="57"/>
        <v>2.1200750885015884E-2</v>
      </c>
      <c r="W45" s="3">
        <f t="shared" ca="1" si="57"/>
        <v>2.2011378944985838E-2</v>
      </c>
      <c r="X45" s="3">
        <f t="shared" ca="1" si="57"/>
        <v>2.6626372878004421E-2</v>
      </c>
      <c r="Y45" s="3">
        <f t="shared" ca="1" si="57"/>
        <v>2.8536905966197169E-2</v>
      </c>
      <c r="Z45" s="3">
        <f t="shared" ca="1" si="57"/>
        <v>3.5863018343289803E-2</v>
      </c>
      <c r="AA45" s="3">
        <f t="shared" ca="1" si="57"/>
        <v>3.9163404257570526E-2</v>
      </c>
      <c r="AB45" s="3">
        <f t="shared" ca="1" si="57"/>
        <v>3.9609863437189544E-2</v>
      </c>
      <c r="AC45" s="3">
        <f t="shared" ca="1" si="57"/>
        <v>4.6343236775646786E-2</v>
      </c>
      <c r="AD45" s="3">
        <f t="shared" ca="1" si="57"/>
        <v>5.2844269055930357E-2</v>
      </c>
      <c r="AE45" s="3">
        <f t="shared" ca="1" si="57"/>
        <v>4.8801946744002837E-2</v>
      </c>
      <c r="AF45" s="3">
        <f t="shared" ca="1" si="57"/>
        <v>6.4333380176231719E-2</v>
      </c>
      <c r="AG45" s="3">
        <f t="shared" ca="1" si="57"/>
        <v>6.0293849091046355E-2</v>
      </c>
      <c r="AH45" s="3">
        <f t="shared" ca="1" si="57"/>
        <v>9.7262713522624361E-2</v>
      </c>
      <c r="AI45" s="3">
        <f t="shared" ca="1" si="57"/>
        <v>7.3737530171032184E-2</v>
      </c>
      <c r="AJ45" s="3">
        <f t="shared" ca="1" si="57"/>
        <v>0.15556743211738025</v>
      </c>
    </row>
    <row r="46" spans="1:36" x14ac:dyDescent="0.35">
      <c r="A46" t="s">
        <v>63</v>
      </c>
      <c r="B46" t="s">
        <v>62</v>
      </c>
      <c r="C46" s="4">
        <v>2</v>
      </c>
      <c r="D46" s="3">
        <f t="shared" ref="D46:AJ46" ca="1" si="58">MIN(0.99,D27+$D$3)</f>
        <v>4.9228797801682735E-3</v>
      </c>
      <c r="E46" s="3">
        <f t="shared" ca="1" si="58"/>
        <v>4.3829556671498753E-3</v>
      </c>
      <c r="F46" s="3">
        <f t="shared" ca="1" si="58"/>
        <v>7.0186621216086304E-3</v>
      </c>
      <c r="G46" s="3">
        <f t="shared" ca="1" si="58"/>
        <v>6.1526665779722371E-3</v>
      </c>
      <c r="H46" s="3">
        <f t="shared" ca="1" si="58"/>
        <v>1.0479943069096886E-2</v>
      </c>
      <c r="I46" s="3">
        <f t="shared" ca="1" si="58"/>
        <v>7.3240730137960038E-3</v>
      </c>
      <c r="J46" s="3">
        <f t="shared" ca="1" si="58"/>
        <v>1.2355998601632046E-2</v>
      </c>
      <c r="K46" s="3">
        <f t="shared" ca="1" si="58"/>
        <v>9.4175861783362159E-3</v>
      </c>
      <c r="L46" s="3">
        <f t="shared" ca="1" si="58"/>
        <v>1.4439573820187377E-2</v>
      </c>
      <c r="M46" s="3">
        <f t="shared" ca="1" si="58"/>
        <v>1.0627340232892718E-2</v>
      </c>
      <c r="N46" s="3">
        <f t="shared" ca="1" si="58"/>
        <v>1.6932006874559126E-2</v>
      </c>
      <c r="O46" s="3">
        <f t="shared" ca="1" si="58"/>
        <v>1.3264004365093039E-2</v>
      </c>
      <c r="P46" s="3">
        <f t="shared" ca="1" si="58"/>
        <v>1.7818215378177994E-2</v>
      </c>
      <c r="Q46" s="3">
        <f t="shared" ca="1" si="58"/>
        <v>1.5273989002571341E-2</v>
      </c>
      <c r="R46" s="3">
        <f t="shared" ca="1" si="58"/>
        <v>1.969270439018278E-2</v>
      </c>
      <c r="S46" s="3">
        <f t="shared" ca="1" si="58"/>
        <v>1.7548346558081448E-2</v>
      </c>
      <c r="T46" s="3">
        <f t="shared" ca="1" si="58"/>
        <v>2.152848784915452E-2</v>
      </c>
      <c r="U46" s="3">
        <f t="shared" ca="1" si="58"/>
        <v>2.0587883536819767E-2</v>
      </c>
      <c r="V46" s="3">
        <f t="shared" ca="1" si="58"/>
        <v>2.2169494869658794E-2</v>
      </c>
      <c r="W46" s="3">
        <f t="shared" ca="1" si="58"/>
        <v>2.2937610965666568E-2</v>
      </c>
      <c r="X46" s="3">
        <f t="shared" ca="1" si="58"/>
        <v>2.7532719612774509E-2</v>
      </c>
      <c r="Y46" s="3">
        <f t="shared" ca="1" si="58"/>
        <v>2.9504210216960914E-2</v>
      </c>
      <c r="Z46" s="3">
        <f t="shared" ca="1" si="58"/>
        <v>3.6763635083073405E-2</v>
      </c>
      <c r="AA46" s="3">
        <f t="shared" ca="1" si="58"/>
        <v>4.0153464053501703E-2</v>
      </c>
      <c r="AB46" s="3">
        <f t="shared" ca="1" si="58"/>
        <v>4.0566450079826406E-2</v>
      </c>
      <c r="AC46" s="3">
        <f t="shared" ca="1" si="58"/>
        <v>4.7337382464555523E-2</v>
      </c>
      <c r="AD46" s="3">
        <f t="shared" ca="1" si="58"/>
        <v>5.3832197191042853E-2</v>
      </c>
      <c r="AE46" s="3">
        <f t="shared" ca="1" si="58"/>
        <v>4.9771845681052931E-2</v>
      </c>
      <c r="AF46" s="3">
        <f t="shared" ca="1" si="58"/>
        <v>6.5237789522823872E-2</v>
      </c>
      <c r="AG46" s="3">
        <f t="shared" ca="1" si="58"/>
        <v>6.1255274105109225E-2</v>
      </c>
      <c r="AH46" s="3">
        <f t="shared" ca="1" si="58"/>
        <v>9.8207471222166318E-2</v>
      </c>
      <c r="AI46" s="3">
        <f t="shared" ca="1" si="58"/>
        <v>7.468293033528059E-2</v>
      </c>
      <c r="AJ46" s="3">
        <f t="shared" ca="1" si="58"/>
        <v>0.15655452445282456</v>
      </c>
    </row>
    <row r="47" spans="1:36" x14ac:dyDescent="0.35">
      <c r="A47" t="s">
        <v>63</v>
      </c>
      <c r="B47" t="s">
        <v>62</v>
      </c>
      <c r="C47" s="4" t="s">
        <v>65</v>
      </c>
      <c r="D47" s="3">
        <f t="shared" ref="D47:AJ47" ca="1" si="59">MIN(0.99,D28+$D$3)</f>
        <v>5.8250315221995697E-3</v>
      </c>
      <c r="E47" s="3">
        <f t="shared" ca="1" si="59"/>
        <v>5.3049942950616404E-3</v>
      </c>
      <c r="F47" s="3">
        <f t="shared" ca="1" si="59"/>
        <v>7.9755210946197957E-3</v>
      </c>
      <c r="G47" s="3">
        <f t="shared" ca="1" si="59"/>
        <v>7.0701663459843593E-3</v>
      </c>
      <c r="H47" s="3">
        <f t="shared" ca="1" si="59"/>
        <v>1.1437597025643703E-2</v>
      </c>
      <c r="I47" s="3">
        <f t="shared" ca="1" si="59"/>
        <v>8.2826480248584348E-3</v>
      </c>
      <c r="J47" s="3">
        <f t="shared" ca="1" si="59"/>
        <v>1.3265827930688458E-2</v>
      </c>
      <c r="K47" s="3">
        <f t="shared" ca="1" si="59"/>
        <v>1.0332719211448588E-2</v>
      </c>
      <c r="L47" s="3">
        <f t="shared" ca="1" si="59"/>
        <v>1.5353248808133459E-2</v>
      </c>
      <c r="M47" s="3">
        <f t="shared" ca="1" si="59"/>
        <v>1.1535378375303842E-2</v>
      </c>
      <c r="N47" s="3">
        <f t="shared" ca="1" si="59"/>
        <v>1.7906133682767299E-2</v>
      </c>
      <c r="O47" s="3">
        <f t="shared" ca="1" si="59"/>
        <v>1.4195156661598134E-2</v>
      </c>
      <c r="P47" s="3">
        <f t="shared" ca="1" si="59"/>
        <v>1.875108454767269E-2</v>
      </c>
      <c r="Q47" s="3">
        <f t="shared" ca="1" si="59"/>
        <v>1.6234404075577715E-2</v>
      </c>
      <c r="R47" s="3">
        <f t="shared" ca="1" si="59"/>
        <v>2.0660482826014119E-2</v>
      </c>
      <c r="S47" s="3">
        <f t="shared" ca="1" si="59"/>
        <v>1.8527189296960053E-2</v>
      </c>
      <c r="T47" s="3">
        <f t="shared" ca="1" si="59"/>
        <v>2.2521378867798595E-2</v>
      </c>
      <c r="U47" s="3">
        <f t="shared" ca="1" si="59"/>
        <v>2.1526191654737181E-2</v>
      </c>
      <c r="V47" s="3">
        <f t="shared" ca="1" si="59"/>
        <v>2.3131711029112732E-2</v>
      </c>
      <c r="W47" s="3">
        <f t="shared" ca="1" si="59"/>
        <v>2.3890007075341418E-2</v>
      </c>
      <c r="X47" s="3">
        <f t="shared" ca="1" si="59"/>
        <v>2.8511001979500662E-2</v>
      </c>
      <c r="Y47" s="3">
        <f t="shared" ca="1" si="59"/>
        <v>3.0438208514034455E-2</v>
      </c>
      <c r="Z47" s="3">
        <f t="shared" ca="1" si="59"/>
        <v>3.7751075234411874E-2</v>
      </c>
      <c r="AA47" s="3">
        <f t="shared" ca="1" si="59"/>
        <v>4.1146579712575765E-2</v>
      </c>
      <c r="AB47" s="3">
        <f t="shared" ca="1" si="59"/>
        <v>4.1561150086960687E-2</v>
      </c>
      <c r="AC47" s="3">
        <f t="shared" ca="1" si="59"/>
        <v>4.8266633864557811E-2</v>
      </c>
      <c r="AD47" s="3">
        <f t="shared" ca="1" si="59"/>
        <v>5.4737083050976416E-2</v>
      </c>
      <c r="AE47" s="3">
        <f t="shared" ca="1" si="59"/>
        <v>5.0705399334886533E-2</v>
      </c>
      <c r="AF47" s="3">
        <f t="shared" ca="1" si="59"/>
        <v>6.6196925610243512E-2</v>
      </c>
      <c r="AG47" s="3">
        <f t="shared" ca="1" si="59"/>
        <v>6.2179198484795098E-2</v>
      </c>
      <c r="AH47" s="3">
        <f t="shared" ca="1" si="59"/>
        <v>9.916604215617679E-2</v>
      </c>
      <c r="AI47" s="3">
        <f t="shared" ca="1" si="59"/>
        <v>7.5611669550506896E-2</v>
      </c>
      <c r="AJ47" s="3">
        <f t="shared" ca="1" si="59"/>
        <v>0.15748949377065216</v>
      </c>
    </row>
    <row r="48" spans="1:36" x14ac:dyDescent="0.35">
      <c r="A48" t="s">
        <v>63</v>
      </c>
      <c r="B48" t="s">
        <v>62</v>
      </c>
      <c r="C48" s="4" t="s">
        <v>66</v>
      </c>
      <c r="D48" s="3">
        <f t="shared" ref="D48:AJ48" ca="1" si="60">MIN(0.99,D29+$D$3)</f>
        <v>6.7692836700699718E-3</v>
      </c>
      <c r="E48" s="3">
        <f t="shared" ca="1" si="60"/>
        <v>6.2058747631128803E-3</v>
      </c>
      <c r="F48" s="3">
        <f t="shared" ca="1" si="60"/>
        <v>8.926069553340632E-3</v>
      </c>
      <c r="G48" s="3">
        <f t="shared" ca="1" si="60"/>
        <v>8.0358929821895547E-3</v>
      </c>
      <c r="H48" s="3">
        <f t="shared" ca="1" si="60"/>
        <v>1.2393749810391447E-2</v>
      </c>
      <c r="I48" s="3">
        <f t="shared" ca="1" si="60"/>
        <v>9.2203665764843887E-3</v>
      </c>
      <c r="J48" s="3">
        <f t="shared" ca="1" si="60"/>
        <v>1.4259524582664895E-2</v>
      </c>
      <c r="K48" s="3">
        <f t="shared" ca="1" si="60"/>
        <v>1.131703883233854E-2</v>
      </c>
      <c r="L48" s="3">
        <f t="shared" ca="1" si="60"/>
        <v>1.6329657663037789E-2</v>
      </c>
      <c r="M48" s="3">
        <f t="shared" ca="1" si="60"/>
        <v>1.2521997300802203E-2</v>
      </c>
      <c r="N48" s="3">
        <f t="shared" ca="1" si="60"/>
        <v>1.8903700710796504E-2</v>
      </c>
      <c r="O48" s="3">
        <f t="shared" ca="1" si="60"/>
        <v>1.5118368627681584E-2</v>
      </c>
      <c r="P48" s="3">
        <f t="shared" ca="1" si="60"/>
        <v>1.9713217543826437E-2</v>
      </c>
      <c r="Q48" s="3">
        <f t="shared" ca="1" si="60"/>
        <v>1.713731158000634E-2</v>
      </c>
      <c r="R48" s="3">
        <f t="shared" ca="1" si="60"/>
        <v>2.1622532596617963E-2</v>
      </c>
      <c r="S48" s="3">
        <f t="shared" ca="1" si="60"/>
        <v>1.9507028096376302E-2</v>
      </c>
      <c r="T48" s="3">
        <f t="shared" ca="1" si="60"/>
        <v>2.3431228860219058E-2</v>
      </c>
      <c r="U48" s="3">
        <f t="shared" ca="1" si="60"/>
        <v>2.2508241273339696E-2</v>
      </c>
      <c r="V48" s="3">
        <f t="shared" ca="1" si="60"/>
        <v>2.410404596907809E-2</v>
      </c>
      <c r="W48" s="3">
        <f t="shared" ca="1" si="60"/>
        <v>2.4864958386669214E-2</v>
      </c>
      <c r="X48" s="3">
        <f t="shared" ca="1" si="60"/>
        <v>2.9470677742665968E-2</v>
      </c>
      <c r="Y48" s="3">
        <f t="shared" ca="1" si="60"/>
        <v>3.1398478032501315E-2</v>
      </c>
      <c r="Z48" s="3">
        <f t="shared" ca="1" si="60"/>
        <v>3.86782576515367E-2</v>
      </c>
      <c r="AA48" s="3">
        <f t="shared" ca="1" si="60"/>
        <v>4.2120223461306873E-2</v>
      </c>
      <c r="AB48" s="3">
        <f t="shared" ca="1" si="60"/>
        <v>4.2552261826383685E-2</v>
      </c>
      <c r="AC48" s="3">
        <f t="shared" ca="1" si="60"/>
        <v>4.9169773075851034E-2</v>
      </c>
      <c r="AD48" s="3">
        <f t="shared" ca="1" si="60"/>
        <v>5.5702963192432141E-2</v>
      </c>
      <c r="AE48" s="3">
        <f t="shared" ca="1" si="60"/>
        <v>5.1679468295553366E-2</v>
      </c>
      <c r="AF48" s="3">
        <f t="shared" ca="1" si="60"/>
        <v>6.7179717280152998E-2</v>
      </c>
      <c r="AG48" s="3">
        <f t="shared" ca="1" si="60"/>
        <v>6.3159895952065573E-2</v>
      </c>
      <c r="AH48" s="3">
        <f t="shared" ca="1" si="60"/>
        <v>0.10007611054976927</v>
      </c>
      <c r="AI48" s="3">
        <f t="shared" ca="1" si="60"/>
        <v>7.6527548994164543E-2</v>
      </c>
      <c r="AJ48" s="3">
        <f t="shared" ca="1" si="60"/>
        <v>0.15846415584840753</v>
      </c>
    </row>
    <row r="49" spans="1:36" x14ac:dyDescent="0.35">
      <c r="A49" t="s">
        <v>63</v>
      </c>
      <c r="B49" t="s">
        <v>62</v>
      </c>
      <c r="C49" s="4">
        <v>3</v>
      </c>
      <c r="D49" s="3">
        <f t="shared" ref="D49:AJ49" ca="1" si="61">MIN(0.99,D30+$D$3)</f>
        <v>7.6910726196157712E-3</v>
      </c>
      <c r="E49" s="3">
        <f t="shared" ca="1" si="61"/>
        <v>7.1646075552224651E-3</v>
      </c>
      <c r="F49" s="3">
        <f t="shared" ca="1" si="61"/>
        <v>9.9218690948698826E-3</v>
      </c>
      <c r="G49" s="3">
        <f t="shared" ca="1" si="61"/>
        <v>9.0124382166867426E-3</v>
      </c>
      <c r="H49" s="3">
        <f t="shared" ca="1" si="61"/>
        <v>1.3333523826107203E-2</v>
      </c>
      <c r="I49" s="3">
        <f t="shared" ca="1" si="61"/>
        <v>1.017288301965796E-2</v>
      </c>
      <c r="J49" s="3">
        <f t="shared" ca="1" si="61"/>
        <v>1.5222404363890503E-2</v>
      </c>
      <c r="K49" s="3">
        <f t="shared" ca="1" si="61"/>
        <v>1.2282985534600679E-2</v>
      </c>
      <c r="L49" s="3">
        <f t="shared" ca="1" si="61"/>
        <v>1.7254768045863154E-2</v>
      </c>
      <c r="M49" s="3">
        <f t="shared" ca="1" si="61"/>
        <v>1.3513728339233342E-2</v>
      </c>
      <c r="N49" s="3">
        <f t="shared" ca="1" si="61"/>
        <v>1.9876337898784093E-2</v>
      </c>
      <c r="O49" s="3">
        <f t="shared" ca="1" si="61"/>
        <v>1.6021811522918886E-2</v>
      </c>
      <c r="P49" s="3">
        <f t="shared" ca="1" si="61"/>
        <v>2.0646098948543617E-2</v>
      </c>
      <c r="Q49" s="3">
        <f t="shared" ca="1" si="61"/>
        <v>1.8067400925390165E-2</v>
      </c>
      <c r="R49" s="3">
        <f t="shared" ca="1" si="61"/>
        <v>2.2523217633407762E-2</v>
      </c>
      <c r="S49" s="3">
        <f t="shared" ca="1" si="61"/>
        <v>2.0440539473532495E-2</v>
      </c>
      <c r="T49" s="3">
        <f t="shared" ca="1" si="61"/>
        <v>2.4402726472503158E-2</v>
      </c>
      <c r="U49" s="3">
        <f t="shared" ca="1" si="61"/>
        <v>2.3493570040992621E-2</v>
      </c>
      <c r="V49" s="3">
        <f t="shared" ca="1" si="61"/>
        <v>2.5066540900671241E-2</v>
      </c>
      <c r="W49" s="3">
        <f t="shared" ca="1" si="61"/>
        <v>2.5791824556469209E-2</v>
      </c>
      <c r="X49" s="3">
        <f t="shared" ca="1" si="61"/>
        <v>3.0382767868824309E-2</v>
      </c>
      <c r="Y49" s="3">
        <f t="shared" ca="1" si="61"/>
        <v>3.2387608538845508E-2</v>
      </c>
      <c r="Z49" s="3">
        <f t="shared" ca="1" si="61"/>
        <v>3.9596369996838493E-2</v>
      </c>
      <c r="AA49" s="3">
        <f t="shared" ca="1" si="61"/>
        <v>4.3020599302233758E-2</v>
      </c>
      <c r="AB49" s="3">
        <f t="shared" ca="1" si="61"/>
        <v>4.3519875636484677E-2</v>
      </c>
      <c r="AC49" s="3">
        <f t="shared" ca="1" si="61"/>
        <v>5.011248203329189E-2</v>
      </c>
      <c r="AD49" s="3">
        <f t="shared" ca="1" si="61"/>
        <v>5.6688945644697314E-2</v>
      </c>
      <c r="AE49" s="3">
        <f t="shared" ca="1" si="61"/>
        <v>5.2659008247430465E-2</v>
      </c>
      <c r="AF49" s="3">
        <f t="shared" ca="1" si="61"/>
        <v>6.8156057578600993E-2</v>
      </c>
      <c r="AG49" s="3">
        <f t="shared" ca="1" si="61"/>
        <v>6.4068832629817649E-2</v>
      </c>
      <c r="AH49" s="3">
        <f t="shared" ca="1" si="61"/>
        <v>0.10099837586434526</v>
      </c>
      <c r="AI49" s="3">
        <f t="shared" ca="1" si="61"/>
        <v>7.7519334157874459E-2</v>
      </c>
      <c r="AJ49" s="3">
        <f t="shared" ca="1" si="61"/>
        <v>0.15945232156878791</v>
      </c>
    </row>
    <row r="50" spans="1:36" x14ac:dyDescent="0.35">
      <c r="A50" t="s">
        <v>63</v>
      </c>
      <c r="B50" t="s">
        <v>62</v>
      </c>
      <c r="C50" s="4" t="s">
        <v>67</v>
      </c>
      <c r="D50" s="3">
        <f t="shared" ref="D50:AJ50" ca="1" si="62">MIN(0.99,D31+$D$3)</f>
        <v>8.6598234192023383E-3</v>
      </c>
      <c r="E50" s="3">
        <f t="shared" ca="1" si="62"/>
        <v>8.0810712503510355E-3</v>
      </c>
      <c r="F50" s="3">
        <f t="shared" ca="1" si="62"/>
        <v>1.0853522676351261E-2</v>
      </c>
      <c r="G50" s="3">
        <f t="shared" ca="1" si="62"/>
        <v>9.9213369094909819E-3</v>
      </c>
      <c r="H50" s="3">
        <f t="shared" ca="1" si="62"/>
        <v>1.4329771773689704E-2</v>
      </c>
      <c r="I50" s="3">
        <f t="shared" ca="1" si="62"/>
        <v>1.1128814309393411E-2</v>
      </c>
      <c r="J50" s="3">
        <f t="shared" ca="1" si="62"/>
        <v>1.6139378113403678E-2</v>
      </c>
      <c r="K50" s="3">
        <f t="shared" ca="1" si="62"/>
        <v>1.3213835340970457E-2</v>
      </c>
      <c r="L50" s="3">
        <f t="shared" ca="1" si="62"/>
        <v>1.8252580197360018E-2</v>
      </c>
      <c r="M50" s="3">
        <f t="shared" ca="1" si="62"/>
        <v>1.4423825683707744E-2</v>
      </c>
      <c r="N50" s="3">
        <f t="shared" ca="1" si="62"/>
        <v>2.0785137906180317E-2</v>
      </c>
      <c r="O50" s="3">
        <f t="shared" ca="1" si="62"/>
        <v>1.6989220247703215E-2</v>
      </c>
      <c r="P50" s="3">
        <f t="shared" ca="1" si="62"/>
        <v>2.1548630181002153E-2</v>
      </c>
      <c r="Q50" s="3">
        <f t="shared" ca="1" si="62"/>
        <v>1.9036507052753591E-2</v>
      </c>
      <c r="R50" s="3">
        <f t="shared" ca="1" si="62"/>
        <v>2.3510482139925157E-2</v>
      </c>
      <c r="S50" s="3">
        <f t="shared" ca="1" si="62"/>
        <v>2.1439949696174201E-2</v>
      </c>
      <c r="T50" s="3">
        <f t="shared" ca="1" si="62"/>
        <v>2.5392123891440323E-2</v>
      </c>
      <c r="U50" s="3">
        <f t="shared" ca="1" si="62"/>
        <v>2.4398060801604081E-2</v>
      </c>
      <c r="V50" s="3">
        <f t="shared" ca="1" si="62"/>
        <v>2.6053956147871413E-2</v>
      </c>
      <c r="W50" s="3">
        <f t="shared" ca="1" si="62"/>
        <v>2.6702325776036644E-2</v>
      </c>
      <c r="X50" s="3">
        <f t="shared" ca="1" si="62"/>
        <v>3.1361286608982263E-2</v>
      </c>
      <c r="Y50" s="3">
        <f t="shared" ca="1" si="62"/>
        <v>3.331823656283929E-2</v>
      </c>
      <c r="Z50" s="3">
        <f t="shared" ca="1" si="62"/>
        <v>4.0499490263970137E-2</v>
      </c>
      <c r="AA50" s="3">
        <f t="shared" ca="1" si="62"/>
        <v>4.3984855149505377E-2</v>
      </c>
      <c r="AB50" s="3">
        <f t="shared" ca="1" si="62"/>
        <v>4.4452658602999046E-2</v>
      </c>
      <c r="AC50" s="3">
        <f t="shared" ca="1" si="62"/>
        <v>5.1106200784981584E-2</v>
      </c>
      <c r="AD50" s="3">
        <f t="shared" ca="1" si="62"/>
        <v>5.76803099527416E-2</v>
      </c>
      <c r="AE50" s="3">
        <f t="shared" ca="1" si="62"/>
        <v>5.3596648516072612E-2</v>
      </c>
      <c r="AF50" s="3">
        <f t="shared" ca="1" si="62"/>
        <v>6.911753727146068E-2</v>
      </c>
      <c r="AG50" s="3">
        <f t="shared" ca="1" si="62"/>
        <v>6.5057097244872589E-2</v>
      </c>
      <c r="AH50" s="3">
        <f t="shared" ca="1" si="62"/>
        <v>0.10196662516749069</v>
      </c>
      <c r="AI50" s="3">
        <f t="shared" ca="1" si="62"/>
        <v>7.8458012924774612E-2</v>
      </c>
      <c r="AJ50" s="3">
        <f t="shared" ca="1" si="62"/>
        <v>0.16038229717962441</v>
      </c>
    </row>
    <row r="51" spans="1:36" x14ac:dyDescent="0.35">
      <c r="A51" t="s">
        <v>63</v>
      </c>
      <c r="B51" t="s">
        <v>62</v>
      </c>
      <c r="C51" s="4" t="s">
        <v>68</v>
      </c>
      <c r="D51" s="3">
        <f t="shared" ref="D51:AJ51" ca="1" si="63">MIN(0.99,D32+$D$3)</f>
        <v>9.6089092718048622E-3</v>
      </c>
      <c r="E51" s="3">
        <f t="shared" ca="1" si="63"/>
        <v>9.0777284718701612E-3</v>
      </c>
      <c r="F51" s="3">
        <f t="shared" ca="1" si="63"/>
        <v>1.1827625120755324E-2</v>
      </c>
      <c r="G51" s="3">
        <f t="shared" ca="1" si="63"/>
        <v>1.0848568923621047E-2</v>
      </c>
      <c r="H51" s="3">
        <f t="shared" ca="1" si="63"/>
        <v>1.5292395051692075E-2</v>
      </c>
      <c r="I51" s="3">
        <f t="shared" ca="1" si="63"/>
        <v>1.2125208891588871E-2</v>
      </c>
      <c r="J51" s="3">
        <f t="shared" ca="1" si="63"/>
        <v>1.705690008638415E-2</v>
      </c>
      <c r="K51" s="3">
        <f t="shared" ca="1" si="63"/>
        <v>1.4153640611566862E-2</v>
      </c>
      <c r="L51" s="3">
        <f t="shared" ca="1" si="63"/>
        <v>1.9235040471485925E-2</v>
      </c>
      <c r="M51" s="3">
        <f t="shared" ca="1" si="63"/>
        <v>1.5367311586031916E-2</v>
      </c>
      <c r="N51" s="3">
        <f t="shared" ca="1" si="63"/>
        <v>2.1727361055496896E-2</v>
      </c>
      <c r="O51" s="3">
        <f t="shared" ca="1" si="63"/>
        <v>1.7892249443894902E-2</v>
      </c>
      <c r="P51" s="3">
        <f t="shared" ca="1" si="63"/>
        <v>2.248754733149709E-2</v>
      </c>
      <c r="Q51" s="3">
        <f t="shared" ca="1" si="63"/>
        <v>1.9951733216274505E-2</v>
      </c>
      <c r="R51" s="3">
        <f t="shared" ca="1" si="63"/>
        <v>2.4505119570833542E-2</v>
      </c>
      <c r="S51" s="3">
        <f t="shared" ca="1" si="63"/>
        <v>2.2435510808893468E-2</v>
      </c>
      <c r="T51" s="3">
        <f t="shared" ca="1" si="63"/>
        <v>2.6323890972373358E-2</v>
      </c>
      <c r="U51" s="3">
        <f t="shared" ca="1" si="63"/>
        <v>2.5381399304018854E-2</v>
      </c>
      <c r="V51" s="3">
        <f t="shared" ca="1" si="63"/>
        <v>2.7052354505171003E-2</v>
      </c>
      <c r="W51" s="3">
        <f t="shared" ca="1" si="63"/>
        <v>2.7676576717324652E-2</v>
      </c>
      <c r="X51" s="3">
        <f t="shared" ca="1" si="63"/>
        <v>3.2311472520536934E-2</v>
      </c>
      <c r="Y51" s="3">
        <f t="shared" ca="1" si="63"/>
        <v>3.4286553940264336E-2</v>
      </c>
      <c r="Z51" s="3">
        <f t="shared" ca="1" si="63"/>
        <v>4.1420959586169946E-2</v>
      </c>
      <c r="AA51" s="3">
        <f t="shared" ca="1" si="63"/>
        <v>4.4904783769468361E-2</v>
      </c>
      <c r="AB51" s="3">
        <f t="shared" ca="1" si="63"/>
        <v>4.5367403514328247E-2</v>
      </c>
      <c r="AC51" s="3">
        <f t="shared" ca="1" si="63"/>
        <v>5.2034500200760052E-2</v>
      </c>
      <c r="AD51" s="3">
        <f t="shared" ca="1" si="63"/>
        <v>5.8626460417665782E-2</v>
      </c>
      <c r="AE51" s="3">
        <f t="shared" ca="1" si="63"/>
        <v>5.4559228185201959E-2</v>
      </c>
      <c r="AF51" s="3">
        <f t="shared" ca="1" si="63"/>
        <v>7.0035939468164513E-2</v>
      </c>
      <c r="AG51" s="3">
        <f t="shared" ca="1" si="63"/>
        <v>6.6056977902074543E-2</v>
      </c>
      <c r="AH51" s="3">
        <f t="shared" ca="1" si="63"/>
        <v>0.1029086403278484</v>
      </c>
      <c r="AI51" s="3">
        <f t="shared" ca="1" si="63"/>
        <v>7.9424918206078027E-2</v>
      </c>
      <c r="AJ51" s="3">
        <f t="shared" ca="1" si="63"/>
        <v>0.16135829315247344</v>
      </c>
    </row>
    <row r="52" spans="1:36" x14ac:dyDescent="0.35">
      <c r="A52" t="s">
        <v>63</v>
      </c>
      <c r="B52" t="s">
        <v>62</v>
      </c>
      <c r="C52" s="4">
        <v>4</v>
      </c>
      <c r="D52" s="3">
        <f t="shared" ref="D52:AJ52" ca="1" si="64">MIN(0.99,D33+$D$3)</f>
        <v>1.0605763071766333E-2</v>
      </c>
      <c r="E52" s="3">
        <f t="shared" ca="1" si="64"/>
        <v>9.9978952156014253E-3</v>
      </c>
      <c r="F52" s="3">
        <f t="shared" ca="1" si="64"/>
        <v>1.2825605303605856E-2</v>
      </c>
      <c r="G52" s="3">
        <f t="shared" ca="1" si="64"/>
        <v>1.1827397933264979E-2</v>
      </c>
      <c r="H52" s="3">
        <f t="shared" ca="1" si="64"/>
        <v>1.620876257383267E-2</v>
      </c>
      <c r="I52" s="3">
        <f t="shared" ca="1" si="64"/>
        <v>1.3099125429489093E-2</v>
      </c>
      <c r="J52" s="3">
        <f t="shared" ca="1" si="64"/>
        <v>1.8011887009740841E-2</v>
      </c>
      <c r="K52" s="3">
        <f t="shared" ca="1" si="64"/>
        <v>1.5138674576776544E-2</v>
      </c>
      <c r="L52" s="3">
        <f t="shared" ca="1" si="64"/>
        <v>2.0187253137641463E-2</v>
      </c>
      <c r="M52" s="3">
        <f t="shared" ca="1" si="64"/>
        <v>1.6297871540846443E-2</v>
      </c>
      <c r="N52" s="3">
        <f t="shared" ca="1" si="64"/>
        <v>2.2702776317765579E-2</v>
      </c>
      <c r="O52" s="3">
        <f t="shared" ca="1" si="64"/>
        <v>1.8858233514777212E-2</v>
      </c>
      <c r="P52" s="3">
        <f t="shared" ca="1" si="64"/>
        <v>2.3430247163331409E-2</v>
      </c>
      <c r="Q52" s="3">
        <f t="shared" ca="1" si="64"/>
        <v>2.0873212592507167E-2</v>
      </c>
      <c r="R52" s="3">
        <f t="shared" ca="1" si="64"/>
        <v>2.5474698323807766E-2</v>
      </c>
      <c r="S52" s="3">
        <f t="shared" ca="1" si="64"/>
        <v>2.3352057873673168E-2</v>
      </c>
      <c r="T52" s="3">
        <f t="shared" ca="1" si="64"/>
        <v>2.7240889128307681E-2</v>
      </c>
      <c r="U52" s="3">
        <f t="shared" ca="1" si="64"/>
        <v>2.6379710161135678E-2</v>
      </c>
      <c r="V52" s="3">
        <f t="shared" ca="1" si="64"/>
        <v>2.7963594320448718E-2</v>
      </c>
      <c r="W52" s="3">
        <f t="shared" ca="1" si="64"/>
        <v>2.8674659260482991E-2</v>
      </c>
      <c r="X52" s="3">
        <f t="shared" ca="1" si="64"/>
        <v>3.3243883571752848E-2</v>
      </c>
      <c r="Y52" s="3">
        <f t="shared" ca="1" si="64"/>
        <v>3.5202517688824972E-2</v>
      </c>
      <c r="Z52" s="3">
        <f t="shared" ca="1" si="64"/>
        <v>4.2323626827329812E-2</v>
      </c>
      <c r="AA52" s="3">
        <f t="shared" ca="1" si="64"/>
        <v>4.5859272920559767E-2</v>
      </c>
      <c r="AB52" s="3">
        <f t="shared" ca="1" si="64"/>
        <v>4.6319926905747752E-2</v>
      </c>
      <c r="AC52" s="3">
        <f t="shared" ca="1" si="64"/>
        <v>5.3022477486434821E-2</v>
      </c>
      <c r="AD52" s="3">
        <f t="shared" ca="1" si="64"/>
        <v>5.9553753814034653E-2</v>
      </c>
      <c r="AE52" s="3">
        <f t="shared" ca="1" si="64"/>
        <v>5.5475967244516582E-2</v>
      </c>
      <c r="AF52" s="3">
        <f t="shared" ca="1" si="64"/>
        <v>7.0972840735966949E-2</v>
      </c>
      <c r="AG52" s="3">
        <f t="shared" ca="1" si="64"/>
        <v>6.69754018298854E-2</v>
      </c>
      <c r="AH52" s="3">
        <f t="shared" ca="1" si="64"/>
        <v>0.1038916016526235</v>
      </c>
      <c r="AI52" s="3">
        <f t="shared" ca="1" si="64"/>
        <v>8.038635769837485E-2</v>
      </c>
      <c r="AJ52" s="3">
        <f t="shared" ca="1" si="64"/>
        <v>0.16228569293228104</v>
      </c>
    </row>
    <row r="53" spans="1:36" x14ac:dyDescent="0.35">
      <c r="A53" t="s">
        <v>63</v>
      </c>
      <c r="B53" t="s">
        <v>62</v>
      </c>
      <c r="C53" s="4" t="s">
        <v>69</v>
      </c>
      <c r="D53" s="3">
        <f t="shared" ref="D53:AJ53" ca="1" si="65">MIN(0.99,D34+$D$3)</f>
        <v>1.1604795492028159E-2</v>
      </c>
      <c r="E53" s="3">
        <f t="shared" ca="1" si="65"/>
        <v>1.0924145847593884E-2</v>
      </c>
      <c r="F53" s="3">
        <f t="shared" ca="1" si="65"/>
        <v>1.38070461713048E-2</v>
      </c>
      <c r="G53" s="3">
        <f t="shared" ca="1" si="65"/>
        <v>1.2762862771956533E-2</v>
      </c>
      <c r="H53" s="3">
        <f t="shared" ca="1" si="65"/>
        <v>1.7113123246618921E-2</v>
      </c>
      <c r="I53" s="3">
        <f t="shared" ca="1" si="65"/>
        <v>1.4035137498233451E-2</v>
      </c>
      <c r="J53" s="3">
        <f t="shared" ca="1" si="65"/>
        <v>1.9004688200511745E-2</v>
      </c>
      <c r="K53" s="3">
        <f t="shared" ca="1" si="65"/>
        <v>1.6121925295792896E-2</v>
      </c>
      <c r="L53" s="3">
        <f t="shared" ca="1" si="65"/>
        <v>2.1162501860133579E-2</v>
      </c>
      <c r="M53" s="3">
        <f t="shared" ca="1" si="65"/>
        <v>1.7202856022794661E-2</v>
      </c>
      <c r="N53" s="3">
        <f t="shared" ca="1" si="65"/>
        <v>2.363349788589611E-2</v>
      </c>
      <c r="O53" s="3">
        <f t="shared" ca="1" si="65"/>
        <v>1.9842241202363293E-2</v>
      </c>
      <c r="P53" s="3">
        <f t="shared" ca="1" si="65"/>
        <v>2.438263350400572E-2</v>
      </c>
      <c r="Q53" s="3">
        <f t="shared" ca="1" si="65"/>
        <v>2.1826690092024641E-2</v>
      </c>
      <c r="R53" s="3">
        <f t="shared" ca="1" si="65"/>
        <v>2.6423281862646298E-2</v>
      </c>
      <c r="S53" s="3">
        <f t="shared" ca="1" si="65"/>
        <v>2.4268662234211112E-2</v>
      </c>
      <c r="T53" s="3">
        <f t="shared" ca="1" si="65"/>
        <v>2.8235181609278671E-2</v>
      </c>
      <c r="U53" s="3">
        <f t="shared" ca="1" si="65"/>
        <v>2.7354105863839018E-2</v>
      </c>
      <c r="V53" s="3">
        <f t="shared" ca="1" si="65"/>
        <v>2.8954502017220982E-2</v>
      </c>
      <c r="W53" s="3">
        <f t="shared" ca="1" si="65"/>
        <v>2.9668357119408007E-2</v>
      </c>
      <c r="X53" s="3">
        <f t="shared" ca="1" si="65"/>
        <v>3.4169876040847078E-2</v>
      </c>
      <c r="Y53" s="3">
        <f t="shared" ca="1" si="65"/>
        <v>3.6121889738997152E-2</v>
      </c>
      <c r="Z53" s="3">
        <f t="shared" ca="1" si="65"/>
        <v>4.3270689276493322E-2</v>
      </c>
      <c r="AA53" s="3">
        <f t="shared" ca="1" si="65"/>
        <v>4.684912158828998E-2</v>
      </c>
      <c r="AB53" s="3">
        <f t="shared" ca="1" si="65"/>
        <v>4.7243259391546652E-2</v>
      </c>
      <c r="AC53" s="3">
        <f t="shared" ca="1" si="65"/>
        <v>5.3934916575293666E-2</v>
      </c>
      <c r="AD53" s="3">
        <f t="shared" ca="1" si="65"/>
        <v>6.0549956082398895E-2</v>
      </c>
      <c r="AE53" s="3">
        <f t="shared" ca="1" si="65"/>
        <v>5.6377590022236912E-2</v>
      </c>
      <c r="AF53" s="3">
        <f t="shared" ca="1" si="65"/>
        <v>7.1910108159014913E-2</v>
      </c>
      <c r="AG53" s="3">
        <f t="shared" ca="1" si="65"/>
        <v>6.7957240044452819E-2</v>
      </c>
      <c r="AH53" s="3">
        <f t="shared" ca="1" si="65"/>
        <v>0.10489029219687405</v>
      </c>
      <c r="AI53" s="3">
        <f t="shared" ca="1" si="65"/>
        <v>8.1336226763382397E-2</v>
      </c>
      <c r="AJ53" s="3">
        <f t="shared" ca="1" si="65"/>
        <v>0.1632631998232979</v>
      </c>
    </row>
    <row r="54" spans="1:36" x14ac:dyDescent="0.35">
      <c r="A54" t="s">
        <v>63</v>
      </c>
      <c r="B54" t="s">
        <v>62</v>
      </c>
      <c r="C54" s="4" t="s">
        <v>70</v>
      </c>
      <c r="D54" s="3">
        <f t="shared" ref="D54:AJ54" ca="1" si="66">MIN(0.99,D35+$D$3)</f>
        <v>1.2595701454816702E-2</v>
      </c>
      <c r="E54" s="3">
        <f t="shared" ca="1" si="66"/>
        <v>1.1826300332724422E-2</v>
      </c>
      <c r="F54" s="3">
        <f t="shared" ca="1" si="66"/>
        <v>1.4724844055866521E-2</v>
      </c>
      <c r="G54" s="3">
        <f t="shared" ca="1" si="66"/>
        <v>1.3743669075720839E-2</v>
      </c>
      <c r="H54" s="3">
        <f t="shared" ca="1" si="66"/>
        <v>1.8100721665420063E-2</v>
      </c>
      <c r="I54" s="3">
        <f t="shared" ca="1" si="66"/>
        <v>1.4991388251080384E-2</v>
      </c>
      <c r="J54" s="3">
        <f t="shared" ca="1" si="66"/>
        <v>1.9955962784568251E-2</v>
      </c>
      <c r="K54" s="3">
        <f t="shared" ca="1" si="66"/>
        <v>1.7055103584210737E-2</v>
      </c>
      <c r="L54" s="3">
        <f t="shared" ca="1" si="66"/>
        <v>2.209385925242505E-2</v>
      </c>
      <c r="M54" s="3">
        <f t="shared" ca="1" si="66"/>
        <v>1.8115008933823461E-2</v>
      </c>
      <c r="N54" s="3">
        <f t="shared" ca="1" si="66"/>
        <v>2.4612519349033586E-2</v>
      </c>
      <c r="O54" s="3">
        <f t="shared" ca="1" si="66"/>
        <v>2.0800808236020728E-2</v>
      </c>
      <c r="P54" s="3">
        <f t="shared" ca="1" si="66"/>
        <v>2.5359493816298716E-2</v>
      </c>
      <c r="Q54" s="3">
        <f t="shared" ca="1" si="66"/>
        <v>2.2734821483207927E-2</v>
      </c>
      <c r="R54" s="3">
        <f t="shared" ca="1" si="66"/>
        <v>2.732542084543434E-2</v>
      </c>
      <c r="S54" s="3">
        <f t="shared" ca="1" si="66"/>
        <v>2.5255275634906631E-2</v>
      </c>
      <c r="T54" s="3">
        <f t="shared" ca="1" si="66"/>
        <v>2.9230006308613873E-2</v>
      </c>
      <c r="U54" s="3">
        <f t="shared" ca="1" si="66"/>
        <v>2.831722357178185E-2</v>
      </c>
      <c r="V54" s="3">
        <f t="shared" ca="1" si="66"/>
        <v>2.9930349939370493E-2</v>
      </c>
      <c r="W54" s="3">
        <f t="shared" ca="1" si="66"/>
        <v>3.0657987878614967E-2</v>
      </c>
      <c r="X54" s="3">
        <f t="shared" ca="1" si="66"/>
        <v>3.5160536731102227E-2</v>
      </c>
      <c r="Y54" s="3">
        <f t="shared" ca="1" si="66"/>
        <v>3.7038793312184938E-2</v>
      </c>
      <c r="Z54" s="3">
        <f t="shared" ca="1" si="66"/>
        <v>4.424616499476669E-2</v>
      </c>
      <c r="AA54" s="3">
        <f t="shared" ca="1" si="66"/>
        <v>4.7799512248973615E-2</v>
      </c>
      <c r="AB54" s="3">
        <f t="shared" ca="1" si="66"/>
        <v>4.8155647278909794E-2</v>
      </c>
      <c r="AC54" s="3">
        <f t="shared" ca="1" si="66"/>
        <v>5.4907912030394419E-2</v>
      </c>
      <c r="AD54" s="3">
        <f t="shared" ca="1" si="66"/>
        <v>6.1525753168556692E-2</v>
      </c>
      <c r="AE54" s="3">
        <f t="shared" ca="1" si="66"/>
        <v>5.7362169382365789E-2</v>
      </c>
      <c r="AF54" s="3">
        <f t="shared" ca="1" si="66"/>
        <v>7.281852488974902E-2</v>
      </c>
      <c r="AG54" s="3">
        <f t="shared" ca="1" si="66"/>
        <v>6.8857867199433653E-2</v>
      </c>
      <c r="AH54" s="3">
        <f t="shared" ca="1" si="66"/>
        <v>0.1058646016736095</v>
      </c>
      <c r="AI54" s="3">
        <f t="shared" ca="1" si="66"/>
        <v>8.2272154106374007E-2</v>
      </c>
      <c r="AJ54" s="3">
        <f t="shared" ca="1" si="66"/>
        <v>0.1642045443072036</v>
      </c>
    </row>
    <row r="55" spans="1:36" x14ac:dyDescent="0.35">
      <c r="A55" t="s">
        <v>63</v>
      </c>
      <c r="B55" t="s">
        <v>62</v>
      </c>
      <c r="C55" s="4">
        <v>5</v>
      </c>
      <c r="D55" s="3">
        <f t="shared" ref="D55:AJ55" ca="1" si="67">MIN(0.99,D36+$D$3)</f>
        <v>1.3556052548276593E-2</v>
      </c>
      <c r="E55" s="3">
        <f t="shared" ca="1" si="67"/>
        <v>1.281713675056842E-2</v>
      </c>
      <c r="F55" s="3">
        <f t="shared" ca="1" si="67"/>
        <v>1.566919213363422E-2</v>
      </c>
      <c r="G55" s="3">
        <f t="shared" ca="1" si="67"/>
        <v>1.4727357810103217E-2</v>
      </c>
      <c r="H55" s="3">
        <f t="shared" ca="1" si="67"/>
        <v>1.9074700496994688E-2</v>
      </c>
      <c r="I55" s="3">
        <f t="shared" ca="1" si="67"/>
        <v>1.5985357524817528E-2</v>
      </c>
      <c r="J55" s="3">
        <f t="shared" ca="1" si="67"/>
        <v>2.0949883730470679E-2</v>
      </c>
      <c r="K55" s="3">
        <f t="shared" ca="1" si="67"/>
        <v>1.8043430289160826E-2</v>
      </c>
      <c r="L55" s="3">
        <f t="shared" ca="1" si="67"/>
        <v>2.3019932770059717E-2</v>
      </c>
      <c r="M55" s="3">
        <f t="shared" ca="1" si="67"/>
        <v>1.9038825879667289E-2</v>
      </c>
      <c r="N55" s="3">
        <f t="shared" ca="1" si="67"/>
        <v>2.5552625599673223E-2</v>
      </c>
      <c r="O55" s="3">
        <f t="shared" ca="1" si="67"/>
        <v>2.1733623665499382E-2</v>
      </c>
      <c r="P55" s="3">
        <f t="shared" ca="1" si="67"/>
        <v>2.6272893723451402E-2</v>
      </c>
      <c r="Q55" s="3">
        <f t="shared" ca="1" si="67"/>
        <v>2.3691908172848337E-2</v>
      </c>
      <c r="R55" s="3">
        <f t="shared" ca="1" si="67"/>
        <v>2.8299896175524936E-2</v>
      </c>
      <c r="S55" s="3">
        <f t="shared" ca="1" si="67"/>
        <v>2.6192504150817447E-2</v>
      </c>
      <c r="T55" s="3">
        <f t="shared" ca="1" si="67"/>
        <v>3.0142651773624622E-2</v>
      </c>
      <c r="U55" s="3">
        <f t="shared" ca="1" si="67"/>
        <v>2.9306984623462071E-2</v>
      </c>
      <c r="V55" s="3">
        <f t="shared" ca="1" si="67"/>
        <v>3.0860610285067345E-2</v>
      </c>
      <c r="W55" s="3">
        <f t="shared" ca="1" si="67"/>
        <v>3.1607847513868262E-2</v>
      </c>
      <c r="X55" s="3">
        <f t="shared" ca="1" si="67"/>
        <v>3.6147155647595575E-2</v>
      </c>
      <c r="Y55" s="3">
        <f t="shared" ca="1" si="67"/>
        <v>3.802489628016674E-2</v>
      </c>
      <c r="Z55" s="3">
        <f t="shared" ca="1" si="67"/>
        <v>4.5207747213607451E-2</v>
      </c>
      <c r="AA55" s="3">
        <f t="shared" ca="1" si="67"/>
        <v>4.8746265183318413E-2</v>
      </c>
      <c r="AB55" s="3">
        <f t="shared" ca="1" si="67"/>
        <v>4.9088254864359845E-2</v>
      </c>
      <c r="AC55" s="3">
        <f t="shared" ca="1" si="67"/>
        <v>5.5896931185810135E-2</v>
      </c>
      <c r="AD55" s="3">
        <f t="shared" ca="1" si="67"/>
        <v>6.2518731552202014E-2</v>
      </c>
      <c r="AE55" s="3">
        <f t="shared" ca="1" si="67"/>
        <v>5.8280456719436359E-2</v>
      </c>
      <c r="AF55" s="3">
        <f t="shared" ca="1" si="67"/>
        <v>7.3740520315356883E-2</v>
      </c>
      <c r="AG55" s="3">
        <f t="shared" ca="1" si="67"/>
        <v>6.9809165351764901E-2</v>
      </c>
      <c r="AH55" s="3">
        <f t="shared" ca="1" si="67"/>
        <v>0.10683627617163927</v>
      </c>
      <c r="AI55" s="3">
        <f t="shared" ca="1" si="67"/>
        <v>8.3232486020153651E-2</v>
      </c>
      <c r="AJ55" s="3">
        <f t="shared" ca="1" si="67"/>
        <v>0.16520188865762403</v>
      </c>
    </row>
    <row r="56" spans="1:36" x14ac:dyDescent="0.35">
      <c r="A56" t="s">
        <v>63</v>
      </c>
      <c r="B56" t="s">
        <v>62</v>
      </c>
      <c r="C56" s="4" t="s">
        <v>71</v>
      </c>
      <c r="D56" s="3">
        <f t="shared" ref="D56:AJ56" ca="1" si="68">MIN(0.99,D37+$D$3)</f>
        <v>1.4486357486533232E-2</v>
      </c>
      <c r="E56" s="3">
        <f t="shared" ca="1" si="68"/>
        <v>1.3723575167571261E-2</v>
      </c>
      <c r="F56" s="3">
        <f t="shared" ca="1" si="68"/>
        <v>1.6587307073206749E-2</v>
      </c>
      <c r="G56" s="3">
        <f t="shared" ca="1" si="68"/>
        <v>1.5709671696559475E-2</v>
      </c>
      <c r="H56" s="3">
        <f t="shared" ca="1" si="68"/>
        <v>2.0072149445550174E-2</v>
      </c>
      <c r="I56" s="3">
        <f t="shared" ca="1" si="68"/>
        <v>1.6940827941307107E-2</v>
      </c>
      <c r="J56" s="3">
        <f t="shared" ca="1" si="68"/>
        <v>2.1940784219190042E-2</v>
      </c>
      <c r="K56" s="3">
        <f t="shared" ca="1" si="68"/>
        <v>1.9014875552333711E-2</v>
      </c>
      <c r="L56" s="3">
        <f t="shared" ca="1" si="68"/>
        <v>2.3945215523924625E-2</v>
      </c>
      <c r="M56" s="3">
        <f t="shared" ca="1" si="68"/>
        <v>2.0019866960198328E-2</v>
      </c>
      <c r="N56" s="3">
        <f t="shared" ca="1" si="68"/>
        <v>2.6518005967786612E-2</v>
      </c>
      <c r="O56" s="3">
        <f t="shared" ca="1" si="68"/>
        <v>2.2707102656402994E-2</v>
      </c>
      <c r="P56" s="3">
        <f t="shared" ca="1" si="68"/>
        <v>2.7204471017043947E-2</v>
      </c>
      <c r="Q56" s="3">
        <f t="shared" ca="1" si="68"/>
        <v>2.4673985098210085E-2</v>
      </c>
      <c r="R56" s="3">
        <f t="shared" ca="1" si="68"/>
        <v>2.9225588545278937E-2</v>
      </c>
      <c r="S56" s="3">
        <f t="shared" ca="1" si="68"/>
        <v>2.7148034928200671E-2</v>
      </c>
      <c r="T56" s="3">
        <f t="shared" ca="1" si="68"/>
        <v>3.1070442126574269E-2</v>
      </c>
      <c r="U56" s="3">
        <f t="shared" ca="1" si="68"/>
        <v>3.0220894661883886E-2</v>
      </c>
      <c r="V56" s="3">
        <f t="shared" ca="1" si="68"/>
        <v>3.1794050154439459E-2</v>
      </c>
      <c r="W56" s="3">
        <f t="shared" ca="1" si="68"/>
        <v>3.2531844269168532E-2</v>
      </c>
      <c r="X56" s="3">
        <f t="shared" ca="1" si="68"/>
        <v>3.7054211833679691E-2</v>
      </c>
      <c r="Y56" s="3">
        <f t="shared" ca="1" si="68"/>
        <v>3.8976082537919211E-2</v>
      </c>
      <c r="Z56" s="3">
        <f t="shared" ca="1" si="68"/>
        <v>4.6190807103522739E-2</v>
      </c>
      <c r="AA56" s="3">
        <f t="shared" ca="1" si="68"/>
        <v>4.9671114762931172E-2</v>
      </c>
      <c r="AB56" s="3">
        <f t="shared" ca="1" si="68"/>
        <v>4.9999948180492235E-2</v>
      </c>
      <c r="AC56" s="3">
        <f t="shared" ca="1" si="68"/>
        <v>5.6870842147789175E-2</v>
      </c>
      <c r="AD56" s="3">
        <f t="shared" ca="1" si="68"/>
        <v>6.3487348190474274E-2</v>
      </c>
      <c r="AE56" s="3">
        <f t="shared" ca="1" si="68"/>
        <v>5.923556029949946E-2</v>
      </c>
      <c r="AF56" s="3">
        <f t="shared" ca="1" si="68"/>
        <v>7.4738035746347478E-2</v>
      </c>
      <c r="AG56" s="3">
        <f t="shared" ca="1" si="68"/>
        <v>7.0718538516937171E-2</v>
      </c>
      <c r="AH56" s="3">
        <f t="shared" ca="1" si="68"/>
        <v>0.10780549609748617</v>
      </c>
      <c r="AI56" s="3">
        <f t="shared" ca="1" si="68"/>
        <v>8.4170607117273949E-2</v>
      </c>
      <c r="AJ56" s="3">
        <f t="shared" ca="1" si="68"/>
        <v>0.16615235118980423</v>
      </c>
    </row>
    <row r="57" spans="1:36" x14ac:dyDescent="0.35">
      <c r="A57" t="s">
        <v>63</v>
      </c>
      <c r="B57" t="s">
        <v>62</v>
      </c>
      <c r="C57" s="4" t="s">
        <v>72</v>
      </c>
      <c r="D57" s="3">
        <f t="shared" ref="D57:AJ57" ca="1" si="69">MIN(0.99,D38+$D$3)</f>
        <v>1.5408113325230795E-2</v>
      </c>
      <c r="E57" s="3">
        <f t="shared" ca="1" si="69"/>
        <v>1.4681929290234555E-2</v>
      </c>
      <c r="F57" s="3">
        <f t="shared" ca="1" si="69"/>
        <v>1.7562564904173929E-2</v>
      </c>
      <c r="G57" s="3">
        <f t="shared" ca="1" si="69"/>
        <v>1.6706714504824714E-2</v>
      </c>
      <c r="H57" s="3">
        <f t="shared" ca="1" si="69"/>
        <v>2.1048927787661768E-2</v>
      </c>
      <c r="I57" s="3">
        <f t="shared" ca="1" si="69"/>
        <v>1.7878257458817163E-2</v>
      </c>
      <c r="J57" s="3">
        <f t="shared" ca="1" si="69"/>
        <v>2.2851309073026592E-2</v>
      </c>
      <c r="K57" s="3">
        <f t="shared" ca="1" si="69"/>
        <v>1.9944594783070708E-2</v>
      </c>
      <c r="L57" s="3">
        <f t="shared" ca="1" si="69"/>
        <v>2.4880720455501517E-2</v>
      </c>
      <c r="M57" s="3">
        <f t="shared" ca="1" si="69"/>
        <v>2.0980272273753497E-2</v>
      </c>
      <c r="N57" s="3">
        <f t="shared" ca="1" si="69"/>
        <v>2.7481510600265904E-2</v>
      </c>
      <c r="O57" s="3">
        <f t="shared" ca="1" si="69"/>
        <v>2.3649324957551666E-2</v>
      </c>
      <c r="P57" s="3">
        <f t="shared" ca="1" si="69"/>
        <v>2.8196919509375681E-2</v>
      </c>
      <c r="Q57" s="3">
        <f t="shared" ca="1" si="69"/>
        <v>2.5609181993810154E-2</v>
      </c>
      <c r="R57" s="3">
        <f t="shared" ca="1" si="69"/>
        <v>3.0135334864312351E-2</v>
      </c>
      <c r="S57" s="3">
        <f t="shared" ca="1" si="69"/>
        <v>2.8134854804348609E-2</v>
      </c>
      <c r="T57" s="3">
        <f t="shared" ca="1" si="69"/>
        <v>3.2055285638435738E-2</v>
      </c>
      <c r="U57" s="3">
        <f t="shared" ca="1" si="69"/>
        <v>3.1134458497370048E-2</v>
      </c>
      <c r="V57" s="3">
        <f t="shared" ca="1" si="69"/>
        <v>3.2711238886089081E-2</v>
      </c>
      <c r="W57" s="3">
        <f t="shared" ca="1" si="69"/>
        <v>3.3531781680966544E-2</v>
      </c>
      <c r="X57" s="3">
        <f t="shared" ca="1" si="69"/>
        <v>3.8008781199407246E-2</v>
      </c>
      <c r="Y57" s="3">
        <f t="shared" ca="1" si="69"/>
        <v>3.9879925180752299E-2</v>
      </c>
      <c r="Z57" s="3">
        <f t="shared" ca="1" si="69"/>
        <v>4.713747171259268E-2</v>
      </c>
      <c r="AA57" s="3">
        <f t="shared" ca="1" si="69"/>
        <v>5.0633861457387415E-2</v>
      </c>
      <c r="AB57" s="3">
        <f t="shared" ca="1" si="69"/>
        <v>5.0946540123321338E-2</v>
      </c>
      <c r="AC57" s="3">
        <f t="shared" ca="1" si="69"/>
        <v>5.782730304857165E-2</v>
      </c>
      <c r="AD57" s="3">
        <f t="shared" ca="1" si="69"/>
        <v>6.4425484279590495E-2</v>
      </c>
      <c r="AE57" s="3">
        <f t="shared" ca="1" si="69"/>
        <v>6.0191378051954854E-2</v>
      </c>
      <c r="AF57" s="3">
        <f t="shared" ca="1" si="69"/>
        <v>7.5695385173499261E-2</v>
      </c>
      <c r="AG57" s="3">
        <f t="shared" ca="1" si="69"/>
        <v>7.1641256912083742E-2</v>
      </c>
      <c r="AH57" s="3">
        <f t="shared" ca="1" si="69"/>
        <v>0.10873485015729412</v>
      </c>
      <c r="AI57" s="3">
        <f t="shared" ca="1" si="69"/>
        <v>8.5152962673066671E-2</v>
      </c>
      <c r="AJ57" s="3">
        <f t="shared" ca="1" si="69"/>
        <v>0.16714563104603747</v>
      </c>
    </row>
    <row r="58" spans="1:36" x14ac:dyDescent="0.35">
      <c r="A58" t="s">
        <v>63</v>
      </c>
      <c r="B58" t="s">
        <v>62</v>
      </c>
      <c r="C58" s="4">
        <v>6</v>
      </c>
      <c r="D58" s="3">
        <f t="shared" ref="D58:AJ58" ca="1" si="70">MIN(0.99,D39+$D$3)</f>
        <v>1.6394632355932279E-2</v>
      </c>
      <c r="E58" s="3">
        <f t="shared" ca="1" si="70"/>
        <v>1.5641195400122567E-2</v>
      </c>
      <c r="F58" s="3">
        <f t="shared" ca="1" si="70"/>
        <v>1.8511388668425732E-2</v>
      </c>
      <c r="G58" s="3">
        <f t="shared" ca="1" si="70"/>
        <v>1.7625723815489758E-2</v>
      </c>
      <c r="H58" s="3">
        <f t="shared" ca="1" si="70"/>
        <v>2.1956837306065187E-2</v>
      </c>
      <c r="I58" s="3">
        <f t="shared" ca="1" si="70"/>
        <v>1.8805444461140384E-2</v>
      </c>
      <c r="J58" s="3">
        <f t="shared" ca="1" si="70"/>
        <v>2.3833474018499605E-2</v>
      </c>
      <c r="K58" s="3">
        <f t="shared" ca="1" si="70"/>
        <v>2.0919188002477287E-2</v>
      </c>
      <c r="L58" s="3">
        <f t="shared" ca="1" si="70"/>
        <v>2.5849290430718458E-2</v>
      </c>
      <c r="M58" s="3">
        <f t="shared" ca="1" si="70"/>
        <v>2.1908803782563699E-2</v>
      </c>
      <c r="N58" s="3">
        <f t="shared" ca="1" si="70"/>
        <v>2.8462944069891517E-2</v>
      </c>
      <c r="O58" s="3">
        <f t="shared" ca="1" si="70"/>
        <v>2.4627914167943361E-2</v>
      </c>
      <c r="P58" s="3">
        <f t="shared" ca="1" si="70"/>
        <v>2.914713485482431E-2</v>
      </c>
      <c r="Q58" s="3">
        <f t="shared" ca="1" si="70"/>
        <v>2.6562169569610255E-2</v>
      </c>
      <c r="R58" s="3">
        <f t="shared" ca="1" si="70"/>
        <v>3.1104147945340454E-2</v>
      </c>
      <c r="S58" s="3">
        <f t="shared" ca="1" si="70"/>
        <v>2.9060606825952455E-2</v>
      </c>
      <c r="T58" s="3">
        <f t="shared" ca="1" si="70"/>
        <v>3.2999879297719942E-2</v>
      </c>
      <c r="U58" s="3">
        <f t="shared" ca="1" si="70"/>
        <v>3.2059677072176419E-2</v>
      </c>
      <c r="V58" s="3">
        <f t="shared" ca="1" si="70"/>
        <v>3.3621595809218557E-2</v>
      </c>
      <c r="W58" s="3">
        <f t="shared" ca="1" si="70"/>
        <v>3.444668476310743E-2</v>
      </c>
      <c r="X58" s="3">
        <f t="shared" ca="1" si="70"/>
        <v>3.8973307693038535E-2</v>
      </c>
      <c r="Y58" s="3">
        <f t="shared" ca="1" si="70"/>
        <v>4.0842944705607377E-2</v>
      </c>
      <c r="Z58" s="3">
        <f t="shared" ca="1" si="70"/>
        <v>4.8075913857378312E-2</v>
      </c>
      <c r="AA58" s="3">
        <f t="shared" ca="1" si="70"/>
        <v>5.1558862356386514E-2</v>
      </c>
      <c r="AB58" s="3">
        <f t="shared" ca="1" si="70"/>
        <v>5.1921368682532242E-2</v>
      </c>
      <c r="AC58" s="3">
        <f t="shared" ca="1" si="70"/>
        <v>5.8736146079593959E-2</v>
      </c>
      <c r="AD58" s="3">
        <f t="shared" ca="1" si="70"/>
        <v>6.5419592924496506E-2</v>
      </c>
      <c r="AE58" s="3">
        <f t="shared" ca="1" si="70"/>
        <v>6.1175306703845092E-2</v>
      </c>
      <c r="AF58" s="3">
        <f t="shared" ca="1" si="70"/>
        <v>7.6688123714337295E-2</v>
      </c>
      <c r="AG58" s="3">
        <f t="shared" ca="1" si="70"/>
        <v>7.2542829353237068E-2</v>
      </c>
      <c r="AH58" s="3">
        <f t="shared" ca="1" si="70"/>
        <v>0.10969830910672</v>
      </c>
      <c r="AI58" s="3">
        <f t="shared" ca="1" si="70"/>
        <v>8.6058753798955986E-2</v>
      </c>
      <c r="AJ58" s="3">
        <f t="shared" ca="1" si="70"/>
        <v>0.16806265565797121</v>
      </c>
    </row>
    <row r="59" spans="1:36" x14ac:dyDescent="0.35">
      <c r="A59" t="s">
        <v>63</v>
      </c>
      <c r="B59" t="s">
        <v>62</v>
      </c>
      <c r="C59" s="4" t="s">
        <v>73</v>
      </c>
      <c r="D59" s="3">
        <f t="shared" ref="D59:AJ59" ca="1" si="71">MIN(0.99,D40+$D$3)</f>
        <v>1.7386936351762146E-2</v>
      </c>
      <c r="E59" s="3">
        <f t="shared" ca="1" si="71"/>
        <v>1.6547628701309922E-2</v>
      </c>
      <c r="F59" s="3">
        <f t="shared" ca="1" si="71"/>
        <v>1.9500013892154378E-2</v>
      </c>
      <c r="G59" s="3">
        <f t="shared" ca="1" si="71"/>
        <v>1.8621741231034879E-2</v>
      </c>
      <c r="H59" s="3">
        <f t="shared" ca="1" si="71"/>
        <v>2.292171383222847E-2</v>
      </c>
      <c r="I59" s="3">
        <f t="shared" ca="1" si="71"/>
        <v>1.9744135370678418E-2</v>
      </c>
      <c r="J59" s="3">
        <f t="shared" ca="1" si="71"/>
        <v>2.4785054890590248E-2</v>
      </c>
      <c r="K59" s="3">
        <f t="shared" ca="1" si="71"/>
        <v>2.1844510714854118E-2</v>
      </c>
      <c r="L59" s="3">
        <f t="shared" ca="1" si="71"/>
        <v>2.676018191082765E-2</v>
      </c>
      <c r="M59" s="3">
        <f t="shared" ca="1" si="71"/>
        <v>2.2897262463629567E-2</v>
      </c>
      <c r="N59" s="3">
        <f t="shared" ca="1" si="71"/>
        <v>2.9412569454329813E-2</v>
      </c>
      <c r="O59" s="3">
        <f t="shared" ca="1" si="71"/>
        <v>2.5570225178357702E-2</v>
      </c>
      <c r="P59" s="3">
        <f t="shared" ca="1" si="71"/>
        <v>3.005827773559655E-2</v>
      </c>
      <c r="Q59" s="3">
        <f t="shared" ca="1" si="71"/>
        <v>2.7555017233816623E-2</v>
      </c>
      <c r="R59" s="3">
        <f t="shared" ca="1" si="71"/>
        <v>3.2078642714833044E-2</v>
      </c>
      <c r="S59" s="3">
        <f t="shared" ca="1" si="71"/>
        <v>2.9981916774979949E-2</v>
      </c>
      <c r="T59" s="3">
        <f t="shared" ca="1" si="71"/>
        <v>3.3965951382485031E-2</v>
      </c>
      <c r="U59" s="3">
        <f t="shared" ca="1" si="71"/>
        <v>3.2990554205338224E-2</v>
      </c>
      <c r="V59" s="3">
        <f t="shared" ca="1" si="71"/>
        <v>3.453019138790716E-2</v>
      </c>
      <c r="W59" s="3">
        <f t="shared" ca="1" si="71"/>
        <v>3.5425487108905238E-2</v>
      </c>
      <c r="X59" s="3">
        <f t="shared" ca="1" si="71"/>
        <v>3.9967195172722451E-2</v>
      </c>
      <c r="Y59" s="3">
        <f t="shared" ca="1" si="71"/>
        <v>4.1804531296219853E-2</v>
      </c>
      <c r="Z59" s="3">
        <f t="shared" ca="1" si="71"/>
        <v>4.9001829703067504E-2</v>
      </c>
      <c r="AA59" s="3">
        <f t="shared" ca="1" si="71"/>
        <v>5.2524644663008643E-2</v>
      </c>
      <c r="AB59" s="3">
        <f t="shared" ca="1" si="71"/>
        <v>5.2873881910314613E-2</v>
      </c>
      <c r="AC59" s="3">
        <f t="shared" ca="1" si="71"/>
        <v>5.9673874968464338E-2</v>
      </c>
      <c r="AD59" s="3">
        <f t="shared" ca="1" si="71"/>
        <v>6.6384887718954941E-2</v>
      </c>
      <c r="AE59" s="3">
        <f t="shared" ca="1" si="71"/>
        <v>6.207856757893513E-2</v>
      </c>
      <c r="AF59" s="3">
        <f t="shared" ca="1" si="71"/>
        <v>7.7639311339377196E-2</v>
      </c>
      <c r="AG59" s="3">
        <f t="shared" ca="1" si="71"/>
        <v>7.3541802076112425E-2</v>
      </c>
      <c r="AH59" s="3">
        <f t="shared" ca="1" si="71"/>
        <v>0.11065107764986414</v>
      </c>
      <c r="AI59" s="3">
        <f t="shared" ca="1" si="71"/>
        <v>8.6983719065489157E-2</v>
      </c>
      <c r="AJ59" s="3">
        <f t="shared" ca="1" si="71"/>
        <v>0.16899298878463481</v>
      </c>
    </row>
    <row r="60" spans="1:36" x14ac:dyDescent="0.35">
      <c r="A60" t="s">
        <v>63</v>
      </c>
      <c r="B60" t="s">
        <v>62</v>
      </c>
      <c r="C60" s="4" t="s">
        <v>74</v>
      </c>
      <c r="D60" s="3">
        <f t="shared" ref="D60:AJ60" ca="1" si="72">MIN(0.99,D41+$D$3)</f>
        <v>1.8316337697384305E-2</v>
      </c>
      <c r="E60" s="3">
        <f t="shared" ca="1" si="72"/>
        <v>1.7538279054390538E-2</v>
      </c>
      <c r="F60" s="3">
        <f t="shared" ca="1" si="72"/>
        <v>2.0402286295640924E-2</v>
      </c>
      <c r="G60" s="3">
        <f t="shared" ca="1" si="72"/>
        <v>1.9541311257806244E-2</v>
      </c>
      <c r="H60" s="3">
        <f t="shared" ca="1" si="72"/>
        <v>2.3876947885218727E-2</v>
      </c>
      <c r="I60" s="3">
        <f t="shared" ca="1" si="72"/>
        <v>2.0689346036882331E-2</v>
      </c>
      <c r="J60" s="3">
        <f t="shared" ca="1" si="72"/>
        <v>2.5738976535387832E-2</v>
      </c>
      <c r="K60" s="3">
        <f t="shared" ca="1" si="72"/>
        <v>2.2794991529974183E-2</v>
      </c>
      <c r="L60" s="3">
        <f t="shared" ca="1" si="72"/>
        <v>2.7733787315479708E-2</v>
      </c>
      <c r="M60" s="3">
        <f t="shared" ca="1" si="72"/>
        <v>2.3849105925949805E-2</v>
      </c>
      <c r="N60" s="3">
        <f t="shared" ca="1" si="72"/>
        <v>3.0356862334789462E-2</v>
      </c>
      <c r="O60" s="3">
        <f t="shared" ca="1" si="72"/>
        <v>2.6501735513536882E-2</v>
      </c>
      <c r="P60" s="3">
        <f t="shared" ca="1" si="72"/>
        <v>3.1012636013329174E-2</v>
      </c>
      <c r="Q60" s="3">
        <f t="shared" ca="1" si="72"/>
        <v>2.8543480492738405E-2</v>
      </c>
      <c r="R60" s="3">
        <f t="shared" ca="1" si="72"/>
        <v>3.306294272303175E-2</v>
      </c>
      <c r="S60" s="3">
        <f t="shared" ca="1" si="72"/>
        <v>3.0978071046557344E-2</v>
      </c>
      <c r="T60" s="3">
        <f t="shared" ca="1" si="72"/>
        <v>3.4873941535837262E-2</v>
      </c>
      <c r="U60" s="3">
        <f t="shared" ca="1" si="72"/>
        <v>3.3901813714334386E-2</v>
      </c>
      <c r="V60" s="3">
        <f t="shared" ca="1" si="72"/>
        <v>3.5524863128918956E-2</v>
      </c>
      <c r="W60" s="3">
        <f t="shared" ca="1" si="72"/>
        <v>3.6344331226903337E-2</v>
      </c>
      <c r="X60" s="3">
        <f t="shared" ca="1" si="72"/>
        <v>4.0933285833749229E-2</v>
      </c>
      <c r="Y60" s="3">
        <f t="shared" ca="1" si="72"/>
        <v>4.2739232004647042E-2</v>
      </c>
      <c r="Z60" s="3">
        <f t="shared" ca="1" si="72"/>
        <v>4.9929645632501407E-2</v>
      </c>
      <c r="AA60" s="3">
        <f t="shared" ca="1" si="72"/>
        <v>5.3500608686178605E-2</v>
      </c>
      <c r="AB60" s="3">
        <f t="shared" ca="1" si="72"/>
        <v>5.3821075526127519E-2</v>
      </c>
      <c r="AC60" s="3">
        <f t="shared" ca="1" si="72"/>
        <v>6.0600282742797308E-2</v>
      </c>
      <c r="AD60" s="3">
        <f t="shared" ca="1" si="72"/>
        <v>6.7287347364944516E-2</v>
      </c>
      <c r="AE60" s="3">
        <f t="shared" ca="1" si="72"/>
        <v>6.3028208709063074E-2</v>
      </c>
      <c r="AF60" s="3">
        <f t="shared" ca="1" si="72"/>
        <v>7.854018022247708E-2</v>
      </c>
      <c r="AG60" s="3">
        <f t="shared" ca="1" si="72"/>
        <v>7.450293680201725E-2</v>
      </c>
      <c r="AH60" s="3">
        <f t="shared" ca="1" si="72"/>
        <v>0.11159289197554839</v>
      </c>
      <c r="AI60" s="3">
        <f t="shared" ca="1" si="72"/>
        <v>8.7969160480037972E-2</v>
      </c>
      <c r="AJ60" s="3">
        <f t="shared" ca="1" si="72"/>
        <v>0.16993474800599617</v>
      </c>
    </row>
    <row r="61" spans="1:36" x14ac:dyDescent="0.35">
      <c r="A61" t="s">
        <v>63</v>
      </c>
      <c r="B61" t="s">
        <v>62</v>
      </c>
      <c r="C61" s="4">
        <v>7</v>
      </c>
      <c r="D61" s="3">
        <f t="shared" ref="D61:AJ61" ca="1" si="73">MIN(0.99,D42+$D$3)</f>
        <v>1.922671008655031E-2</v>
      </c>
      <c r="E61" s="3">
        <f t="shared" ca="1" si="73"/>
        <v>1.8453362690508276E-2</v>
      </c>
      <c r="F61" s="3">
        <f t="shared" ca="1" si="73"/>
        <v>2.1345344187116689E-2</v>
      </c>
      <c r="G61" s="3">
        <f t="shared" ca="1" si="73"/>
        <v>2.0458083368384006E-2</v>
      </c>
      <c r="H61" s="3">
        <f t="shared" ca="1" si="73"/>
        <v>2.4794438285014354E-2</v>
      </c>
      <c r="I61" s="3">
        <f t="shared" ca="1" si="73"/>
        <v>2.1673062716267601E-2</v>
      </c>
      <c r="J61" s="3">
        <f t="shared" ca="1" si="73"/>
        <v>2.6729653518105849E-2</v>
      </c>
      <c r="K61" s="3">
        <f t="shared" ca="1" si="73"/>
        <v>2.3736860398129715E-2</v>
      </c>
      <c r="L61" s="3">
        <f t="shared" ca="1" si="73"/>
        <v>2.866828776443741E-2</v>
      </c>
      <c r="M61" s="3">
        <f t="shared" ca="1" si="73"/>
        <v>2.4834791632298295E-2</v>
      </c>
      <c r="N61" s="3">
        <f t="shared" ca="1" si="73"/>
        <v>3.1265929075964032E-2</v>
      </c>
      <c r="O61" s="3">
        <f t="shared" ca="1" si="73"/>
        <v>2.7415459108561423E-2</v>
      </c>
      <c r="P61" s="3">
        <f t="shared" ca="1" si="73"/>
        <v>3.2000408365831227E-2</v>
      </c>
      <c r="Q61" s="3">
        <f t="shared" ca="1" si="73"/>
        <v>2.9480505227598635E-2</v>
      </c>
      <c r="R61" s="3">
        <f t="shared" ca="1" si="73"/>
        <v>3.4054880705174678E-2</v>
      </c>
      <c r="S61" s="3">
        <f t="shared" ca="1" si="73"/>
        <v>3.1895950672121753E-2</v>
      </c>
      <c r="T61" s="3">
        <f t="shared" ca="1" si="73"/>
        <v>3.5868544012707705E-2</v>
      </c>
      <c r="U61" s="3">
        <f t="shared" ca="1" si="73"/>
        <v>3.4885630716157329E-2</v>
      </c>
      <c r="V61" s="3">
        <f t="shared" ca="1" si="73"/>
        <v>3.6460831225618058E-2</v>
      </c>
      <c r="W61" s="3">
        <f t="shared" ca="1" si="73"/>
        <v>3.7329980357340434E-2</v>
      </c>
      <c r="X61" s="3">
        <f t="shared" ca="1" si="73"/>
        <v>4.1848456895077032E-2</v>
      </c>
      <c r="Y61" s="3">
        <f t="shared" ca="1" si="73"/>
        <v>4.3668428605155393E-2</v>
      </c>
      <c r="Z61" s="3">
        <f t="shared" ca="1" si="73"/>
        <v>5.0887780807242898E-2</v>
      </c>
      <c r="AA61" s="3">
        <f t="shared" ca="1" si="73"/>
        <v>5.4483147803501004E-2</v>
      </c>
      <c r="AB61" s="3">
        <f t="shared" ca="1" si="73"/>
        <v>5.4789868959764419E-2</v>
      </c>
      <c r="AC61" s="3">
        <f t="shared" ca="1" si="73"/>
        <v>6.1587536934887457E-2</v>
      </c>
      <c r="AD61" s="3">
        <f t="shared" ca="1" si="73"/>
        <v>6.819182283658129E-2</v>
      </c>
      <c r="AE61" s="3">
        <f t="shared" ca="1" si="73"/>
        <v>6.3967285148231537E-2</v>
      </c>
      <c r="AF61" s="3">
        <f t="shared" ca="1" si="73"/>
        <v>7.9469532236430399E-2</v>
      </c>
      <c r="AG61" s="3">
        <f t="shared" ca="1" si="73"/>
        <v>7.5439550165172564E-2</v>
      </c>
      <c r="AH61" s="3">
        <f t="shared" ca="1" si="73"/>
        <v>0.11256056495424174</v>
      </c>
      <c r="AI61" s="3">
        <f t="shared" ca="1" si="73"/>
        <v>8.8958162508376529E-2</v>
      </c>
      <c r="AJ61" s="3">
        <f t="shared" ca="1" si="73"/>
        <v>0.17089210828009405</v>
      </c>
    </row>
    <row r="62" spans="1:36" x14ac:dyDescent="0.35">
      <c r="A62" t="s">
        <v>63</v>
      </c>
      <c r="B62" t="s">
        <v>62</v>
      </c>
      <c r="C62" s="4" t="s">
        <v>75</v>
      </c>
      <c r="D62" s="3">
        <f t="shared" ref="D62:AJ62" ca="1" si="74">MIN(0.99,D43+$D$3)</f>
        <v>2.0128009240577366E-2</v>
      </c>
      <c r="E62" s="3">
        <f t="shared" ca="1" si="74"/>
        <v>1.9361062024404473E-2</v>
      </c>
      <c r="F62" s="3">
        <f t="shared" ca="1" si="74"/>
        <v>2.2344876758119397E-2</v>
      </c>
      <c r="G62" s="3">
        <f t="shared" ca="1" si="74"/>
        <v>2.1401094330894814E-2</v>
      </c>
      <c r="H62" s="3">
        <f t="shared" ca="1" si="74"/>
        <v>2.5754541829204534E-2</v>
      </c>
      <c r="I62" s="3">
        <f t="shared" ca="1" si="74"/>
        <v>2.2672201740085083E-2</v>
      </c>
      <c r="J62" s="3">
        <f t="shared" ca="1" si="74"/>
        <v>2.7680685814814351E-2</v>
      </c>
      <c r="K62" s="3">
        <f t="shared" ca="1" si="74"/>
        <v>2.4664797669197117E-2</v>
      </c>
      <c r="L62" s="3">
        <f t="shared" ca="1" si="74"/>
        <v>2.9644006949034046E-2</v>
      </c>
      <c r="M62" s="3">
        <f t="shared" ca="1" si="74"/>
        <v>2.579557061054067E-2</v>
      </c>
      <c r="N62" s="3">
        <f t="shared" ca="1" si="74"/>
        <v>3.2248120067561996E-2</v>
      </c>
      <c r="O62" s="3">
        <f t="shared" ca="1" si="74"/>
        <v>2.8361415936595292E-2</v>
      </c>
      <c r="P62" s="3">
        <f t="shared" ca="1" si="74"/>
        <v>3.2999578985167789E-2</v>
      </c>
      <c r="Q62" s="3">
        <f t="shared" ca="1" si="74"/>
        <v>3.043685077099419E-2</v>
      </c>
      <c r="R62" s="3">
        <f t="shared" ca="1" si="74"/>
        <v>3.503360777686209E-2</v>
      </c>
      <c r="S62" s="3">
        <f t="shared" ca="1" si="74"/>
        <v>3.2838425467124878E-2</v>
      </c>
      <c r="T62" s="3">
        <f t="shared" ca="1" si="74"/>
        <v>3.685455300183605E-2</v>
      </c>
      <c r="U62" s="3">
        <f t="shared" ca="1" si="74"/>
        <v>3.5879868880372111E-2</v>
      </c>
      <c r="V62" s="3">
        <f t="shared" ca="1" si="74"/>
        <v>3.7401078304836292E-2</v>
      </c>
      <c r="W62" s="3">
        <f t="shared" ca="1" si="74"/>
        <v>3.8238380121084714E-2</v>
      </c>
      <c r="X62" s="3">
        <f t="shared" ca="1" si="74"/>
        <v>4.2779280047233526E-2</v>
      </c>
      <c r="Y62" s="3">
        <f t="shared" ca="1" si="74"/>
        <v>4.4589542216064405E-2</v>
      </c>
      <c r="Z62" s="3">
        <f t="shared" ca="1" si="74"/>
        <v>5.1838985429889017E-2</v>
      </c>
      <c r="AA62" s="3">
        <f t="shared" ca="1" si="74"/>
        <v>5.5417358121150131E-2</v>
      </c>
      <c r="AB62" s="3">
        <f t="shared" ca="1" si="74"/>
        <v>5.5725257440567132E-2</v>
      </c>
      <c r="AC62" s="3">
        <f t="shared" ca="1" si="74"/>
        <v>6.2514150933259544E-2</v>
      </c>
      <c r="AD62" s="3">
        <f t="shared" ca="1" si="74"/>
        <v>6.9142020288133751E-2</v>
      </c>
      <c r="AE62" s="3">
        <f t="shared" ca="1" si="74"/>
        <v>6.4890499199080437E-2</v>
      </c>
      <c r="AF62" s="3">
        <f t="shared" ca="1" si="74"/>
        <v>8.0423101080066783E-2</v>
      </c>
      <c r="AG62" s="3">
        <f t="shared" ca="1" si="74"/>
        <v>7.6406791801274188E-2</v>
      </c>
      <c r="AH62" s="3">
        <f t="shared" ca="1" si="74"/>
        <v>0.11348382515303333</v>
      </c>
      <c r="AI62" s="3">
        <f t="shared" ca="1" si="74"/>
        <v>8.994396138240332E-2</v>
      </c>
      <c r="AJ62" s="3">
        <f t="shared" ca="1" si="74"/>
        <v>0.1718647046093624</v>
      </c>
    </row>
    <row r="63" spans="1:36" x14ac:dyDescent="0.35">
      <c r="A63" t="s">
        <v>77</v>
      </c>
      <c r="B63" t="s">
        <v>76</v>
      </c>
      <c r="C63" s="4">
        <v>1</v>
      </c>
      <c r="D63" s="3">
        <f ca="1">MIN(0.99,D6+$O$3)</f>
        <v>2.3970796962687602E-2</v>
      </c>
      <c r="E63" s="3">
        <f t="shared" ref="E63:AA74" ca="1" si="75">MIN(0.99,E6+$O$3)</f>
        <v>2.356906603050905E-2</v>
      </c>
      <c r="F63" s="3">
        <f t="shared" ca="1" si="75"/>
        <v>2.6121521499594801E-2</v>
      </c>
      <c r="G63" s="3">
        <f t="shared" ca="1" si="75"/>
        <v>2.5293275830209679E-2</v>
      </c>
      <c r="H63" s="3">
        <f t="shared" ca="1" si="75"/>
        <v>2.9638803378704538E-2</v>
      </c>
      <c r="I63" s="3">
        <f t="shared" ca="1" si="75"/>
        <v>2.6418723641604844E-2</v>
      </c>
      <c r="J63" s="3">
        <f t="shared" ca="1" si="75"/>
        <v>3.1437289767064808E-2</v>
      </c>
      <c r="K63" s="3">
        <f t="shared" ca="1" si="75"/>
        <v>2.8604792648923308E-2</v>
      </c>
      <c r="L63" s="3">
        <f t="shared" ca="1" si="75"/>
        <v>3.3562939556702795E-2</v>
      </c>
      <c r="M63" s="3">
        <f t="shared" ca="1" si="75"/>
        <v>2.972951084297755E-2</v>
      </c>
      <c r="N63" s="3">
        <f t="shared" ca="1" si="75"/>
        <v>3.6083641457633195E-2</v>
      </c>
      <c r="O63" s="3">
        <f t="shared" ca="1" si="75"/>
        <v>3.2371449619040524E-2</v>
      </c>
      <c r="P63" s="3">
        <f t="shared" ca="1" si="75"/>
        <v>3.6998260665686122E-2</v>
      </c>
      <c r="Q63" s="3">
        <f t="shared" ca="1" si="75"/>
        <v>3.4318788149466116E-2</v>
      </c>
      <c r="R63" s="3">
        <f t="shared" ca="1" si="75"/>
        <v>3.8796118680641228E-2</v>
      </c>
      <c r="S63" s="3">
        <f t="shared" ca="1" si="75"/>
        <v>3.6624021436794038E-2</v>
      </c>
      <c r="T63" s="3">
        <f t="shared" ca="1" si="75"/>
        <v>4.0683665660623911E-2</v>
      </c>
      <c r="U63" s="3">
        <f t="shared" ca="1" si="75"/>
        <v>3.9730767205372289E-2</v>
      </c>
      <c r="V63" s="3">
        <f t="shared" ca="1" si="75"/>
        <v>4.1270831647034781E-2</v>
      </c>
      <c r="W63" s="3">
        <f t="shared" ca="1" si="75"/>
        <v>4.2103070506232174E-2</v>
      </c>
      <c r="X63" s="3">
        <f t="shared" ca="1" si="75"/>
        <v>4.6690411886367973E-2</v>
      </c>
      <c r="Y63" s="3">
        <f t="shared" ca="1" si="75"/>
        <v>4.855390999535307E-2</v>
      </c>
      <c r="Z63" s="3">
        <f t="shared" ca="1" si="75"/>
        <v>5.5879358420199469E-2</v>
      </c>
      <c r="AA63" s="3">
        <f t="shared" ca="1" si="75"/>
        <v>5.9237765728436344E-2</v>
      </c>
      <c r="AB63" s="3">
        <f ca="1">MIN(0.99,AB6+$O$3)</f>
        <v>5.9697676649161709E-2</v>
      </c>
      <c r="AC63" s="3">
        <f t="shared" ref="AC63:AJ78" ca="1" si="76">MIN(0.99,AC6+$O$3)</f>
        <v>6.6366275859263413E-2</v>
      </c>
      <c r="AD63" s="3">
        <f t="shared" ca="1" si="76"/>
        <v>7.286900240221264E-2</v>
      </c>
      <c r="AE63" s="3">
        <f t="shared" ca="1" si="76"/>
        <v>6.8835099773856129E-2</v>
      </c>
      <c r="AF63" s="3">
        <f t="shared" ca="1" si="76"/>
        <v>8.4391657822298016E-2</v>
      </c>
      <c r="AG63" s="3">
        <f t="shared" ca="1" si="76"/>
        <v>8.0332463289560008E-2</v>
      </c>
      <c r="AH63" s="3">
        <f t="shared" ca="1" si="76"/>
        <v>0.11734024032581758</v>
      </c>
      <c r="AI63" s="3">
        <f t="shared" ca="1" si="76"/>
        <v>9.378116851901061E-2</v>
      </c>
      <c r="AJ63" s="3">
        <f t="shared" ca="1" si="76"/>
        <v>0.17566365671004433</v>
      </c>
    </row>
    <row r="64" spans="1:36" x14ac:dyDescent="0.35">
      <c r="A64" t="s">
        <v>77</v>
      </c>
      <c r="B64" t="s">
        <v>76</v>
      </c>
      <c r="C64" s="4" t="s">
        <v>64</v>
      </c>
      <c r="D64" s="3">
        <f t="shared" ref="D64:S119" ca="1" si="77">MIN(0.99,D7+$O$3)</f>
        <v>2.4938459337925864E-2</v>
      </c>
      <c r="E64" s="3">
        <f t="shared" ca="1" si="77"/>
        <v>2.4480737362310274E-2</v>
      </c>
      <c r="F64" s="3">
        <f t="shared" ca="1" si="77"/>
        <v>2.7057860040505935E-2</v>
      </c>
      <c r="G64" s="3">
        <f t="shared" ca="1" si="77"/>
        <v>2.6235474218609837E-2</v>
      </c>
      <c r="H64" s="3">
        <f t="shared" ca="1" si="77"/>
        <v>3.0560104873220112E-2</v>
      </c>
      <c r="I64" s="3">
        <f t="shared" ca="1" si="77"/>
        <v>2.7349692825831735E-2</v>
      </c>
      <c r="J64" s="3">
        <f t="shared" ca="1" si="77"/>
        <v>3.2368869380813806E-2</v>
      </c>
      <c r="K64" s="3">
        <f t="shared" ca="1" si="77"/>
        <v>2.950579383191089E-2</v>
      </c>
      <c r="L64" s="3">
        <f t="shared" ca="1" si="77"/>
        <v>3.4533731775278416E-2</v>
      </c>
      <c r="M64" s="3">
        <f t="shared" ca="1" si="77"/>
        <v>3.0703946402880367E-2</v>
      </c>
      <c r="N64" s="3">
        <f t="shared" ca="1" si="77"/>
        <v>3.6998045558863706E-2</v>
      </c>
      <c r="O64" s="3">
        <f t="shared" ca="1" si="77"/>
        <v>3.3319499482248272E-2</v>
      </c>
      <c r="P64" s="3">
        <f t="shared" ca="1" si="77"/>
        <v>3.7900513361676644E-2</v>
      </c>
      <c r="Q64" s="3">
        <f t="shared" ca="1" si="77"/>
        <v>3.5293840655751876E-2</v>
      </c>
      <c r="R64" s="3">
        <f t="shared" ca="1" si="77"/>
        <v>3.9773413117537001E-2</v>
      </c>
      <c r="S64" s="3">
        <f t="shared" ca="1" si="77"/>
        <v>3.758794922123361E-2</v>
      </c>
      <c r="T64" s="3">
        <f t="shared" ca="1" si="75"/>
        <v>4.1614214425005389E-2</v>
      </c>
      <c r="U64" s="3">
        <f t="shared" ca="1" si="75"/>
        <v>4.067873718928422E-2</v>
      </c>
      <c r="V64" s="3">
        <f t="shared" ca="1" si="75"/>
        <v>4.2200750885015882E-2</v>
      </c>
      <c r="W64" s="3">
        <f t="shared" ca="1" si="75"/>
        <v>4.3011378944985836E-2</v>
      </c>
      <c r="X64" s="3">
        <f t="shared" ca="1" si="75"/>
        <v>4.7626372878004419E-2</v>
      </c>
      <c r="Y64" s="3">
        <f t="shared" ca="1" si="75"/>
        <v>4.953690596619717E-2</v>
      </c>
      <c r="Z64" s="3">
        <f t="shared" ca="1" si="75"/>
        <v>5.6863018343289801E-2</v>
      </c>
      <c r="AA64" s="3">
        <f t="shared" ca="1" si="75"/>
        <v>6.0163404257570524E-2</v>
      </c>
      <c r="AB64" s="3">
        <f t="shared" ref="AB64:AJ64" ca="1" si="78">MIN(0.99,AB7+$O$3)</f>
        <v>6.0609863437189541E-2</v>
      </c>
      <c r="AC64" s="3">
        <f t="shared" ca="1" si="78"/>
        <v>6.7343236775646784E-2</v>
      </c>
      <c r="AD64" s="3">
        <f t="shared" ca="1" si="78"/>
        <v>7.3844269055930362E-2</v>
      </c>
      <c r="AE64" s="3">
        <f t="shared" ca="1" si="78"/>
        <v>6.9801946744002835E-2</v>
      </c>
      <c r="AF64" s="3">
        <f t="shared" ca="1" si="78"/>
        <v>8.5333380176231724E-2</v>
      </c>
      <c r="AG64" s="3">
        <f t="shared" ca="1" si="78"/>
        <v>8.1293849091046352E-2</v>
      </c>
      <c r="AH64" s="3">
        <f t="shared" ca="1" si="78"/>
        <v>0.11826271352262435</v>
      </c>
      <c r="AI64" s="3">
        <f t="shared" ca="1" si="78"/>
        <v>9.4737530171032175E-2</v>
      </c>
      <c r="AJ64" s="3">
        <f t="shared" ca="1" si="78"/>
        <v>0.17656743211738024</v>
      </c>
    </row>
    <row r="65" spans="1:36" x14ac:dyDescent="0.35">
      <c r="A65" t="s">
        <v>77</v>
      </c>
      <c r="B65" t="s">
        <v>76</v>
      </c>
      <c r="C65" s="4">
        <v>2</v>
      </c>
      <c r="D65" s="3">
        <f t="shared" ca="1" si="77"/>
        <v>2.5922879780168273E-2</v>
      </c>
      <c r="E65" s="3">
        <f t="shared" ca="1" si="75"/>
        <v>2.5382955667149876E-2</v>
      </c>
      <c r="F65" s="3">
        <f t="shared" ca="1" si="75"/>
        <v>2.8018662121608629E-2</v>
      </c>
      <c r="G65" s="3">
        <f t="shared" ca="1" si="75"/>
        <v>2.7152666577972238E-2</v>
      </c>
      <c r="H65" s="3">
        <f t="shared" ca="1" si="75"/>
        <v>3.1479943069096884E-2</v>
      </c>
      <c r="I65" s="3">
        <f t="shared" ca="1" si="75"/>
        <v>2.8324073013796004E-2</v>
      </c>
      <c r="J65" s="3">
        <f t="shared" ca="1" si="75"/>
        <v>3.3355998601632048E-2</v>
      </c>
      <c r="K65" s="3">
        <f t="shared" ca="1" si="75"/>
        <v>3.0417586178336214E-2</v>
      </c>
      <c r="L65" s="3">
        <f t="shared" ca="1" si="75"/>
        <v>3.5439573820187378E-2</v>
      </c>
      <c r="M65" s="3">
        <f t="shared" ca="1" si="75"/>
        <v>3.1627340232892716E-2</v>
      </c>
      <c r="N65" s="3">
        <f t="shared" ca="1" si="75"/>
        <v>3.7932006874559124E-2</v>
      </c>
      <c r="O65" s="3">
        <f t="shared" ca="1" si="75"/>
        <v>3.426400436509304E-2</v>
      </c>
      <c r="P65" s="3">
        <f t="shared" ca="1" si="75"/>
        <v>3.8818215378177992E-2</v>
      </c>
      <c r="Q65" s="3">
        <f t="shared" ca="1" si="75"/>
        <v>3.6273989002571339E-2</v>
      </c>
      <c r="R65" s="3">
        <f t="shared" ca="1" si="75"/>
        <v>4.0692704390182778E-2</v>
      </c>
      <c r="S65" s="3">
        <f t="shared" ca="1" si="75"/>
        <v>3.8548346558081446E-2</v>
      </c>
      <c r="T65" s="3">
        <f t="shared" ca="1" si="75"/>
        <v>4.2528487849154514E-2</v>
      </c>
      <c r="U65" s="3">
        <f t="shared" ca="1" si="75"/>
        <v>4.1587883536819761E-2</v>
      </c>
      <c r="V65" s="3">
        <f t="shared" ca="1" si="75"/>
        <v>4.3169494869658792E-2</v>
      </c>
      <c r="W65" s="3">
        <f t="shared" ca="1" si="75"/>
        <v>4.3937610965666563E-2</v>
      </c>
      <c r="X65" s="3">
        <f t="shared" ca="1" si="75"/>
        <v>4.8532719612774507E-2</v>
      </c>
      <c r="Y65" s="3">
        <f t="shared" ca="1" si="75"/>
        <v>5.0504210216960915E-2</v>
      </c>
      <c r="Z65" s="3">
        <f t="shared" ca="1" si="75"/>
        <v>5.7763635083073403E-2</v>
      </c>
      <c r="AA65" s="3">
        <f t="shared" ca="1" si="75"/>
        <v>6.1153464053501701E-2</v>
      </c>
      <c r="AB65" s="3">
        <f t="shared" ref="AB65" ca="1" si="79">MIN(0.99,AB8+$O$3)</f>
        <v>6.1566450079826404E-2</v>
      </c>
      <c r="AC65" s="3">
        <f t="shared" ca="1" si="76"/>
        <v>6.8337382464555521E-2</v>
      </c>
      <c r="AD65" s="3">
        <f t="shared" ca="1" si="76"/>
        <v>7.4832197191042851E-2</v>
      </c>
      <c r="AE65" s="3">
        <f t="shared" ca="1" si="76"/>
        <v>7.0771845681052936E-2</v>
      </c>
      <c r="AF65" s="3">
        <f t="shared" ca="1" si="76"/>
        <v>8.6237789522823877E-2</v>
      </c>
      <c r="AG65" s="3">
        <f t="shared" ca="1" si="76"/>
        <v>8.2255274105109216E-2</v>
      </c>
      <c r="AH65" s="3">
        <f t="shared" ca="1" si="76"/>
        <v>0.11920747122216632</v>
      </c>
      <c r="AI65" s="3">
        <f t="shared" ca="1" si="76"/>
        <v>9.568293033528058E-2</v>
      </c>
      <c r="AJ65" s="3">
        <f t="shared" ca="1" si="76"/>
        <v>0.17755452445282455</v>
      </c>
    </row>
    <row r="66" spans="1:36" x14ac:dyDescent="0.35">
      <c r="A66" t="s">
        <v>77</v>
      </c>
      <c r="B66" t="s">
        <v>76</v>
      </c>
      <c r="C66" s="4" t="s">
        <v>65</v>
      </c>
      <c r="D66" s="3">
        <f t="shared" ca="1" si="77"/>
        <v>2.6825031522199567E-2</v>
      </c>
      <c r="E66" s="3">
        <f t="shared" ca="1" si="75"/>
        <v>2.630499429506164E-2</v>
      </c>
      <c r="F66" s="3">
        <f t="shared" ca="1" si="75"/>
        <v>2.8975521094619795E-2</v>
      </c>
      <c r="G66" s="3">
        <f t="shared" ca="1" si="75"/>
        <v>2.807016634598436E-2</v>
      </c>
      <c r="H66" s="3">
        <f t="shared" ca="1" si="75"/>
        <v>3.2437597025643701E-2</v>
      </c>
      <c r="I66" s="3">
        <f t="shared" ca="1" si="75"/>
        <v>2.9282648024858436E-2</v>
      </c>
      <c r="J66" s="3">
        <f t="shared" ca="1" si="75"/>
        <v>3.4265827930688456E-2</v>
      </c>
      <c r="K66" s="3">
        <f t="shared" ca="1" si="75"/>
        <v>3.133271921144859E-2</v>
      </c>
      <c r="L66" s="3">
        <f t="shared" ca="1" si="75"/>
        <v>3.6353248808133461E-2</v>
      </c>
      <c r="M66" s="3">
        <f t="shared" ca="1" si="75"/>
        <v>3.253537837530384E-2</v>
      </c>
      <c r="N66" s="3">
        <f t="shared" ca="1" si="75"/>
        <v>3.8906133682767297E-2</v>
      </c>
      <c r="O66" s="3">
        <f t="shared" ca="1" si="75"/>
        <v>3.5195156661598129E-2</v>
      </c>
      <c r="P66" s="3">
        <f t="shared" ca="1" si="75"/>
        <v>3.9751084547672691E-2</v>
      </c>
      <c r="Q66" s="3">
        <f t="shared" ca="1" si="75"/>
        <v>3.7234404075577709E-2</v>
      </c>
      <c r="R66" s="3">
        <f t="shared" ca="1" si="75"/>
        <v>4.1660482826014117E-2</v>
      </c>
      <c r="S66" s="3">
        <f t="shared" ca="1" si="75"/>
        <v>3.9527189296960051E-2</v>
      </c>
      <c r="T66" s="3">
        <f t="shared" ca="1" si="75"/>
        <v>4.3521378867798596E-2</v>
      </c>
      <c r="U66" s="3">
        <f t="shared" ca="1" si="75"/>
        <v>4.2526191654737179E-2</v>
      </c>
      <c r="V66" s="3">
        <f t="shared" ca="1" si="75"/>
        <v>4.413171102911273E-2</v>
      </c>
      <c r="W66" s="3">
        <f t="shared" ca="1" si="75"/>
        <v>4.4890007075341416E-2</v>
      </c>
      <c r="X66" s="3">
        <f t="shared" ca="1" si="75"/>
        <v>4.951100197950066E-2</v>
      </c>
      <c r="Y66" s="3">
        <f t="shared" ca="1" si="75"/>
        <v>5.1438208514034453E-2</v>
      </c>
      <c r="Z66" s="3">
        <f t="shared" ca="1" si="75"/>
        <v>5.8751075234411872E-2</v>
      </c>
      <c r="AA66" s="3">
        <f t="shared" ca="1" si="75"/>
        <v>6.2146579712575763E-2</v>
      </c>
      <c r="AB66" s="3">
        <f t="shared" ref="AB66" ca="1" si="80">MIN(0.99,AB9+$O$3)</f>
        <v>6.2561150086960685E-2</v>
      </c>
      <c r="AC66" s="3">
        <f t="shared" ca="1" si="76"/>
        <v>6.9266633864557808E-2</v>
      </c>
      <c r="AD66" s="3">
        <f t="shared" ca="1" si="76"/>
        <v>7.5737083050976414E-2</v>
      </c>
      <c r="AE66" s="3">
        <f t="shared" ca="1" si="76"/>
        <v>7.1705399334886538E-2</v>
      </c>
      <c r="AF66" s="3">
        <f t="shared" ca="1" si="76"/>
        <v>8.7196925610243503E-2</v>
      </c>
      <c r="AG66" s="3">
        <f t="shared" ca="1" si="76"/>
        <v>8.3179198484795103E-2</v>
      </c>
      <c r="AH66" s="3">
        <f t="shared" ca="1" si="76"/>
        <v>0.12016604215617679</v>
      </c>
      <c r="AI66" s="3">
        <f t="shared" ca="1" si="76"/>
        <v>9.6611669550506901E-2</v>
      </c>
      <c r="AJ66" s="3">
        <f t="shared" ca="1" si="76"/>
        <v>0.17848949377065215</v>
      </c>
    </row>
    <row r="67" spans="1:36" x14ac:dyDescent="0.35">
      <c r="A67" t="s">
        <v>77</v>
      </c>
      <c r="B67" t="s">
        <v>76</v>
      </c>
      <c r="C67" s="4" t="s">
        <v>66</v>
      </c>
      <c r="D67" s="3">
        <f t="shared" ca="1" si="77"/>
        <v>2.7769283670069971E-2</v>
      </c>
      <c r="E67" s="3">
        <f t="shared" ca="1" si="75"/>
        <v>2.720587476311288E-2</v>
      </c>
      <c r="F67" s="3">
        <f t="shared" ca="1" si="75"/>
        <v>2.992606955334063E-2</v>
      </c>
      <c r="G67" s="3">
        <f t="shared" ca="1" si="75"/>
        <v>2.9035892982189556E-2</v>
      </c>
      <c r="H67" s="3">
        <f t="shared" ca="1" si="75"/>
        <v>3.3393749810391449E-2</v>
      </c>
      <c r="I67" s="3">
        <f t="shared" ca="1" si="75"/>
        <v>3.0220366576484387E-2</v>
      </c>
      <c r="J67" s="3">
        <f t="shared" ca="1" si="75"/>
        <v>3.5259524582664896E-2</v>
      </c>
      <c r="K67" s="3">
        <f t="shared" ca="1" si="75"/>
        <v>3.2317038832338538E-2</v>
      </c>
      <c r="L67" s="3">
        <f t="shared" ca="1" si="75"/>
        <v>3.7329657663037787E-2</v>
      </c>
      <c r="M67" s="3">
        <f t="shared" ca="1" si="75"/>
        <v>3.35219973008022E-2</v>
      </c>
      <c r="N67" s="3">
        <f t="shared" ca="1" si="75"/>
        <v>3.9903700710796505E-2</v>
      </c>
      <c r="O67" s="3">
        <f t="shared" ca="1" si="75"/>
        <v>3.6118368627681585E-2</v>
      </c>
      <c r="P67" s="3">
        <f t="shared" ca="1" si="75"/>
        <v>4.0713217543826438E-2</v>
      </c>
      <c r="Q67" s="3">
        <f t="shared" ca="1" si="75"/>
        <v>3.8137311580006342E-2</v>
      </c>
      <c r="R67" s="3">
        <f t="shared" ca="1" si="75"/>
        <v>4.2622532596617961E-2</v>
      </c>
      <c r="S67" s="3">
        <f t="shared" ca="1" si="75"/>
        <v>4.0507028096376296E-2</v>
      </c>
      <c r="T67" s="3">
        <f t="shared" ca="1" si="75"/>
        <v>4.4431228860219052E-2</v>
      </c>
      <c r="U67" s="3">
        <f t="shared" ca="1" si="75"/>
        <v>4.3508241273339694E-2</v>
      </c>
      <c r="V67" s="3">
        <f t="shared" ca="1" si="75"/>
        <v>4.5104045969078091E-2</v>
      </c>
      <c r="W67" s="3">
        <f t="shared" ca="1" si="75"/>
        <v>4.5864958386669208E-2</v>
      </c>
      <c r="X67" s="3">
        <f t="shared" ca="1" si="75"/>
        <v>5.0470677742665962E-2</v>
      </c>
      <c r="Y67" s="3">
        <f t="shared" ca="1" si="75"/>
        <v>5.2398478032501312E-2</v>
      </c>
      <c r="Z67" s="3">
        <f t="shared" ca="1" si="75"/>
        <v>5.9678257651536698E-2</v>
      </c>
      <c r="AA67" s="3">
        <f t="shared" ca="1" si="75"/>
        <v>6.3120223461306871E-2</v>
      </c>
      <c r="AB67" s="3">
        <f t="shared" ref="AB67" ca="1" si="81">MIN(0.99,AB10+$O$3)</f>
        <v>6.3552261826383682E-2</v>
      </c>
      <c r="AC67" s="3">
        <f t="shared" ca="1" si="76"/>
        <v>7.0169773075851039E-2</v>
      </c>
      <c r="AD67" s="3">
        <f t="shared" ca="1" si="76"/>
        <v>7.6702963192432139E-2</v>
      </c>
      <c r="AE67" s="3">
        <f t="shared" ca="1" si="76"/>
        <v>7.2679468295553357E-2</v>
      </c>
      <c r="AF67" s="3">
        <f t="shared" ca="1" si="76"/>
        <v>8.8179717280153003E-2</v>
      </c>
      <c r="AG67" s="3">
        <f t="shared" ca="1" si="76"/>
        <v>8.4159895952065578E-2</v>
      </c>
      <c r="AH67" s="3">
        <f t="shared" ca="1" si="76"/>
        <v>0.12107611054976927</v>
      </c>
      <c r="AI67" s="3">
        <f t="shared" ca="1" si="76"/>
        <v>9.7527548994164548E-2</v>
      </c>
      <c r="AJ67" s="3">
        <f t="shared" ca="1" si="76"/>
        <v>0.17946415584840752</v>
      </c>
    </row>
    <row r="68" spans="1:36" x14ac:dyDescent="0.35">
      <c r="A68" t="s">
        <v>77</v>
      </c>
      <c r="B68" t="s">
        <v>76</v>
      </c>
      <c r="C68" s="4">
        <v>3</v>
      </c>
      <c r="D68" s="3">
        <f t="shared" ca="1" si="77"/>
        <v>2.869107261961577E-2</v>
      </c>
      <c r="E68" s="3">
        <f t="shared" ca="1" si="75"/>
        <v>2.8164607555222466E-2</v>
      </c>
      <c r="F68" s="3">
        <f t="shared" ca="1" si="75"/>
        <v>3.092186909486988E-2</v>
      </c>
      <c r="G68" s="3">
        <f t="shared" ca="1" si="75"/>
        <v>3.0012438216686744E-2</v>
      </c>
      <c r="H68" s="3">
        <f t="shared" ca="1" si="75"/>
        <v>3.4333523826107201E-2</v>
      </c>
      <c r="I68" s="3">
        <f t="shared" ca="1" si="75"/>
        <v>3.1172883019657958E-2</v>
      </c>
      <c r="J68" s="3">
        <f t="shared" ca="1" si="75"/>
        <v>3.6222404363890501E-2</v>
      </c>
      <c r="K68" s="3">
        <f t="shared" ca="1" si="75"/>
        <v>3.3282985534600677E-2</v>
      </c>
      <c r="L68" s="3">
        <f t="shared" ca="1" si="75"/>
        <v>3.8254768045863155E-2</v>
      </c>
      <c r="M68" s="3">
        <f t="shared" ca="1" si="75"/>
        <v>3.4513728339233343E-2</v>
      </c>
      <c r="N68" s="3">
        <f t="shared" ca="1" si="75"/>
        <v>4.0876337898784088E-2</v>
      </c>
      <c r="O68" s="3">
        <f t="shared" ca="1" si="75"/>
        <v>3.7021811522918883E-2</v>
      </c>
      <c r="P68" s="3">
        <f t="shared" ca="1" si="75"/>
        <v>4.1646098948543611E-2</v>
      </c>
      <c r="Q68" s="3">
        <f t="shared" ca="1" si="75"/>
        <v>3.9067400925390162E-2</v>
      </c>
      <c r="R68" s="3">
        <f t="shared" ca="1" si="75"/>
        <v>4.352321763340776E-2</v>
      </c>
      <c r="S68" s="3">
        <f t="shared" ca="1" si="75"/>
        <v>4.1440539473532489E-2</v>
      </c>
      <c r="T68" s="3">
        <f t="shared" ca="1" si="75"/>
        <v>4.5402726472503152E-2</v>
      </c>
      <c r="U68" s="3">
        <f t="shared" ca="1" si="75"/>
        <v>4.4493570040992622E-2</v>
      </c>
      <c r="V68" s="3">
        <f t="shared" ca="1" si="75"/>
        <v>4.6066540900671235E-2</v>
      </c>
      <c r="W68" s="3">
        <f t="shared" ca="1" si="75"/>
        <v>4.6791824556469207E-2</v>
      </c>
      <c r="X68" s="3">
        <f t="shared" ca="1" si="75"/>
        <v>5.1382767868824307E-2</v>
      </c>
      <c r="Y68" s="3">
        <f t="shared" ca="1" si="75"/>
        <v>5.3387608538845513E-2</v>
      </c>
      <c r="Z68" s="3">
        <f t="shared" ca="1" si="75"/>
        <v>6.0596369996838491E-2</v>
      </c>
      <c r="AA68" s="3">
        <f t="shared" ca="1" si="75"/>
        <v>6.4020599302233749E-2</v>
      </c>
      <c r="AB68" s="3">
        <f t="shared" ref="AB68" ca="1" si="82">MIN(0.99,AB11+$O$3)</f>
        <v>6.4519875636484675E-2</v>
      </c>
      <c r="AC68" s="3">
        <f t="shared" ca="1" si="76"/>
        <v>7.1112482033291888E-2</v>
      </c>
      <c r="AD68" s="3">
        <f t="shared" ca="1" si="76"/>
        <v>7.7688945644697305E-2</v>
      </c>
      <c r="AE68" s="3">
        <f t="shared" ca="1" si="76"/>
        <v>7.3659008247430463E-2</v>
      </c>
      <c r="AF68" s="3">
        <f t="shared" ca="1" si="76"/>
        <v>8.9156057578600983E-2</v>
      </c>
      <c r="AG68" s="3">
        <f t="shared" ca="1" si="76"/>
        <v>8.5068832629817653E-2</v>
      </c>
      <c r="AH68" s="3">
        <f t="shared" ca="1" si="76"/>
        <v>0.12199837586434525</v>
      </c>
      <c r="AI68" s="3">
        <f t="shared" ca="1" si="76"/>
        <v>9.851933415787445E-2</v>
      </c>
      <c r="AJ68" s="3">
        <f t="shared" ca="1" si="76"/>
        <v>0.1804523215687879</v>
      </c>
    </row>
    <row r="69" spans="1:36" x14ac:dyDescent="0.35">
      <c r="A69" t="s">
        <v>77</v>
      </c>
      <c r="B69" t="s">
        <v>76</v>
      </c>
      <c r="C69" s="4" t="s">
        <v>67</v>
      </c>
      <c r="D69" s="3">
        <f t="shared" ca="1" si="77"/>
        <v>2.9659823419202338E-2</v>
      </c>
      <c r="E69" s="3">
        <f t="shared" ca="1" si="75"/>
        <v>2.9081071250351035E-2</v>
      </c>
      <c r="F69" s="3">
        <f t="shared" ca="1" si="75"/>
        <v>3.1853522676351262E-2</v>
      </c>
      <c r="G69" s="3">
        <f t="shared" ca="1" si="75"/>
        <v>3.0921336909490983E-2</v>
      </c>
      <c r="H69" s="3">
        <f t="shared" ca="1" si="75"/>
        <v>3.5329771773689705E-2</v>
      </c>
      <c r="I69" s="3">
        <f t="shared" ca="1" si="75"/>
        <v>3.2128814309393412E-2</v>
      </c>
      <c r="J69" s="3">
        <f t="shared" ca="1" si="75"/>
        <v>3.7139378113403676E-2</v>
      </c>
      <c r="K69" s="3">
        <f t="shared" ca="1" si="75"/>
        <v>3.4213835340970458E-2</v>
      </c>
      <c r="L69" s="3">
        <f t="shared" ca="1" si="75"/>
        <v>3.9252580197360012E-2</v>
      </c>
      <c r="M69" s="3">
        <f t="shared" ca="1" si="75"/>
        <v>3.5423825683707742E-2</v>
      </c>
      <c r="N69" s="3">
        <f t="shared" ca="1" si="75"/>
        <v>4.1785137906180311E-2</v>
      </c>
      <c r="O69" s="3">
        <f t="shared" ca="1" si="75"/>
        <v>3.7989220247703209E-2</v>
      </c>
      <c r="P69" s="3">
        <f t="shared" ca="1" si="75"/>
        <v>4.2548630181002148E-2</v>
      </c>
      <c r="Q69" s="3">
        <f t="shared" ca="1" si="75"/>
        <v>4.0036507052753592E-2</v>
      </c>
      <c r="R69" s="3">
        <f t="shared" ca="1" si="75"/>
        <v>4.4510482139925159E-2</v>
      </c>
      <c r="S69" s="3">
        <f t="shared" ca="1" si="75"/>
        <v>4.2439949696174199E-2</v>
      </c>
      <c r="T69" s="3">
        <f t="shared" ca="1" si="75"/>
        <v>4.6392123891440318E-2</v>
      </c>
      <c r="U69" s="3">
        <f t="shared" ca="1" si="75"/>
        <v>4.5398060801604079E-2</v>
      </c>
      <c r="V69" s="3">
        <f t="shared" ca="1" si="75"/>
        <v>4.7053956147871411E-2</v>
      </c>
      <c r="W69" s="3">
        <f t="shared" ca="1" si="75"/>
        <v>4.7702325776036641E-2</v>
      </c>
      <c r="X69" s="3">
        <f t="shared" ca="1" si="75"/>
        <v>5.236128660898226E-2</v>
      </c>
      <c r="Y69" s="3">
        <f t="shared" ca="1" si="75"/>
        <v>5.4318236562839288E-2</v>
      </c>
      <c r="Z69" s="3">
        <f t="shared" ca="1" si="75"/>
        <v>6.1499490263970134E-2</v>
      </c>
      <c r="AA69" s="3">
        <f t="shared" ca="1" si="75"/>
        <v>6.4984855149505374E-2</v>
      </c>
      <c r="AB69" s="3">
        <f t="shared" ref="AB69" ca="1" si="83">MIN(0.99,AB12+$O$3)</f>
        <v>6.5452658602999036E-2</v>
      </c>
      <c r="AC69" s="3">
        <f t="shared" ca="1" si="76"/>
        <v>7.2106200784981589E-2</v>
      </c>
      <c r="AD69" s="3">
        <f t="shared" ca="1" si="76"/>
        <v>7.8680309952741598E-2</v>
      </c>
      <c r="AE69" s="3">
        <f t="shared" ca="1" si="76"/>
        <v>7.4596648516072617E-2</v>
      </c>
      <c r="AF69" s="3">
        <f t="shared" ca="1" si="76"/>
        <v>9.0117537271460685E-2</v>
      </c>
      <c r="AG69" s="3">
        <f t="shared" ca="1" si="76"/>
        <v>8.6057097244872593E-2</v>
      </c>
      <c r="AH69" s="3">
        <f t="shared" ca="1" si="76"/>
        <v>0.12296662516749068</v>
      </c>
      <c r="AI69" s="3">
        <f t="shared" ca="1" si="76"/>
        <v>9.9458012924774603E-2</v>
      </c>
      <c r="AJ69" s="3">
        <f t="shared" ca="1" si="76"/>
        <v>0.1813822971796244</v>
      </c>
    </row>
    <row r="70" spans="1:36" x14ac:dyDescent="0.35">
      <c r="A70" t="s">
        <v>77</v>
      </c>
      <c r="B70" t="s">
        <v>76</v>
      </c>
      <c r="C70" s="4" t="s">
        <v>68</v>
      </c>
      <c r="D70" s="3">
        <f t="shared" ca="1" si="77"/>
        <v>3.060890927180486E-2</v>
      </c>
      <c r="E70" s="3">
        <f t="shared" ca="1" si="75"/>
        <v>3.0077728471870159E-2</v>
      </c>
      <c r="F70" s="3">
        <f t="shared" ca="1" si="75"/>
        <v>3.2827625120755322E-2</v>
      </c>
      <c r="G70" s="3">
        <f t="shared" ca="1" si="75"/>
        <v>3.1848568923621048E-2</v>
      </c>
      <c r="H70" s="3">
        <f t="shared" ca="1" si="75"/>
        <v>3.6292395051692072E-2</v>
      </c>
      <c r="I70" s="3">
        <f t="shared" ca="1" si="75"/>
        <v>3.3125208891588868E-2</v>
      </c>
      <c r="J70" s="3">
        <f t="shared" ca="1" si="75"/>
        <v>3.8056900086384148E-2</v>
      </c>
      <c r="K70" s="3">
        <f t="shared" ca="1" si="75"/>
        <v>3.515364061156686E-2</v>
      </c>
      <c r="L70" s="3">
        <f t="shared" ca="1" si="75"/>
        <v>4.0235040471485919E-2</v>
      </c>
      <c r="M70" s="3">
        <f t="shared" ca="1" si="75"/>
        <v>3.6367311586031917E-2</v>
      </c>
      <c r="N70" s="3">
        <f t="shared" ca="1" si="75"/>
        <v>4.272736105549689E-2</v>
      </c>
      <c r="O70" s="3">
        <f t="shared" ca="1" si="75"/>
        <v>3.8892249443894897E-2</v>
      </c>
      <c r="P70" s="3">
        <f t="shared" ca="1" si="75"/>
        <v>4.3487547331497088E-2</v>
      </c>
      <c r="Q70" s="3">
        <f t="shared" ca="1" si="75"/>
        <v>4.0951733216274502E-2</v>
      </c>
      <c r="R70" s="3">
        <f t="shared" ca="1" si="75"/>
        <v>4.5505119570833544E-2</v>
      </c>
      <c r="S70" s="3">
        <f t="shared" ca="1" si="75"/>
        <v>4.3435510808893463E-2</v>
      </c>
      <c r="T70" s="3">
        <f t="shared" ca="1" si="75"/>
        <v>4.7323890972373356E-2</v>
      </c>
      <c r="U70" s="3">
        <f t="shared" ca="1" si="75"/>
        <v>4.6381399304018855E-2</v>
      </c>
      <c r="V70" s="3">
        <f t="shared" ca="1" si="75"/>
        <v>4.8052354505171001E-2</v>
      </c>
      <c r="W70" s="3">
        <f t="shared" ca="1" si="75"/>
        <v>4.867657671732465E-2</v>
      </c>
      <c r="X70" s="3">
        <f t="shared" ca="1" si="75"/>
        <v>5.3311472520536932E-2</v>
      </c>
      <c r="Y70" s="3">
        <f t="shared" ca="1" si="75"/>
        <v>5.5286553940264334E-2</v>
      </c>
      <c r="Z70" s="3">
        <f t="shared" ca="1" si="75"/>
        <v>6.2420959586169944E-2</v>
      </c>
      <c r="AA70" s="3">
        <f t="shared" ca="1" si="75"/>
        <v>6.5904783769468359E-2</v>
      </c>
      <c r="AB70" s="3">
        <f t="shared" ref="AB70" ca="1" si="84">MIN(0.99,AB13+$O$3)</f>
        <v>6.6367403514328238E-2</v>
      </c>
      <c r="AC70" s="3">
        <f t="shared" ca="1" si="76"/>
        <v>7.303450020076005E-2</v>
      </c>
      <c r="AD70" s="3">
        <f t="shared" ca="1" si="76"/>
        <v>7.9626460417665773E-2</v>
      </c>
      <c r="AE70" s="3">
        <f t="shared" ca="1" si="76"/>
        <v>7.5559228185201957E-2</v>
      </c>
      <c r="AF70" s="3">
        <f t="shared" ca="1" si="76"/>
        <v>9.1035939468164517E-2</v>
      </c>
      <c r="AG70" s="3">
        <f t="shared" ca="1" si="76"/>
        <v>8.7056977902074534E-2</v>
      </c>
      <c r="AH70" s="3">
        <f t="shared" ca="1" si="76"/>
        <v>0.1239086403278484</v>
      </c>
      <c r="AI70" s="3">
        <f t="shared" ca="1" si="76"/>
        <v>0.10042491820607802</v>
      </c>
      <c r="AJ70" s="3">
        <f t="shared" ca="1" si="76"/>
        <v>0.18235829315247343</v>
      </c>
    </row>
    <row r="71" spans="1:36" x14ac:dyDescent="0.35">
      <c r="A71" t="s">
        <v>77</v>
      </c>
      <c r="B71" t="s">
        <v>76</v>
      </c>
      <c r="C71" s="4">
        <v>4</v>
      </c>
      <c r="D71" s="3">
        <f t="shared" ca="1" si="77"/>
        <v>3.1605763071766331E-2</v>
      </c>
      <c r="E71" s="3">
        <f t="shared" ca="1" si="75"/>
        <v>3.0997895215601423E-2</v>
      </c>
      <c r="F71" s="3">
        <f t="shared" ca="1" si="75"/>
        <v>3.3825605303605857E-2</v>
      </c>
      <c r="G71" s="3">
        <f t="shared" ca="1" si="75"/>
        <v>3.2827397933264973E-2</v>
      </c>
      <c r="H71" s="3">
        <f t="shared" ca="1" si="75"/>
        <v>3.7208762573832668E-2</v>
      </c>
      <c r="I71" s="3">
        <f t="shared" ca="1" si="75"/>
        <v>3.4099125429489091E-2</v>
      </c>
      <c r="J71" s="3">
        <f t="shared" ca="1" si="75"/>
        <v>3.9011887009740842E-2</v>
      </c>
      <c r="K71" s="3">
        <f t="shared" ca="1" si="75"/>
        <v>3.6138674576776546E-2</v>
      </c>
      <c r="L71" s="3">
        <f t="shared" ca="1" si="75"/>
        <v>4.1187253137641461E-2</v>
      </c>
      <c r="M71" s="3">
        <f t="shared" ca="1" si="75"/>
        <v>3.729787154084644E-2</v>
      </c>
      <c r="N71" s="3">
        <f t="shared" ca="1" si="75"/>
        <v>4.3702776317765576E-2</v>
      </c>
      <c r="O71" s="3">
        <f t="shared" ca="1" si="75"/>
        <v>3.9858233514777214E-2</v>
      </c>
      <c r="P71" s="3">
        <f t="shared" ca="1" si="75"/>
        <v>4.443024716333141E-2</v>
      </c>
      <c r="Q71" s="3">
        <f t="shared" ca="1" si="75"/>
        <v>4.1873212592507161E-2</v>
      </c>
      <c r="R71" s="3">
        <f t="shared" ca="1" si="75"/>
        <v>4.6474698323807767E-2</v>
      </c>
      <c r="S71" s="3">
        <f t="shared" ca="1" si="75"/>
        <v>4.4352057873673162E-2</v>
      </c>
      <c r="T71" s="3">
        <f t="shared" ca="1" si="75"/>
        <v>4.8240889128307679E-2</v>
      </c>
      <c r="U71" s="3">
        <f t="shared" ca="1" si="75"/>
        <v>4.737971016113568E-2</v>
      </c>
      <c r="V71" s="3">
        <f t="shared" ca="1" si="75"/>
        <v>4.8963594320448715E-2</v>
      </c>
      <c r="W71" s="3">
        <f t="shared" ca="1" si="75"/>
        <v>4.9674659260482992E-2</v>
      </c>
      <c r="X71" s="3">
        <f t="shared" ca="1" si="75"/>
        <v>5.4243883571752846E-2</v>
      </c>
      <c r="Y71" s="3">
        <f t="shared" ca="1" si="75"/>
        <v>5.620251768882497E-2</v>
      </c>
      <c r="Z71" s="3">
        <f t="shared" ca="1" si="75"/>
        <v>6.332362682732981E-2</v>
      </c>
      <c r="AA71" s="3">
        <f t="shared" ca="1" si="75"/>
        <v>6.6859272920559765E-2</v>
      </c>
      <c r="AB71" s="3">
        <f t="shared" ref="AB71" ca="1" si="85">MIN(0.99,AB14+$O$3)</f>
        <v>6.7319926905747757E-2</v>
      </c>
      <c r="AC71" s="3">
        <f t="shared" ca="1" si="76"/>
        <v>7.4022477486434812E-2</v>
      </c>
      <c r="AD71" s="3">
        <f t="shared" ca="1" si="76"/>
        <v>8.0553753814034651E-2</v>
      </c>
      <c r="AE71" s="3">
        <f t="shared" ca="1" si="76"/>
        <v>7.6475967244516579E-2</v>
      </c>
      <c r="AF71" s="3">
        <f t="shared" ca="1" si="76"/>
        <v>9.1972840735966954E-2</v>
      </c>
      <c r="AG71" s="3">
        <f t="shared" ca="1" si="76"/>
        <v>8.7975401829885391E-2</v>
      </c>
      <c r="AH71" s="3">
        <f t="shared" ca="1" si="76"/>
        <v>0.1248916016526235</v>
      </c>
      <c r="AI71" s="3">
        <f t="shared" ca="1" si="76"/>
        <v>0.10138635769837484</v>
      </c>
      <c r="AJ71" s="3">
        <f t="shared" ca="1" si="76"/>
        <v>0.18328569293228103</v>
      </c>
    </row>
    <row r="72" spans="1:36" x14ac:dyDescent="0.35">
      <c r="A72" t="s">
        <v>77</v>
      </c>
      <c r="B72" t="s">
        <v>76</v>
      </c>
      <c r="C72" s="4" t="s">
        <v>69</v>
      </c>
      <c r="D72" s="3">
        <f t="shared" ca="1" si="77"/>
        <v>3.260479549202816E-2</v>
      </c>
      <c r="E72" s="3">
        <f t="shared" ca="1" si="75"/>
        <v>3.1924145847593885E-2</v>
      </c>
      <c r="F72" s="3">
        <f t="shared" ca="1" si="75"/>
        <v>3.4807046171304798E-2</v>
      </c>
      <c r="G72" s="3">
        <f t="shared" ca="1" si="75"/>
        <v>3.3762862771956531E-2</v>
      </c>
      <c r="H72" s="3">
        <f t="shared" ca="1" si="75"/>
        <v>3.8113123246618918E-2</v>
      </c>
      <c r="I72" s="3">
        <f t="shared" ca="1" si="75"/>
        <v>3.5035137498233448E-2</v>
      </c>
      <c r="J72" s="3">
        <f t="shared" ca="1" si="75"/>
        <v>4.0004688200511743E-2</v>
      </c>
      <c r="K72" s="3">
        <f t="shared" ca="1" si="75"/>
        <v>3.7121925295792897E-2</v>
      </c>
      <c r="L72" s="3">
        <f t="shared" ca="1" si="75"/>
        <v>4.216250186013358E-2</v>
      </c>
      <c r="M72" s="3">
        <f t="shared" ca="1" si="75"/>
        <v>3.8202856022794662E-2</v>
      </c>
      <c r="N72" s="3">
        <f t="shared" ca="1" si="75"/>
        <v>4.4633497885896108E-2</v>
      </c>
      <c r="O72" s="3">
        <f t="shared" ca="1" si="75"/>
        <v>4.0842241202363294E-2</v>
      </c>
      <c r="P72" s="3">
        <f t="shared" ca="1" si="75"/>
        <v>4.5382633504005718E-2</v>
      </c>
      <c r="Q72" s="3">
        <f t="shared" ca="1" si="75"/>
        <v>4.2826690092024639E-2</v>
      </c>
      <c r="R72" s="3">
        <f t="shared" ca="1" si="75"/>
        <v>4.7423281862646299E-2</v>
      </c>
      <c r="S72" s="3">
        <f t="shared" ca="1" si="75"/>
        <v>4.526866223421111E-2</v>
      </c>
      <c r="T72" s="3">
        <f t="shared" ca="1" si="75"/>
        <v>4.9235181609278672E-2</v>
      </c>
      <c r="U72" s="3">
        <f t="shared" ca="1" si="75"/>
        <v>4.8354105863839016E-2</v>
      </c>
      <c r="V72" s="3">
        <f t="shared" ca="1" si="75"/>
        <v>4.9954502017220979E-2</v>
      </c>
      <c r="W72" s="3">
        <f t="shared" ca="1" si="75"/>
        <v>5.0668357119408008E-2</v>
      </c>
      <c r="X72" s="3">
        <f t="shared" ca="1" si="75"/>
        <v>5.5169876040847075E-2</v>
      </c>
      <c r="Y72" s="3">
        <f t="shared" ca="1" si="75"/>
        <v>5.712188973899715E-2</v>
      </c>
      <c r="Z72" s="3">
        <f t="shared" ca="1" si="75"/>
        <v>6.427068927649332E-2</v>
      </c>
      <c r="AA72" s="3">
        <f t="shared" ca="1" si="75"/>
        <v>6.7849121588289985E-2</v>
      </c>
      <c r="AB72" s="3">
        <f t="shared" ref="AB72" ca="1" si="86">MIN(0.99,AB15+$O$3)</f>
        <v>6.8243259391546657E-2</v>
      </c>
      <c r="AC72" s="3">
        <f t="shared" ca="1" si="76"/>
        <v>7.4934916575293664E-2</v>
      </c>
      <c r="AD72" s="3">
        <f t="shared" ca="1" si="76"/>
        <v>8.15499560823989E-2</v>
      </c>
      <c r="AE72" s="3">
        <f t="shared" ca="1" si="76"/>
        <v>7.7377590022236903E-2</v>
      </c>
      <c r="AF72" s="3">
        <f t="shared" ca="1" si="76"/>
        <v>9.2910108159014904E-2</v>
      </c>
      <c r="AG72" s="3">
        <f t="shared" ca="1" si="76"/>
        <v>8.8957240044452823E-2</v>
      </c>
      <c r="AH72" s="3">
        <f t="shared" ca="1" si="76"/>
        <v>0.12589029219687406</v>
      </c>
      <c r="AI72" s="3">
        <f t="shared" ca="1" si="76"/>
        <v>0.10233622676338239</v>
      </c>
      <c r="AJ72" s="3">
        <f t="shared" ca="1" si="76"/>
        <v>0.18426319982329789</v>
      </c>
    </row>
    <row r="73" spans="1:36" x14ac:dyDescent="0.35">
      <c r="A73" t="s">
        <v>77</v>
      </c>
      <c r="B73" t="s">
        <v>76</v>
      </c>
      <c r="C73" s="4" t="s">
        <v>70</v>
      </c>
      <c r="D73" s="3">
        <f t="shared" ca="1" si="77"/>
        <v>3.3595701454816704E-2</v>
      </c>
      <c r="E73" s="3">
        <f t="shared" ca="1" si="75"/>
        <v>3.282630033272442E-2</v>
      </c>
      <c r="F73" s="3">
        <f t="shared" ca="1" si="75"/>
        <v>3.5724844055866518E-2</v>
      </c>
      <c r="G73" s="3">
        <f t="shared" ca="1" si="75"/>
        <v>3.4743669075720837E-2</v>
      </c>
      <c r="H73" s="3">
        <f t="shared" ca="1" si="75"/>
        <v>3.9100721665420057E-2</v>
      </c>
      <c r="I73" s="3">
        <f t="shared" ca="1" si="75"/>
        <v>3.5991388251080378E-2</v>
      </c>
      <c r="J73" s="3">
        <f t="shared" ca="1" si="75"/>
        <v>4.0955962784568249E-2</v>
      </c>
      <c r="K73" s="3">
        <f t="shared" ca="1" si="75"/>
        <v>3.8055103584210735E-2</v>
      </c>
      <c r="L73" s="3">
        <f t="shared" ca="1" si="75"/>
        <v>4.3093859252425051E-2</v>
      </c>
      <c r="M73" s="3">
        <f t="shared" ca="1" si="75"/>
        <v>3.9115008933823456E-2</v>
      </c>
      <c r="N73" s="3">
        <f t="shared" ca="1" si="75"/>
        <v>4.5612519349033584E-2</v>
      </c>
      <c r="O73" s="3">
        <f t="shared" ca="1" si="75"/>
        <v>4.1800808236020726E-2</v>
      </c>
      <c r="P73" s="3">
        <f t="shared" ca="1" si="75"/>
        <v>4.6359493816298711E-2</v>
      </c>
      <c r="Q73" s="3">
        <f t="shared" ca="1" si="75"/>
        <v>4.3734821483207925E-2</v>
      </c>
      <c r="R73" s="3">
        <f t="shared" ca="1" si="75"/>
        <v>4.8325420845434341E-2</v>
      </c>
      <c r="S73" s="3">
        <f t="shared" ca="1" si="75"/>
        <v>4.6255275634906626E-2</v>
      </c>
      <c r="T73" s="3">
        <f t="shared" ca="1" si="75"/>
        <v>5.0230006308613871E-2</v>
      </c>
      <c r="U73" s="3">
        <f t="shared" ca="1" si="75"/>
        <v>4.9317223571781851E-2</v>
      </c>
      <c r="V73" s="3">
        <f t="shared" ca="1" si="75"/>
        <v>5.0930349939370491E-2</v>
      </c>
      <c r="W73" s="3">
        <f t="shared" ca="1" si="75"/>
        <v>5.1657987878614961E-2</v>
      </c>
      <c r="X73" s="3">
        <f t="shared" ca="1" si="75"/>
        <v>5.6160536731102224E-2</v>
      </c>
      <c r="Y73" s="3">
        <f t="shared" ca="1" si="75"/>
        <v>5.8038793312184936E-2</v>
      </c>
      <c r="Z73" s="3">
        <f t="shared" ca="1" si="75"/>
        <v>6.5246164994766681E-2</v>
      </c>
      <c r="AA73" s="3">
        <f t="shared" ca="1" si="75"/>
        <v>6.8799512248973613E-2</v>
      </c>
      <c r="AB73" s="3">
        <f t="shared" ref="AB73" ca="1" si="87">MIN(0.99,AB16+$O$3)</f>
        <v>6.9155647278909799E-2</v>
      </c>
      <c r="AC73" s="3">
        <f t="shared" ca="1" si="76"/>
        <v>7.5907912030394417E-2</v>
      </c>
      <c r="AD73" s="3">
        <f t="shared" ca="1" si="76"/>
        <v>8.252575316855669E-2</v>
      </c>
      <c r="AE73" s="3">
        <f t="shared" ca="1" si="76"/>
        <v>7.8362169382365787E-2</v>
      </c>
      <c r="AF73" s="3">
        <f t="shared" ca="1" si="76"/>
        <v>9.3818524889749011E-2</v>
      </c>
      <c r="AG73" s="3">
        <f t="shared" ca="1" si="76"/>
        <v>8.9857867199433644E-2</v>
      </c>
      <c r="AH73" s="3">
        <f t="shared" ca="1" si="76"/>
        <v>0.1268646016736095</v>
      </c>
      <c r="AI73" s="3">
        <f t="shared" ca="1" si="76"/>
        <v>0.103272154106374</v>
      </c>
      <c r="AJ73" s="3">
        <f t="shared" ca="1" si="76"/>
        <v>0.18520454430720359</v>
      </c>
    </row>
    <row r="74" spans="1:36" x14ac:dyDescent="0.35">
      <c r="A74" t="s">
        <v>77</v>
      </c>
      <c r="B74" t="s">
        <v>76</v>
      </c>
      <c r="C74" s="4">
        <v>5</v>
      </c>
      <c r="D74" s="3">
        <f t="shared" ca="1" si="77"/>
        <v>3.4556052548276595E-2</v>
      </c>
      <c r="E74" s="3">
        <f t="shared" ca="1" si="75"/>
        <v>3.3817136750568418E-2</v>
      </c>
      <c r="F74" s="3">
        <f t="shared" ca="1" si="75"/>
        <v>3.6669192133634218E-2</v>
      </c>
      <c r="G74" s="3">
        <f t="shared" ca="1" si="75"/>
        <v>3.5727357810103215E-2</v>
      </c>
      <c r="H74" s="3">
        <f t="shared" ca="1" si="75"/>
        <v>4.0074700496994686E-2</v>
      </c>
      <c r="I74" s="3">
        <f t="shared" ca="1" si="75"/>
        <v>3.6985357524817526E-2</v>
      </c>
      <c r="J74" s="3">
        <f t="shared" ca="1" si="75"/>
        <v>4.1949883730470677E-2</v>
      </c>
      <c r="K74" s="3">
        <f t="shared" ca="1" si="75"/>
        <v>3.9043430289160824E-2</v>
      </c>
      <c r="L74" s="3">
        <f t="shared" ca="1" si="75"/>
        <v>4.4019932770059715E-2</v>
      </c>
      <c r="M74" s="3">
        <f t="shared" ca="1" si="75"/>
        <v>4.0038825879667284E-2</v>
      </c>
      <c r="N74" s="3">
        <f t="shared" ca="1" si="75"/>
        <v>4.6552625599673221E-2</v>
      </c>
      <c r="O74" s="3">
        <f t="shared" ca="1" si="75"/>
        <v>4.2733623665499376E-2</v>
      </c>
      <c r="P74" s="3">
        <f t="shared" ca="1" si="75"/>
        <v>4.7272893723451399E-2</v>
      </c>
      <c r="Q74" s="3">
        <f t="shared" ca="1" si="75"/>
        <v>4.4691908172848335E-2</v>
      </c>
      <c r="R74" s="3">
        <f t="shared" ca="1" si="75"/>
        <v>4.9299896175524938E-2</v>
      </c>
      <c r="S74" s="3">
        <f t="shared" ca="1" si="75"/>
        <v>4.7192504150817445E-2</v>
      </c>
      <c r="T74" s="3">
        <f t="shared" ca="1" si="75"/>
        <v>5.114265177362462E-2</v>
      </c>
      <c r="U74" s="3">
        <f t="shared" ca="1" si="75"/>
        <v>5.0306984623462073E-2</v>
      </c>
      <c r="V74" s="3">
        <f t="shared" ref="E74:AA85" ca="1" si="88">MIN(0.99,V17+$O$3)</f>
        <v>5.1860610285067346E-2</v>
      </c>
      <c r="W74" s="3">
        <f t="shared" ca="1" si="88"/>
        <v>5.260784751386826E-2</v>
      </c>
      <c r="X74" s="3">
        <f t="shared" ca="1" si="88"/>
        <v>5.7147155647595572E-2</v>
      </c>
      <c r="Y74" s="3">
        <f t="shared" ca="1" si="88"/>
        <v>5.9024896280166737E-2</v>
      </c>
      <c r="Z74" s="3">
        <f t="shared" ca="1" si="88"/>
        <v>6.6207747213607449E-2</v>
      </c>
      <c r="AA74" s="3">
        <f t="shared" ca="1" si="88"/>
        <v>6.9746265183318418E-2</v>
      </c>
      <c r="AB74" s="3">
        <f t="shared" ref="AB74" ca="1" si="89">MIN(0.99,AB17+$O$3)</f>
        <v>7.008825486435985E-2</v>
      </c>
      <c r="AC74" s="3">
        <f t="shared" ca="1" si="76"/>
        <v>7.6896931185810133E-2</v>
      </c>
      <c r="AD74" s="3">
        <f t="shared" ca="1" si="76"/>
        <v>8.3518731552202019E-2</v>
      </c>
      <c r="AE74" s="3">
        <f t="shared" ca="1" si="76"/>
        <v>7.9280456719436357E-2</v>
      </c>
      <c r="AF74" s="3">
        <f t="shared" ca="1" si="76"/>
        <v>9.4740520315356874E-2</v>
      </c>
      <c r="AG74" s="3">
        <f t="shared" ca="1" si="76"/>
        <v>9.0809165351764892E-2</v>
      </c>
      <c r="AH74" s="3">
        <f t="shared" ca="1" si="76"/>
        <v>0.12783627617163926</v>
      </c>
      <c r="AI74" s="3">
        <f t="shared" ca="1" si="76"/>
        <v>0.10423248602015364</v>
      </c>
      <c r="AJ74" s="3">
        <f t="shared" ca="1" si="76"/>
        <v>0.18620188865762402</v>
      </c>
    </row>
    <row r="75" spans="1:36" x14ac:dyDescent="0.35">
      <c r="A75" t="s">
        <v>77</v>
      </c>
      <c r="B75" t="s">
        <v>76</v>
      </c>
      <c r="C75" s="4" t="s">
        <v>71</v>
      </c>
      <c r="D75" s="3">
        <f t="shared" ca="1" si="77"/>
        <v>3.5486357486533227E-2</v>
      </c>
      <c r="E75" s="3">
        <f t="shared" ca="1" si="88"/>
        <v>3.4723575167571255E-2</v>
      </c>
      <c r="F75" s="3">
        <f t="shared" ca="1" si="88"/>
        <v>3.7587307073206747E-2</v>
      </c>
      <c r="G75" s="3">
        <f t="shared" ca="1" si="88"/>
        <v>3.6709671696559476E-2</v>
      </c>
      <c r="H75" s="3">
        <f t="shared" ca="1" si="88"/>
        <v>4.1072149445550168E-2</v>
      </c>
      <c r="I75" s="3">
        <f t="shared" ca="1" si="88"/>
        <v>3.7940827941307105E-2</v>
      </c>
      <c r="J75" s="3">
        <f t="shared" ca="1" si="88"/>
        <v>4.2940784219190037E-2</v>
      </c>
      <c r="K75" s="3">
        <f t="shared" ca="1" si="88"/>
        <v>4.0014875552333712E-2</v>
      </c>
      <c r="L75" s="3">
        <f t="shared" ca="1" si="88"/>
        <v>4.4945215523924623E-2</v>
      </c>
      <c r="M75" s="3">
        <f t="shared" ca="1" si="88"/>
        <v>4.1019866960198326E-2</v>
      </c>
      <c r="N75" s="3">
        <f t="shared" ca="1" si="88"/>
        <v>4.751800596778661E-2</v>
      </c>
      <c r="O75" s="3">
        <f t="shared" ca="1" si="88"/>
        <v>4.3707102656402992E-2</v>
      </c>
      <c r="P75" s="3">
        <f t="shared" ca="1" si="88"/>
        <v>4.8204471017043948E-2</v>
      </c>
      <c r="Q75" s="3">
        <f t="shared" ca="1" si="88"/>
        <v>4.5673985098210079E-2</v>
      </c>
      <c r="R75" s="3">
        <f t="shared" ca="1" si="88"/>
        <v>5.0225588545278935E-2</v>
      </c>
      <c r="S75" s="3">
        <f t="shared" ca="1" si="88"/>
        <v>4.8148034928200668E-2</v>
      </c>
      <c r="T75" s="3">
        <f t="shared" ca="1" si="88"/>
        <v>5.2070442126574266E-2</v>
      </c>
      <c r="U75" s="3">
        <f t="shared" ca="1" si="88"/>
        <v>5.1220894661883884E-2</v>
      </c>
      <c r="V75" s="3">
        <f t="shared" ca="1" si="88"/>
        <v>5.2794050154439456E-2</v>
      </c>
      <c r="W75" s="3">
        <f t="shared" ca="1" si="88"/>
        <v>5.353184426916853E-2</v>
      </c>
      <c r="X75" s="3">
        <f t="shared" ca="1" si="88"/>
        <v>5.8054211833679689E-2</v>
      </c>
      <c r="Y75" s="3">
        <f t="shared" ca="1" si="88"/>
        <v>5.9976082537919209E-2</v>
      </c>
      <c r="Z75" s="3">
        <f t="shared" ca="1" si="88"/>
        <v>6.7190807103522737E-2</v>
      </c>
      <c r="AA75" s="3">
        <f t="shared" ca="1" si="88"/>
        <v>7.067111476293117E-2</v>
      </c>
      <c r="AB75" s="3">
        <f t="shared" ref="AB75" ca="1" si="90">MIN(0.99,AB18+$O$3)</f>
        <v>7.0999948180492239E-2</v>
      </c>
      <c r="AC75" s="3">
        <f t="shared" ca="1" si="76"/>
        <v>7.7870842147789165E-2</v>
      </c>
      <c r="AD75" s="3">
        <f t="shared" ca="1" si="76"/>
        <v>8.4487348190474265E-2</v>
      </c>
      <c r="AE75" s="3">
        <f t="shared" ca="1" si="76"/>
        <v>8.0235560299499464E-2</v>
      </c>
      <c r="AF75" s="3">
        <f t="shared" ca="1" si="76"/>
        <v>9.5738035746347483E-2</v>
      </c>
      <c r="AG75" s="3">
        <f t="shared" ca="1" si="76"/>
        <v>9.1718538516937176E-2</v>
      </c>
      <c r="AH75" s="3">
        <f t="shared" ca="1" si="76"/>
        <v>0.12880549609748618</v>
      </c>
      <c r="AI75" s="3">
        <f t="shared" ca="1" si="76"/>
        <v>0.10517060711727394</v>
      </c>
      <c r="AJ75" s="3">
        <f t="shared" ca="1" si="76"/>
        <v>0.18715235118980422</v>
      </c>
    </row>
    <row r="76" spans="1:36" x14ac:dyDescent="0.35">
      <c r="A76" t="s">
        <v>77</v>
      </c>
      <c r="B76" t="s">
        <v>76</v>
      </c>
      <c r="C76" s="4" t="s">
        <v>72</v>
      </c>
      <c r="D76" s="3">
        <f t="shared" ca="1" si="77"/>
        <v>3.6408113325230793E-2</v>
      </c>
      <c r="E76" s="3">
        <f t="shared" ca="1" si="88"/>
        <v>3.5681929290234553E-2</v>
      </c>
      <c r="F76" s="3">
        <f t="shared" ca="1" si="88"/>
        <v>3.8562564904173931E-2</v>
      </c>
      <c r="G76" s="3">
        <f t="shared" ca="1" si="88"/>
        <v>3.7706714504824712E-2</v>
      </c>
      <c r="H76" s="3">
        <f t="shared" ca="1" si="88"/>
        <v>4.2048927787661769E-2</v>
      </c>
      <c r="I76" s="3">
        <f t="shared" ca="1" si="88"/>
        <v>3.8878257458817164E-2</v>
      </c>
      <c r="J76" s="3">
        <f t="shared" ca="1" si="88"/>
        <v>4.385130907302659E-2</v>
      </c>
      <c r="K76" s="3">
        <f t="shared" ca="1" si="88"/>
        <v>4.0944594783070706E-2</v>
      </c>
      <c r="L76" s="3">
        <f t="shared" ca="1" si="88"/>
        <v>4.5880720455501511E-2</v>
      </c>
      <c r="M76" s="3">
        <f t="shared" ca="1" si="88"/>
        <v>4.1980272273753491E-2</v>
      </c>
      <c r="N76" s="3">
        <f t="shared" ca="1" si="88"/>
        <v>4.8481510600265898E-2</v>
      </c>
      <c r="O76" s="3">
        <f t="shared" ca="1" si="88"/>
        <v>4.4649324957551667E-2</v>
      </c>
      <c r="P76" s="3">
        <f t="shared" ca="1" si="88"/>
        <v>4.9196919509375679E-2</v>
      </c>
      <c r="Q76" s="3">
        <f t="shared" ca="1" si="88"/>
        <v>4.6609181993810152E-2</v>
      </c>
      <c r="R76" s="3">
        <f t="shared" ca="1" si="88"/>
        <v>5.1135334864312348E-2</v>
      </c>
      <c r="S76" s="3">
        <f t="shared" ca="1" si="88"/>
        <v>4.9134854804348607E-2</v>
      </c>
      <c r="T76" s="3">
        <f t="shared" ca="1" si="88"/>
        <v>5.3055285638435742E-2</v>
      </c>
      <c r="U76" s="3">
        <f t="shared" ca="1" si="88"/>
        <v>5.2134458497370043E-2</v>
      </c>
      <c r="V76" s="3">
        <f t="shared" ca="1" si="88"/>
        <v>5.3711238886089085E-2</v>
      </c>
      <c r="W76" s="3">
        <f t="shared" ca="1" si="88"/>
        <v>5.4531781680966541E-2</v>
      </c>
      <c r="X76" s="3">
        <f t="shared" ca="1" si="88"/>
        <v>5.9008781199407244E-2</v>
      </c>
      <c r="Y76" s="3">
        <f t="shared" ca="1" si="88"/>
        <v>6.0879925180752296E-2</v>
      </c>
      <c r="Z76" s="3">
        <f t="shared" ca="1" si="88"/>
        <v>6.8137471712592684E-2</v>
      </c>
      <c r="AA76" s="3">
        <f t="shared" ca="1" si="88"/>
        <v>7.1633861457387413E-2</v>
      </c>
      <c r="AB76" s="3">
        <f t="shared" ref="AB76" ca="1" si="91">MIN(0.99,AB19+$O$3)</f>
        <v>7.1946540123321329E-2</v>
      </c>
      <c r="AC76" s="3">
        <f t="shared" ca="1" si="76"/>
        <v>7.8827303048571648E-2</v>
      </c>
      <c r="AD76" s="3">
        <f t="shared" ca="1" si="76"/>
        <v>8.5425484279590486E-2</v>
      </c>
      <c r="AE76" s="3">
        <f t="shared" ca="1" si="76"/>
        <v>8.1191378051954852E-2</v>
      </c>
      <c r="AF76" s="3">
        <f t="shared" ca="1" si="76"/>
        <v>9.6695385173499265E-2</v>
      </c>
      <c r="AG76" s="3">
        <f t="shared" ca="1" si="76"/>
        <v>9.2641256912083747E-2</v>
      </c>
      <c r="AH76" s="3">
        <f t="shared" ca="1" si="76"/>
        <v>0.12973485015729411</v>
      </c>
      <c r="AI76" s="3">
        <f t="shared" ca="1" si="76"/>
        <v>0.10615296267306668</v>
      </c>
      <c r="AJ76" s="3">
        <f t="shared" ca="1" si="76"/>
        <v>0.18814563104603746</v>
      </c>
    </row>
    <row r="77" spans="1:36" x14ac:dyDescent="0.35">
      <c r="A77" t="s">
        <v>77</v>
      </c>
      <c r="B77" t="s">
        <v>76</v>
      </c>
      <c r="C77" s="4">
        <v>6</v>
      </c>
      <c r="D77" s="3">
        <f t="shared" ca="1" si="77"/>
        <v>3.7394632355932281E-2</v>
      </c>
      <c r="E77" s="3">
        <f t="shared" ca="1" si="88"/>
        <v>3.6641195400122561E-2</v>
      </c>
      <c r="F77" s="3">
        <f t="shared" ca="1" si="88"/>
        <v>3.9511388668425726E-2</v>
      </c>
      <c r="G77" s="3">
        <f t="shared" ca="1" si="88"/>
        <v>3.862572381548976E-2</v>
      </c>
      <c r="H77" s="3">
        <f t="shared" ca="1" si="88"/>
        <v>4.2956837306065185E-2</v>
      </c>
      <c r="I77" s="3">
        <f t="shared" ca="1" si="88"/>
        <v>3.9805444461140385E-2</v>
      </c>
      <c r="J77" s="3">
        <f t="shared" ca="1" si="88"/>
        <v>4.4833474018499603E-2</v>
      </c>
      <c r="K77" s="3">
        <f t="shared" ca="1" si="88"/>
        <v>4.1919188002477285E-2</v>
      </c>
      <c r="L77" s="3">
        <f t="shared" ca="1" si="88"/>
        <v>4.6849290430718456E-2</v>
      </c>
      <c r="M77" s="3">
        <f t="shared" ca="1" si="88"/>
        <v>4.2908803782563697E-2</v>
      </c>
      <c r="N77" s="3">
        <f t="shared" ca="1" si="88"/>
        <v>4.9462944069891518E-2</v>
      </c>
      <c r="O77" s="3">
        <f t="shared" ca="1" si="88"/>
        <v>4.5627914167943359E-2</v>
      </c>
      <c r="P77" s="3">
        <f t="shared" ca="1" si="88"/>
        <v>5.0147134854824305E-2</v>
      </c>
      <c r="Q77" s="3">
        <f t="shared" ca="1" si="88"/>
        <v>4.7562169569610249E-2</v>
      </c>
      <c r="R77" s="3">
        <f t="shared" ca="1" si="88"/>
        <v>5.2104147945340448E-2</v>
      </c>
      <c r="S77" s="3">
        <f t="shared" ca="1" si="88"/>
        <v>5.0060606825952453E-2</v>
      </c>
      <c r="T77" s="3">
        <f t="shared" ca="1" si="88"/>
        <v>5.3999879297719947E-2</v>
      </c>
      <c r="U77" s="3">
        <f t="shared" ca="1" si="88"/>
        <v>5.3059677072176417E-2</v>
      </c>
      <c r="V77" s="3">
        <f t="shared" ca="1" si="88"/>
        <v>5.4621595809218555E-2</v>
      </c>
      <c r="W77" s="3">
        <f t="shared" ca="1" si="88"/>
        <v>5.5446684763107427E-2</v>
      </c>
      <c r="X77" s="3">
        <f t="shared" ca="1" si="88"/>
        <v>5.9973307693038533E-2</v>
      </c>
      <c r="Y77" s="3">
        <f t="shared" ca="1" si="88"/>
        <v>6.1842944705607375E-2</v>
      </c>
      <c r="Z77" s="3">
        <f t="shared" ca="1" si="88"/>
        <v>6.907591385737831E-2</v>
      </c>
      <c r="AA77" s="3">
        <f t="shared" ca="1" si="88"/>
        <v>7.2558862356386505E-2</v>
      </c>
      <c r="AB77" s="3">
        <f t="shared" ref="AB77" ca="1" si="92">MIN(0.99,AB20+$O$3)</f>
        <v>7.2921368682532239E-2</v>
      </c>
      <c r="AC77" s="3">
        <f t="shared" ca="1" si="76"/>
        <v>7.973614607959395E-2</v>
      </c>
      <c r="AD77" s="3">
        <f t="shared" ca="1" si="76"/>
        <v>8.6419592924496497E-2</v>
      </c>
      <c r="AE77" s="3">
        <f t="shared" ca="1" si="76"/>
        <v>8.2175306703845097E-2</v>
      </c>
      <c r="AF77" s="3">
        <f t="shared" ca="1" si="76"/>
        <v>9.7688123714337299E-2</v>
      </c>
      <c r="AG77" s="3">
        <f t="shared" ca="1" si="76"/>
        <v>9.3542829353237072E-2</v>
      </c>
      <c r="AH77" s="3">
        <f t="shared" ca="1" si="76"/>
        <v>0.13069830910672001</v>
      </c>
      <c r="AI77" s="3">
        <f t="shared" ca="1" si="76"/>
        <v>0.10705875379895599</v>
      </c>
      <c r="AJ77" s="3">
        <f t="shared" ca="1" si="76"/>
        <v>0.1890626556579712</v>
      </c>
    </row>
    <row r="78" spans="1:36" x14ac:dyDescent="0.35">
      <c r="A78" t="s">
        <v>77</v>
      </c>
      <c r="B78" t="s">
        <v>76</v>
      </c>
      <c r="C78" s="4" t="s">
        <v>73</v>
      </c>
      <c r="D78" s="3">
        <f t="shared" ca="1" si="77"/>
        <v>3.8386936351762144E-2</v>
      </c>
      <c r="E78" s="3">
        <f t="shared" ca="1" si="88"/>
        <v>3.7547628701309919E-2</v>
      </c>
      <c r="F78" s="3">
        <f t="shared" ca="1" si="88"/>
        <v>4.050001389215438E-2</v>
      </c>
      <c r="G78" s="3">
        <f t="shared" ca="1" si="88"/>
        <v>3.9621741231034874E-2</v>
      </c>
      <c r="H78" s="3">
        <f t="shared" ca="1" si="88"/>
        <v>4.3921713832228468E-2</v>
      </c>
      <c r="I78" s="3">
        <f t="shared" ca="1" si="88"/>
        <v>4.0744135370678419E-2</v>
      </c>
      <c r="J78" s="3">
        <f t="shared" ca="1" si="88"/>
        <v>4.5785054890590246E-2</v>
      </c>
      <c r="K78" s="3">
        <f t="shared" ca="1" si="88"/>
        <v>4.2844510714854116E-2</v>
      </c>
      <c r="L78" s="3">
        <f t="shared" ca="1" si="88"/>
        <v>4.7760181910827648E-2</v>
      </c>
      <c r="M78" s="3">
        <f t="shared" ca="1" si="88"/>
        <v>4.3897262463629565E-2</v>
      </c>
      <c r="N78" s="3">
        <f t="shared" ca="1" si="88"/>
        <v>5.0412569454329814E-2</v>
      </c>
      <c r="O78" s="3">
        <f t="shared" ca="1" si="88"/>
        <v>4.6570225178357696E-2</v>
      </c>
      <c r="P78" s="3">
        <f t="shared" ca="1" si="88"/>
        <v>5.1058277735596548E-2</v>
      </c>
      <c r="Q78" s="3">
        <f t="shared" ca="1" si="88"/>
        <v>4.8555017233816625E-2</v>
      </c>
      <c r="R78" s="3">
        <f t="shared" ca="1" si="88"/>
        <v>5.3078642714833042E-2</v>
      </c>
      <c r="S78" s="3">
        <f t="shared" ca="1" si="88"/>
        <v>5.0981916774979943E-2</v>
      </c>
      <c r="T78" s="3">
        <f t="shared" ca="1" si="88"/>
        <v>5.4965951382485029E-2</v>
      </c>
      <c r="U78" s="3">
        <f t="shared" ca="1" si="88"/>
        <v>5.3990554205338229E-2</v>
      </c>
      <c r="V78" s="3">
        <f t="shared" ca="1" si="88"/>
        <v>5.5530191387907157E-2</v>
      </c>
      <c r="W78" s="3">
        <f t="shared" ca="1" si="88"/>
        <v>5.6425487108905235E-2</v>
      </c>
      <c r="X78" s="3">
        <f t="shared" ca="1" si="88"/>
        <v>6.0967195172722449E-2</v>
      </c>
      <c r="Y78" s="3">
        <f t="shared" ca="1" si="88"/>
        <v>6.2804531296219851E-2</v>
      </c>
      <c r="Z78" s="3">
        <f t="shared" ca="1" si="88"/>
        <v>7.0001829703067509E-2</v>
      </c>
      <c r="AA78" s="3">
        <f t="shared" ca="1" si="88"/>
        <v>7.3524644663008648E-2</v>
      </c>
      <c r="AB78" s="3">
        <f t="shared" ref="AB78" ca="1" si="93">MIN(0.99,AB21+$O$3)</f>
        <v>7.3873881910314604E-2</v>
      </c>
      <c r="AC78" s="3">
        <f t="shared" ca="1" si="76"/>
        <v>8.0673874968464343E-2</v>
      </c>
      <c r="AD78" s="3">
        <f t="shared" ca="1" si="76"/>
        <v>8.7384887718954946E-2</v>
      </c>
      <c r="AE78" s="3">
        <f t="shared" ca="1" si="76"/>
        <v>8.3078567578935128E-2</v>
      </c>
      <c r="AF78" s="3">
        <f t="shared" ca="1" si="76"/>
        <v>9.86393113393772E-2</v>
      </c>
      <c r="AG78" s="3">
        <f t="shared" ca="1" si="76"/>
        <v>9.454180207611243E-2</v>
      </c>
      <c r="AH78" s="3">
        <f t="shared" ca="1" si="76"/>
        <v>0.13165107764986414</v>
      </c>
      <c r="AI78" s="3">
        <f t="shared" ca="1" si="76"/>
        <v>0.10798371906548915</v>
      </c>
      <c r="AJ78" s="3">
        <f t="shared" ca="1" si="76"/>
        <v>0.1899929887846348</v>
      </c>
    </row>
    <row r="79" spans="1:36" x14ac:dyDescent="0.35">
      <c r="A79" t="s">
        <v>77</v>
      </c>
      <c r="B79" t="s">
        <v>76</v>
      </c>
      <c r="C79" s="4" t="s">
        <v>74</v>
      </c>
      <c r="D79" s="3">
        <f t="shared" ca="1" si="77"/>
        <v>3.9316337697384303E-2</v>
      </c>
      <c r="E79" s="3">
        <f t="shared" ca="1" si="88"/>
        <v>3.8538279054390535E-2</v>
      </c>
      <c r="F79" s="3">
        <f t="shared" ca="1" si="88"/>
        <v>4.1402286295640925E-2</v>
      </c>
      <c r="G79" s="3">
        <f t="shared" ca="1" si="88"/>
        <v>4.0541311257806245E-2</v>
      </c>
      <c r="H79" s="3">
        <f t="shared" ca="1" si="88"/>
        <v>4.4876947885218725E-2</v>
      </c>
      <c r="I79" s="3">
        <f t="shared" ca="1" si="88"/>
        <v>4.1689346036882333E-2</v>
      </c>
      <c r="J79" s="3">
        <f t="shared" ca="1" si="88"/>
        <v>4.6738976535387833E-2</v>
      </c>
      <c r="K79" s="3">
        <f t="shared" ca="1" si="88"/>
        <v>4.3794991529974181E-2</v>
      </c>
      <c r="L79" s="3">
        <f t="shared" ca="1" si="88"/>
        <v>4.8733787315479705E-2</v>
      </c>
      <c r="M79" s="3">
        <f t="shared" ca="1" si="88"/>
        <v>4.4849105925949803E-2</v>
      </c>
      <c r="N79" s="3">
        <f t="shared" ca="1" si="88"/>
        <v>5.1356862334789463E-2</v>
      </c>
      <c r="O79" s="3">
        <f t="shared" ca="1" si="88"/>
        <v>4.7501735513536883E-2</v>
      </c>
      <c r="P79" s="3">
        <f t="shared" ca="1" si="88"/>
        <v>5.2012636013329172E-2</v>
      </c>
      <c r="Q79" s="3">
        <f t="shared" ca="1" si="88"/>
        <v>4.9543480492738406E-2</v>
      </c>
      <c r="R79" s="3">
        <f t="shared" ca="1" si="88"/>
        <v>5.4062942723031748E-2</v>
      </c>
      <c r="S79" s="3">
        <f t="shared" ca="1" si="88"/>
        <v>5.1978071046557342E-2</v>
      </c>
      <c r="T79" s="3">
        <f t="shared" ca="1" si="88"/>
        <v>5.587394153583726E-2</v>
      </c>
      <c r="U79" s="3">
        <f t="shared" ca="1" si="88"/>
        <v>5.4901813714334384E-2</v>
      </c>
      <c r="V79" s="3">
        <f t="shared" ca="1" si="88"/>
        <v>5.6524863128918953E-2</v>
      </c>
      <c r="W79" s="3">
        <f t="shared" ca="1" si="88"/>
        <v>5.7344331226903335E-2</v>
      </c>
      <c r="X79" s="3">
        <f t="shared" ca="1" si="88"/>
        <v>6.1933285833749227E-2</v>
      </c>
      <c r="Y79" s="3">
        <f t="shared" ca="1" si="88"/>
        <v>6.373923200464704E-2</v>
      </c>
      <c r="Z79" s="3">
        <f t="shared" ca="1" si="88"/>
        <v>7.0929645632501398E-2</v>
      </c>
      <c r="AA79" s="3">
        <f t="shared" ca="1" si="88"/>
        <v>7.450060868617861E-2</v>
      </c>
      <c r="AB79" s="3">
        <f t="shared" ref="AB79:AJ94" ca="1" si="94">MIN(0.99,AB22+$O$3)</f>
        <v>7.4821075526127517E-2</v>
      </c>
      <c r="AC79" s="3">
        <f t="shared" ca="1" si="94"/>
        <v>8.1600282742797306E-2</v>
      </c>
      <c r="AD79" s="3">
        <f t="shared" ca="1" si="94"/>
        <v>8.8287347364944507E-2</v>
      </c>
      <c r="AE79" s="3">
        <f t="shared" ca="1" si="94"/>
        <v>8.4028208709063079E-2</v>
      </c>
      <c r="AF79" s="3">
        <f t="shared" ca="1" si="94"/>
        <v>9.954018022247707E-2</v>
      </c>
      <c r="AG79" s="3">
        <f t="shared" ca="1" si="94"/>
        <v>9.5502936802017241E-2</v>
      </c>
      <c r="AH79" s="3">
        <f t="shared" ca="1" si="94"/>
        <v>0.13259289197554838</v>
      </c>
      <c r="AI79" s="3">
        <f t="shared" ca="1" si="94"/>
        <v>0.10896916048003796</v>
      </c>
      <c r="AJ79" s="3">
        <f t="shared" ca="1" si="94"/>
        <v>0.19093474800599616</v>
      </c>
    </row>
    <row r="80" spans="1:36" x14ac:dyDescent="0.35">
      <c r="A80" t="s">
        <v>77</v>
      </c>
      <c r="B80" t="s">
        <v>76</v>
      </c>
      <c r="C80" s="4">
        <v>7</v>
      </c>
      <c r="D80" s="3">
        <f t="shared" ca="1" si="77"/>
        <v>4.0226710086550307E-2</v>
      </c>
      <c r="E80" s="3">
        <f t="shared" ca="1" si="88"/>
        <v>3.9453362690508274E-2</v>
      </c>
      <c r="F80" s="3">
        <f t="shared" ca="1" si="88"/>
        <v>4.234534418711669E-2</v>
      </c>
      <c r="G80" s="3">
        <f t="shared" ca="1" si="88"/>
        <v>4.1458083368384004E-2</v>
      </c>
      <c r="H80" s="3">
        <f t="shared" ca="1" si="88"/>
        <v>4.5794438285014352E-2</v>
      </c>
      <c r="I80" s="3">
        <f t="shared" ca="1" si="88"/>
        <v>4.2673062716267599E-2</v>
      </c>
      <c r="J80" s="3">
        <f t="shared" ca="1" si="88"/>
        <v>4.7729653518105847E-2</v>
      </c>
      <c r="K80" s="3">
        <f t="shared" ca="1" si="88"/>
        <v>4.4736860398129713E-2</v>
      </c>
      <c r="L80" s="3">
        <f t="shared" ca="1" si="88"/>
        <v>4.9668287764437408E-2</v>
      </c>
      <c r="M80" s="3">
        <f t="shared" ca="1" si="88"/>
        <v>4.5834791632298297E-2</v>
      </c>
      <c r="N80" s="3">
        <f t="shared" ca="1" si="88"/>
        <v>5.2265929075964029E-2</v>
      </c>
      <c r="O80" s="3">
        <f t="shared" ca="1" si="88"/>
        <v>4.8415459108561418E-2</v>
      </c>
      <c r="P80" s="3">
        <f t="shared" ca="1" si="88"/>
        <v>5.3000408365831225E-2</v>
      </c>
      <c r="Q80" s="3">
        <f t="shared" ca="1" si="88"/>
        <v>5.0480505227598629E-2</v>
      </c>
      <c r="R80" s="3">
        <f t="shared" ca="1" si="88"/>
        <v>5.5054880705174676E-2</v>
      </c>
      <c r="S80" s="3">
        <f t="shared" ca="1" si="88"/>
        <v>5.2895950672121751E-2</v>
      </c>
      <c r="T80" s="3">
        <f t="shared" ca="1" si="88"/>
        <v>5.6868544012707703E-2</v>
      </c>
      <c r="U80" s="3">
        <f t="shared" ca="1" si="88"/>
        <v>5.5885630716157327E-2</v>
      </c>
      <c r="V80" s="3">
        <f t="shared" ca="1" si="88"/>
        <v>5.7460831225618056E-2</v>
      </c>
      <c r="W80" s="3">
        <f t="shared" ca="1" si="88"/>
        <v>5.8329980357340432E-2</v>
      </c>
      <c r="X80" s="3">
        <f t="shared" ca="1" si="88"/>
        <v>6.2848456895077037E-2</v>
      </c>
      <c r="Y80" s="3">
        <f t="shared" ca="1" si="88"/>
        <v>6.4668428605155398E-2</v>
      </c>
      <c r="Z80" s="3">
        <f t="shared" ca="1" si="88"/>
        <v>7.1887780807242896E-2</v>
      </c>
      <c r="AA80" s="3">
        <f t="shared" ca="1" si="88"/>
        <v>7.5483147803501002E-2</v>
      </c>
      <c r="AB80" s="3">
        <f t="shared" ref="AB80" ca="1" si="95">MIN(0.99,AB23+$O$3)</f>
        <v>7.5789868959764417E-2</v>
      </c>
      <c r="AC80" s="3">
        <f t="shared" ca="1" si="94"/>
        <v>8.2587536934887462E-2</v>
      </c>
      <c r="AD80" s="3">
        <f t="shared" ca="1" si="94"/>
        <v>8.919182283658128E-2</v>
      </c>
      <c r="AE80" s="3">
        <f t="shared" ca="1" si="94"/>
        <v>8.4967285148231542E-2</v>
      </c>
      <c r="AF80" s="3">
        <f t="shared" ca="1" si="94"/>
        <v>0.1004695322364304</v>
      </c>
      <c r="AG80" s="3">
        <f t="shared" ca="1" si="94"/>
        <v>9.6439550165172555E-2</v>
      </c>
      <c r="AH80" s="3">
        <f t="shared" ca="1" si="94"/>
        <v>0.13356056495424173</v>
      </c>
      <c r="AI80" s="3">
        <f t="shared" ca="1" si="94"/>
        <v>0.10995816250837653</v>
      </c>
      <c r="AJ80" s="3">
        <f t="shared" ca="1" si="94"/>
        <v>0.19189210828009404</v>
      </c>
    </row>
    <row r="81" spans="1:36" x14ac:dyDescent="0.35">
      <c r="A81" t="s">
        <v>77</v>
      </c>
      <c r="B81" t="s">
        <v>76</v>
      </c>
      <c r="C81" s="4" t="s">
        <v>75</v>
      </c>
      <c r="D81" s="3">
        <f t="shared" ca="1" si="77"/>
        <v>4.1128009240577364E-2</v>
      </c>
      <c r="E81" s="3">
        <f t="shared" ca="1" si="88"/>
        <v>4.0361062024404468E-2</v>
      </c>
      <c r="F81" s="3">
        <f t="shared" ca="1" si="88"/>
        <v>4.3344876758119391E-2</v>
      </c>
      <c r="G81" s="3">
        <f t="shared" ca="1" si="88"/>
        <v>4.2401094330894812E-2</v>
      </c>
      <c r="H81" s="3">
        <f t="shared" ca="1" si="88"/>
        <v>4.6754541829204535E-2</v>
      </c>
      <c r="I81" s="3">
        <f t="shared" ca="1" si="88"/>
        <v>4.3672201740085084E-2</v>
      </c>
      <c r="J81" s="3">
        <f t="shared" ca="1" si="88"/>
        <v>4.8680685814814349E-2</v>
      </c>
      <c r="K81" s="3">
        <f t="shared" ca="1" si="88"/>
        <v>4.5664797669197114E-2</v>
      </c>
      <c r="L81" s="3">
        <f t="shared" ca="1" si="88"/>
        <v>5.0644006949034044E-2</v>
      </c>
      <c r="M81" s="3">
        <f t="shared" ca="1" si="88"/>
        <v>4.6795570610540668E-2</v>
      </c>
      <c r="N81" s="3">
        <f t="shared" ca="1" si="88"/>
        <v>5.3248120067561994E-2</v>
      </c>
      <c r="O81" s="3">
        <f t="shared" ca="1" si="88"/>
        <v>4.9361415936595293E-2</v>
      </c>
      <c r="P81" s="3">
        <f t="shared" ca="1" si="88"/>
        <v>5.3999578985167787E-2</v>
      </c>
      <c r="Q81" s="3">
        <f t="shared" ca="1" si="88"/>
        <v>5.1436850770994191E-2</v>
      </c>
      <c r="R81" s="3">
        <f t="shared" ca="1" si="88"/>
        <v>5.6033607776862088E-2</v>
      </c>
      <c r="S81" s="3">
        <f t="shared" ca="1" si="88"/>
        <v>5.3838425467124876E-2</v>
      </c>
      <c r="T81" s="3">
        <f t="shared" ca="1" si="88"/>
        <v>5.7854553001836048E-2</v>
      </c>
      <c r="U81" s="3">
        <f t="shared" ca="1" si="88"/>
        <v>5.6879868880372109E-2</v>
      </c>
      <c r="V81" s="3">
        <f t="shared" ca="1" si="88"/>
        <v>5.840107830483629E-2</v>
      </c>
      <c r="W81" s="3">
        <f t="shared" ca="1" si="88"/>
        <v>5.9238380121084712E-2</v>
      </c>
      <c r="X81" s="3">
        <f t="shared" ca="1" si="88"/>
        <v>6.3779280047233516E-2</v>
      </c>
      <c r="Y81" s="3">
        <f t="shared" ca="1" si="88"/>
        <v>6.5589542216064403E-2</v>
      </c>
      <c r="Z81" s="3">
        <f t="shared" ca="1" si="88"/>
        <v>7.2838985429889008E-2</v>
      </c>
      <c r="AA81" s="3">
        <f t="shared" ca="1" si="88"/>
        <v>7.6417358121150136E-2</v>
      </c>
      <c r="AB81" s="3">
        <f t="shared" ref="AB81" ca="1" si="96">MIN(0.99,AB24+$O$3)</f>
        <v>7.6725257440567129E-2</v>
      </c>
      <c r="AC81" s="3">
        <f t="shared" ca="1" si="94"/>
        <v>8.3514150933259548E-2</v>
      </c>
      <c r="AD81" s="3">
        <f t="shared" ca="1" si="94"/>
        <v>9.0142020288133756E-2</v>
      </c>
      <c r="AE81" s="3">
        <f t="shared" ca="1" si="94"/>
        <v>8.5890499199080428E-2</v>
      </c>
      <c r="AF81" s="3">
        <f t="shared" ca="1" si="94"/>
        <v>0.10142310108006677</v>
      </c>
      <c r="AG81" s="3">
        <f t="shared" ca="1" si="94"/>
        <v>9.7406791801274178E-2</v>
      </c>
      <c r="AH81" s="3">
        <f t="shared" ca="1" si="94"/>
        <v>0.13448382515303334</v>
      </c>
      <c r="AI81" s="3">
        <f t="shared" ca="1" si="94"/>
        <v>0.11094396138240331</v>
      </c>
      <c r="AJ81" s="3">
        <f t="shared" ca="1" si="94"/>
        <v>0.19286470460936239</v>
      </c>
    </row>
    <row r="82" spans="1:36" x14ac:dyDescent="0.35">
      <c r="A82" t="s">
        <v>77</v>
      </c>
      <c r="B82" t="s">
        <v>61</v>
      </c>
      <c r="C82" s="4">
        <v>1</v>
      </c>
      <c r="D82" s="3">
        <f t="shared" ca="1" si="77"/>
        <v>2.4970796962687603E-2</v>
      </c>
      <c r="E82" s="3">
        <f t="shared" ca="1" si="88"/>
        <v>2.4569066030509051E-2</v>
      </c>
      <c r="F82" s="3">
        <f t="shared" ca="1" si="88"/>
        <v>2.7121521499594799E-2</v>
      </c>
      <c r="G82" s="3">
        <f t="shared" ca="1" si="88"/>
        <v>2.629327583020968E-2</v>
      </c>
      <c r="H82" s="3">
        <f t="shared" ca="1" si="88"/>
        <v>3.0638803378704539E-2</v>
      </c>
      <c r="I82" s="3">
        <f t="shared" ca="1" si="88"/>
        <v>2.7418723641604841E-2</v>
      </c>
      <c r="J82" s="3">
        <f t="shared" ca="1" si="88"/>
        <v>3.2437289767064809E-2</v>
      </c>
      <c r="K82" s="3">
        <f t="shared" ca="1" si="88"/>
        <v>2.9604792648923309E-2</v>
      </c>
      <c r="L82" s="3">
        <f t="shared" ca="1" si="88"/>
        <v>3.4562939556702796E-2</v>
      </c>
      <c r="M82" s="3">
        <f t="shared" ca="1" si="88"/>
        <v>3.072951084297755E-2</v>
      </c>
      <c r="N82" s="3">
        <f t="shared" ca="1" si="88"/>
        <v>3.7083641457633196E-2</v>
      </c>
      <c r="O82" s="3">
        <f t="shared" ca="1" si="88"/>
        <v>3.3371449619040525E-2</v>
      </c>
      <c r="P82" s="3">
        <f t="shared" ca="1" si="88"/>
        <v>3.7998260665686123E-2</v>
      </c>
      <c r="Q82" s="3">
        <f t="shared" ca="1" si="88"/>
        <v>3.5318788149466117E-2</v>
      </c>
      <c r="R82" s="3">
        <f t="shared" ca="1" si="88"/>
        <v>3.9796118680641229E-2</v>
      </c>
      <c r="S82" s="3">
        <f t="shared" ca="1" si="88"/>
        <v>3.7624021436794039E-2</v>
      </c>
      <c r="T82" s="3">
        <f t="shared" ca="1" si="88"/>
        <v>4.1683665660623911E-2</v>
      </c>
      <c r="U82" s="3">
        <f t="shared" ca="1" si="88"/>
        <v>4.073076720537229E-2</v>
      </c>
      <c r="V82" s="3">
        <f t="shared" ca="1" si="88"/>
        <v>4.2270831647034782E-2</v>
      </c>
      <c r="W82" s="3">
        <f t="shared" ca="1" si="88"/>
        <v>4.3103070506232175E-2</v>
      </c>
      <c r="X82" s="3">
        <f t="shared" ca="1" si="88"/>
        <v>4.7690411886367974E-2</v>
      </c>
      <c r="Y82" s="3">
        <f t="shared" ca="1" si="88"/>
        <v>4.9553909995353071E-2</v>
      </c>
      <c r="Z82" s="3">
        <f t="shared" ca="1" si="88"/>
        <v>5.687935842019947E-2</v>
      </c>
      <c r="AA82" s="3">
        <f t="shared" ca="1" si="88"/>
        <v>6.0237765728436345E-2</v>
      </c>
      <c r="AB82" s="3">
        <f t="shared" ref="AB82" ca="1" si="97">MIN(0.99,AB25+$O$3)</f>
        <v>6.069767664916171E-2</v>
      </c>
      <c r="AC82" s="3">
        <f t="shared" ca="1" si="94"/>
        <v>6.7366275859263414E-2</v>
      </c>
      <c r="AD82" s="3">
        <f t="shared" ca="1" si="94"/>
        <v>7.3869002402212641E-2</v>
      </c>
      <c r="AE82" s="3">
        <f t="shared" ca="1" si="94"/>
        <v>6.983509977385613E-2</v>
      </c>
      <c r="AF82" s="3">
        <f t="shared" ca="1" si="94"/>
        <v>8.5391657822298017E-2</v>
      </c>
      <c r="AG82" s="3">
        <f t="shared" ca="1" si="94"/>
        <v>8.1332463289560009E-2</v>
      </c>
      <c r="AH82" s="3">
        <f t="shared" ca="1" si="94"/>
        <v>0.11834024032581758</v>
      </c>
      <c r="AI82" s="3">
        <f t="shared" ca="1" si="94"/>
        <v>9.4781168519010611E-2</v>
      </c>
      <c r="AJ82" s="3">
        <f t="shared" ca="1" si="94"/>
        <v>0.17666365671004433</v>
      </c>
    </row>
    <row r="83" spans="1:36" x14ac:dyDescent="0.35">
      <c r="A83" t="s">
        <v>77</v>
      </c>
      <c r="B83" t="s">
        <v>61</v>
      </c>
      <c r="C83" s="4" t="s">
        <v>64</v>
      </c>
      <c r="D83" s="3">
        <f t="shared" ca="1" si="77"/>
        <v>2.5938459337925865E-2</v>
      </c>
      <c r="E83" s="3">
        <f t="shared" ca="1" si="88"/>
        <v>2.5480737362310275E-2</v>
      </c>
      <c r="F83" s="3">
        <f t="shared" ca="1" si="88"/>
        <v>2.8057860040505936E-2</v>
      </c>
      <c r="G83" s="3">
        <f t="shared" ca="1" si="88"/>
        <v>2.7235474218609838E-2</v>
      </c>
      <c r="H83" s="3">
        <f t="shared" ca="1" si="88"/>
        <v>3.1560104873220113E-2</v>
      </c>
      <c r="I83" s="3">
        <f t="shared" ca="1" si="88"/>
        <v>2.8349692825831736E-2</v>
      </c>
      <c r="J83" s="3">
        <f t="shared" ca="1" si="88"/>
        <v>3.3368869380813806E-2</v>
      </c>
      <c r="K83" s="3">
        <f t="shared" ca="1" si="88"/>
        <v>3.0505793831910887E-2</v>
      </c>
      <c r="L83" s="3">
        <f t="shared" ca="1" si="88"/>
        <v>3.5533731775278417E-2</v>
      </c>
      <c r="M83" s="3">
        <f t="shared" ca="1" si="88"/>
        <v>3.1703946402880365E-2</v>
      </c>
      <c r="N83" s="3">
        <f t="shared" ca="1" si="88"/>
        <v>3.79980455588637E-2</v>
      </c>
      <c r="O83" s="3">
        <f t="shared" ca="1" si="88"/>
        <v>3.4319499482248272E-2</v>
      </c>
      <c r="P83" s="3">
        <f t="shared" ca="1" si="88"/>
        <v>3.8900513361676645E-2</v>
      </c>
      <c r="Q83" s="3">
        <f t="shared" ca="1" si="88"/>
        <v>3.6293840655751877E-2</v>
      </c>
      <c r="R83" s="3">
        <f t="shared" ca="1" si="88"/>
        <v>4.0773413117537002E-2</v>
      </c>
      <c r="S83" s="3">
        <f t="shared" ca="1" si="88"/>
        <v>3.8587949221233611E-2</v>
      </c>
      <c r="T83" s="3">
        <f t="shared" ca="1" si="88"/>
        <v>4.2614214425005389E-2</v>
      </c>
      <c r="U83" s="3">
        <f t="shared" ca="1" si="88"/>
        <v>4.1678737189284221E-2</v>
      </c>
      <c r="V83" s="3">
        <f t="shared" ca="1" si="88"/>
        <v>4.3200750885015883E-2</v>
      </c>
      <c r="W83" s="3">
        <f t="shared" ca="1" si="88"/>
        <v>4.4011378944985836E-2</v>
      </c>
      <c r="X83" s="3">
        <f t="shared" ca="1" si="88"/>
        <v>4.862637287800442E-2</v>
      </c>
      <c r="Y83" s="3">
        <f t="shared" ca="1" si="88"/>
        <v>5.0536905966197171E-2</v>
      </c>
      <c r="Z83" s="3">
        <f t="shared" ca="1" si="88"/>
        <v>5.7863018343289802E-2</v>
      </c>
      <c r="AA83" s="3">
        <f t="shared" ca="1" si="88"/>
        <v>6.1163404257570525E-2</v>
      </c>
      <c r="AB83" s="3">
        <f t="shared" ref="AB83" ca="1" si="98">MIN(0.99,AB26+$O$3)</f>
        <v>6.1609863437189542E-2</v>
      </c>
      <c r="AC83" s="3">
        <f t="shared" ca="1" si="94"/>
        <v>6.8343236775646785E-2</v>
      </c>
      <c r="AD83" s="3">
        <f t="shared" ca="1" si="94"/>
        <v>7.4844269055930362E-2</v>
      </c>
      <c r="AE83" s="3">
        <f t="shared" ca="1" si="94"/>
        <v>7.0801946744002836E-2</v>
      </c>
      <c r="AF83" s="3">
        <f t="shared" ca="1" si="94"/>
        <v>8.6333380176231711E-2</v>
      </c>
      <c r="AG83" s="3">
        <f t="shared" ca="1" si="94"/>
        <v>8.2293849091046353E-2</v>
      </c>
      <c r="AH83" s="3">
        <f t="shared" ca="1" si="94"/>
        <v>0.11926271352262435</v>
      </c>
      <c r="AI83" s="3">
        <f t="shared" ca="1" si="94"/>
        <v>9.5737530171032176E-2</v>
      </c>
      <c r="AJ83" s="3">
        <f t="shared" ca="1" si="94"/>
        <v>0.17756743211738024</v>
      </c>
    </row>
    <row r="84" spans="1:36" x14ac:dyDescent="0.35">
      <c r="A84" t="s">
        <v>77</v>
      </c>
      <c r="B84" t="s">
        <v>61</v>
      </c>
      <c r="C84" s="4">
        <v>2</v>
      </c>
      <c r="D84" s="3">
        <f t="shared" ca="1" si="77"/>
        <v>2.6922879780168274E-2</v>
      </c>
      <c r="E84" s="3">
        <f t="shared" ca="1" si="88"/>
        <v>2.6382955667149877E-2</v>
      </c>
      <c r="F84" s="3">
        <f t="shared" ca="1" si="88"/>
        <v>2.901866212160863E-2</v>
      </c>
      <c r="G84" s="3">
        <f t="shared" ca="1" si="88"/>
        <v>2.8152666577972236E-2</v>
      </c>
      <c r="H84" s="3">
        <f t="shared" ca="1" si="88"/>
        <v>3.2479943069096885E-2</v>
      </c>
      <c r="I84" s="3">
        <f t="shared" ca="1" si="88"/>
        <v>2.9324073013796005E-2</v>
      </c>
      <c r="J84" s="3">
        <f t="shared" ca="1" si="88"/>
        <v>3.4355998601632048E-2</v>
      </c>
      <c r="K84" s="3">
        <f t="shared" ca="1" si="88"/>
        <v>3.1417586178336218E-2</v>
      </c>
      <c r="L84" s="3">
        <f t="shared" ca="1" si="88"/>
        <v>3.6439573820187379E-2</v>
      </c>
      <c r="M84" s="3">
        <f t="shared" ca="1" si="88"/>
        <v>3.2627340232892717E-2</v>
      </c>
      <c r="N84" s="3">
        <f t="shared" ca="1" si="88"/>
        <v>3.8932006874559125E-2</v>
      </c>
      <c r="O84" s="3">
        <f t="shared" ca="1" si="88"/>
        <v>3.5264004365093041E-2</v>
      </c>
      <c r="P84" s="3">
        <f t="shared" ca="1" si="88"/>
        <v>3.9818215378177993E-2</v>
      </c>
      <c r="Q84" s="3">
        <f t="shared" ca="1" si="88"/>
        <v>3.7273989002571339E-2</v>
      </c>
      <c r="R84" s="3">
        <f t="shared" ca="1" si="88"/>
        <v>4.1692704390182779E-2</v>
      </c>
      <c r="S84" s="3">
        <f t="shared" ca="1" si="88"/>
        <v>3.9548346558081447E-2</v>
      </c>
      <c r="T84" s="3">
        <f t="shared" ca="1" si="88"/>
        <v>4.3528487849154515E-2</v>
      </c>
      <c r="U84" s="3">
        <f t="shared" ca="1" si="88"/>
        <v>4.2587883536819762E-2</v>
      </c>
      <c r="V84" s="3">
        <f t="shared" ca="1" si="88"/>
        <v>4.4169494869658793E-2</v>
      </c>
      <c r="W84" s="3">
        <f t="shared" ca="1" si="88"/>
        <v>4.4937610965666563E-2</v>
      </c>
      <c r="X84" s="3">
        <f t="shared" ca="1" si="88"/>
        <v>4.9532719612774508E-2</v>
      </c>
      <c r="Y84" s="3">
        <f t="shared" ca="1" si="88"/>
        <v>5.1504210216960916E-2</v>
      </c>
      <c r="Z84" s="3">
        <f t="shared" ca="1" si="88"/>
        <v>5.8763635083073404E-2</v>
      </c>
      <c r="AA84" s="3">
        <f t="shared" ca="1" si="88"/>
        <v>6.2153464053501702E-2</v>
      </c>
      <c r="AB84" s="3">
        <f t="shared" ref="AB84" ca="1" si="99">MIN(0.99,AB27+$O$3)</f>
        <v>6.2566450079826405E-2</v>
      </c>
      <c r="AC84" s="3">
        <f t="shared" ca="1" si="94"/>
        <v>6.9337382464555522E-2</v>
      </c>
      <c r="AD84" s="3">
        <f t="shared" ca="1" si="94"/>
        <v>7.5832197191042852E-2</v>
      </c>
      <c r="AE84" s="3">
        <f t="shared" ca="1" si="94"/>
        <v>7.1771845681052937E-2</v>
      </c>
      <c r="AF84" s="3">
        <f t="shared" ca="1" si="94"/>
        <v>8.7237789522823878E-2</v>
      </c>
      <c r="AG84" s="3">
        <f t="shared" ca="1" si="94"/>
        <v>8.3255274105109217E-2</v>
      </c>
      <c r="AH84" s="3">
        <f t="shared" ca="1" si="94"/>
        <v>0.12020747122216632</v>
      </c>
      <c r="AI84" s="3">
        <f t="shared" ca="1" si="94"/>
        <v>9.6682930335280581E-2</v>
      </c>
      <c r="AJ84" s="3">
        <f t="shared" ca="1" si="94"/>
        <v>0.17855452445282455</v>
      </c>
    </row>
    <row r="85" spans="1:36" x14ac:dyDescent="0.35">
      <c r="A85" t="s">
        <v>77</v>
      </c>
      <c r="B85" t="s">
        <v>61</v>
      </c>
      <c r="C85" s="4" t="s">
        <v>65</v>
      </c>
      <c r="D85" s="3">
        <f t="shared" ca="1" si="77"/>
        <v>2.7825031522199568E-2</v>
      </c>
      <c r="E85" s="3">
        <f t="shared" ca="1" si="88"/>
        <v>2.7304994295061641E-2</v>
      </c>
      <c r="F85" s="3">
        <f t="shared" ca="1" si="88"/>
        <v>2.9975521094619796E-2</v>
      </c>
      <c r="G85" s="3">
        <f t="shared" ca="1" si="88"/>
        <v>2.9070166345984361E-2</v>
      </c>
      <c r="H85" s="3">
        <f t="shared" ca="1" si="88"/>
        <v>3.3437597025643702E-2</v>
      </c>
      <c r="I85" s="3">
        <f t="shared" ca="1" si="88"/>
        <v>3.0282648024858437E-2</v>
      </c>
      <c r="J85" s="3">
        <f t="shared" ca="1" si="88"/>
        <v>3.5265827930688456E-2</v>
      </c>
      <c r="K85" s="3">
        <f t="shared" ca="1" si="88"/>
        <v>3.2332719211448591E-2</v>
      </c>
      <c r="L85" s="3">
        <f t="shared" ca="1" si="88"/>
        <v>3.7353248808133455E-2</v>
      </c>
      <c r="M85" s="3">
        <f t="shared" ca="1" si="88"/>
        <v>3.3535378375303841E-2</v>
      </c>
      <c r="N85" s="3">
        <f t="shared" ca="1" si="88"/>
        <v>3.9906133682767297E-2</v>
      </c>
      <c r="O85" s="3">
        <f t="shared" ca="1" si="88"/>
        <v>3.619515666159813E-2</v>
      </c>
      <c r="P85" s="3">
        <f t="shared" ca="1" si="88"/>
        <v>4.0751084547672692E-2</v>
      </c>
      <c r="Q85" s="3">
        <f t="shared" ca="1" si="88"/>
        <v>3.823440407557771E-2</v>
      </c>
      <c r="R85" s="3">
        <f t="shared" ca="1" si="88"/>
        <v>4.2660482826014118E-2</v>
      </c>
      <c r="S85" s="3">
        <f t="shared" ca="1" si="88"/>
        <v>4.0527189296960052E-2</v>
      </c>
      <c r="T85" s="3">
        <f t="shared" ca="1" si="88"/>
        <v>4.4521378867798597E-2</v>
      </c>
      <c r="U85" s="3">
        <f t="shared" ca="1" si="88"/>
        <v>4.352619165473718E-2</v>
      </c>
      <c r="V85" s="3">
        <f t="shared" ca="1" si="88"/>
        <v>4.5131711029112731E-2</v>
      </c>
      <c r="W85" s="3">
        <f t="shared" ca="1" si="88"/>
        <v>4.5890007075341417E-2</v>
      </c>
      <c r="X85" s="3">
        <f t="shared" ref="E85:AA96" ca="1" si="100">MIN(0.99,X28+$O$3)</f>
        <v>5.0511001979500661E-2</v>
      </c>
      <c r="Y85" s="3">
        <f t="shared" ca="1" si="100"/>
        <v>5.2438208514034454E-2</v>
      </c>
      <c r="Z85" s="3">
        <f t="shared" ca="1" si="100"/>
        <v>5.9751075234411873E-2</v>
      </c>
      <c r="AA85" s="3">
        <f t="shared" ca="1" si="100"/>
        <v>6.3146579712575757E-2</v>
      </c>
      <c r="AB85" s="3">
        <f t="shared" ref="AB85" ca="1" si="101">MIN(0.99,AB28+$O$3)</f>
        <v>6.3561150086960685E-2</v>
      </c>
      <c r="AC85" s="3">
        <f t="shared" ca="1" si="94"/>
        <v>7.0266633864557809E-2</v>
      </c>
      <c r="AD85" s="3">
        <f t="shared" ca="1" si="94"/>
        <v>7.6737083050976415E-2</v>
      </c>
      <c r="AE85" s="3">
        <f t="shared" ca="1" si="94"/>
        <v>7.2705399334886539E-2</v>
      </c>
      <c r="AF85" s="3">
        <f t="shared" ca="1" si="94"/>
        <v>8.8196925610243504E-2</v>
      </c>
      <c r="AG85" s="3">
        <f t="shared" ca="1" si="94"/>
        <v>8.4179198484795104E-2</v>
      </c>
      <c r="AH85" s="3">
        <f t="shared" ca="1" si="94"/>
        <v>0.1211660421561768</v>
      </c>
      <c r="AI85" s="3">
        <f t="shared" ca="1" si="94"/>
        <v>9.7611669550506902E-2</v>
      </c>
      <c r="AJ85" s="3">
        <f t="shared" ca="1" si="94"/>
        <v>0.17948949377065215</v>
      </c>
    </row>
    <row r="86" spans="1:36" x14ac:dyDescent="0.35">
      <c r="A86" t="s">
        <v>77</v>
      </c>
      <c r="B86" t="s">
        <v>61</v>
      </c>
      <c r="C86" s="4" t="s">
        <v>66</v>
      </c>
      <c r="D86" s="3">
        <f t="shared" ca="1" si="77"/>
        <v>2.8769283670069971E-2</v>
      </c>
      <c r="E86" s="3">
        <f t="shared" ca="1" si="100"/>
        <v>2.8205874763112881E-2</v>
      </c>
      <c r="F86" s="3">
        <f t="shared" ca="1" si="100"/>
        <v>3.0926069553340631E-2</v>
      </c>
      <c r="G86" s="3">
        <f t="shared" ca="1" si="100"/>
        <v>3.0035892982189553E-2</v>
      </c>
      <c r="H86" s="3">
        <f t="shared" ca="1" si="100"/>
        <v>3.439374981039145E-2</v>
      </c>
      <c r="I86" s="3">
        <f t="shared" ca="1" si="100"/>
        <v>3.1220366576484387E-2</v>
      </c>
      <c r="J86" s="3">
        <f t="shared" ca="1" si="100"/>
        <v>3.625952458266489E-2</v>
      </c>
      <c r="K86" s="3">
        <f t="shared" ca="1" si="100"/>
        <v>3.3317038832338539E-2</v>
      </c>
      <c r="L86" s="3">
        <f t="shared" ca="1" si="100"/>
        <v>3.8329657663037787E-2</v>
      </c>
      <c r="M86" s="3">
        <f t="shared" ca="1" si="100"/>
        <v>3.4521997300802201E-2</v>
      </c>
      <c r="N86" s="3">
        <f t="shared" ca="1" si="100"/>
        <v>4.0903700710796506E-2</v>
      </c>
      <c r="O86" s="3">
        <f t="shared" ca="1" si="100"/>
        <v>3.7118368627681586E-2</v>
      </c>
      <c r="P86" s="3">
        <f t="shared" ca="1" si="100"/>
        <v>4.1713217543826439E-2</v>
      </c>
      <c r="Q86" s="3">
        <f t="shared" ca="1" si="100"/>
        <v>3.9137311580006343E-2</v>
      </c>
      <c r="R86" s="3">
        <f t="shared" ca="1" si="100"/>
        <v>4.3622532596617962E-2</v>
      </c>
      <c r="S86" s="3">
        <f t="shared" ca="1" si="100"/>
        <v>4.1507028096376297E-2</v>
      </c>
      <c r="T86" s="3">
        <f t="shared" ca="1" si="100"/>
        <v>4.5431228860219053E-2</v>
      </c>
      <c r="U86" s="3">
        <f t="shared" ca="1" si="100"/>
        <v>4.4508241273339695E-2</v>
      </c>
      <c r="V86" s="3">
        <f t="shared" ca="1" si="100"/>
        <v>4.6104045969078092E-2</v>
      </c>
      <c r="W86" s="3">
        <f t="shared" ca="1" si="100"/>
        <v>4.6864958386669209E-2</v>
      </c>
      <c r="X86" s="3">
        <f t="shared" ca="1" si="100"/>
        <v>5.1470677742665963E-2</v>
      </c>
      <c r="Y86" s="3">
        <f t="shared" ca="1" si="100"/>
        <v>5.3398478032501313E-2</v>
      </c>
      <c r="Z86" s="3">
        <f t="shared" ca="1" si="100"/>
        <v>6.0678257651536699E-2</v>
      </c>
      <c r="AA86" s="3">
        <f t="shared" ca="1" si="100"/>
        <v>6.4120223461306872E-2</v>
      </c>
      <c r="AB86" s="3">
        <f t="shared" ref="AB86" ca="1" si="102">MIN(0.99,AB29+$O$3)</f>
        <v>6.4552261826383683E-2</v>
      </c>
      <c r="AC86" s="3">
        <f t="shared" ca="1" si="94"/>
        <v>7.1169773075851039E-2</v>
      </c>
      <c r="AD86" s="3">
        <f t="shared" ca="1" si="94"/>
        <v>7.770296319243214E-2</v>
      </c>
      <c r="AE86" s="3">
        <f t="shared" ca="1" si="94"/>
        <v>7.3679468295553358E-2</v>
      </c>
      <c r="AF86" s="3">
        <f t="shared" ca="1" si="94"/>
        <v>8.9179717280153004E-2</v>
      </c>
      <c r="AG86" s="3">
        <f t="shared" ca="1" si="94"/>
        <v>8.5159895952065578E-2</v>
      </c>
      <c r="AH86" s="3">
        <f t="shared" ca="1" si="94"/>
        <v>0.12207611054976927</v>
      </c>
      <c r="AI86" s="3">
        <f t="shared" ca="1" si="94"/>
        <v>9.8527548994164549E-2</v>
      </c>
      <c r="AJ86" s="3">
        <f t="shared" ca="1" si="94"/>
        <v>0.18046415584840753</v>
      </c>
    </row>
    <row r="87" spans="1:36" x14ac:dyDescent="0.35">
      <c r="A87" t="s">
        <v>77</v>
      </c>
      <c r="B87" t="s">
        <v>61</v>
      </c>
      <c r="C87" s="4">
        <v>3</v>
      </c>
      <c r="D87" s="3">
        <f t="shared" ca="1" si="77"/>
        <v>2.9691072619615771E-2</v>
      </c>
      <c r="E87" s="3">
        <f t="shared" ca="1" si="100"/>
        <v>2.9164607555222464E-2</v>
      </c>
      <c r="F87" s="3">
        <f t="shared" ca="1" si="100"/>
        <v>3.1921869094869881E-2</v>
      </c>
      <c r="G87" s="3">
        <f t="shared" ca="1" si="100"/>
        <v>3.1012438216686741E-2</v>
      </c>
      <c r="H87" s="3">
        <f t="shared" ca="1" si="100"/>
        <v>3.5333523826107202E-2</v>
      </c>
      <c r="I87" s="3">
        <f t="shared" ca="1" si="100"/>
        <v>3.2172883019657955E-2</v>
      </c>
      <c r="J87" s="3">
        <f t="shared" ca="1" si="100"/>
        <v>3.7222404363890502E-2</v>
      </c>
      <c r="K87" s="3">
        <f t="shared" ca="1" si="100"/>
        <v>3.4282985534600678E-2</v>
      </c>
      <c r="L87" s="3">
        <f t="shared" ca="1" si="100"/>
        <v>3.9254768045863156E-2</v>
      </c>
      <c r="M87" s="3">
        <f t="shared" ca="1" si="100"/>
        <v>3.5513728339233344E-2</v>
      </c>
      <c r="N87" s="3">
        <f t="shared" ca="1" si="100"/>
        <v>4.1876337898784088E-2</v>
      </c>
      <c r="O87" s="3">
        <f t="shared" ca="1" si="100"/>
        <v>3.8021811522918884E-2</v>
      </c>
      <c r="P87" s="3">
        <f t="shared" ca="1" si="100"/>
        <v>4.2646098948543612E-2</v>
      </c>
      <c r="Q87" s="3">
        <f t="shared" ca="1" si="100"/>
        <v>4.0067400925390163E-2</v>
      </c>
      <c r="R87" s="3">
        <f t="shared" ca="1" si="100"/>
        <v>4.4523217633407761E-2</v>
      </c>
      <c r="S87" s="3">
        <f t="shared" ca="1" si="100"/>
        <v>4.244053947353249E-2</v>
      </c>
      <c r="T87" s="3">
        <f t="shared" ca="1" si="100"/>
        <v>4.6402726472503153E-2</v>
      </c>
      <c r="U87" s="3">
        <f t="shared" ca="1" si="100"/>
        <v>4.5493570040992623E-2</v>
      </c>
      <c r="V87" s="3">
        <f t="shared" ca="1" si="100"/>
        <v>4.7066540900671236E-2</v>
      </c>
      <c r="W87" s="3">
        <f t="shared" ca="1" si="100"/>
        <v>4.7791824556469208E-2</v>
      </c>
      <c r="X87" s="3">
        <f t="shared" ca="1" si="100"/>
        <v>5.2382767868824308E-2</v>
      </c>
      <c r="Y87" s="3">
        <f t="shared" ca="1" si="100"/>
        <v>5.4387608538845507E-2</v>
      </c>
      <c r="Z87" s="3">
        <f t="shared" ca="1" si="100"/>
        <v>6.1596369996838492E-2</v>
      </c>
      <c r="AA87" s="3">
        <f t="shared" ca="1" si="100"/>
        <v>6.502059930223375E-2</v>
      </c>
      <c r="AB87" s="3">
        <f t="shared" ref="AB87" ca="1" si="103">MIN(0.99,AB30+$O$3)</f>
        <v>6.5519875636484676E-2</v>
      </c>
      <c r="AC87" s="3">
        <f t="shared" ca="1" si="94"/>
        <v>7.2112482033291889E-2</v>
      </c>
      <c r="AD87" s="3">
        <f t="shared" ca="1" si="94"/>
        <v>7.8688945644697306E-2</v>
      </c>
      <c r="AE87" s="3">
        <f t="shared" ca="1" si="94"/>
        <v>7.4659008247430464E-2</v>
      </c>
      <c r="AF87" s="3">
        <f t="shared" ca="1" si="94"/>
        <v>9.0156057578600984E-2</v>
      </c>
      <c r="AG87" s="3">
        <f t="shared" ca="1" si="94"/>
        <v>8.6068832629817654E-2</v>
      </c>
      <c r="AH87" s="3">
        <f t="shared" ca="1" si="94"/>
        <v>0.12299837586434526</v>
      </c>
      <c r="AI87" s="3">
        <f t="shared" ca="1" si="94"/>
        <v>9.9519334157874451E-2</v>
      </c>
      <c r="AJ87" s="3">
        <f t="shared" ca="1" si="94"/>
        <v>0.18145232156878791</v>
      </c>
    </row>
    <row r="88" spans="1:36" x14ac:dyDescent="0.35">
      <c r="A88" t="s">
        <v>77</v>
      </c>
      <c r="B88" t="s">
        <v>61</v>
      </c>
      <c r="C88" s="4" t="s">
        <v>67</v>
      </c>
      <c r="D88" s="3">
        <f t="shared" ca="1" si="77"/>
        <v>3.0659823419202339E-2</v>
      </c>
      <c r="E88" s="3">
        <f t="shared" ca="1" si="100"/>
        <v>3.0081071250351036E-2</v>
      </c>
      <c r="F88" s="3">
        <f t="shared" ca="1" si="100"/>
        <v>3.2853522676351263E-2</v>
      </c>
      <c r="G88" s="3">
        <f t="shared" ca="1" si="100"/>
        <v>3.1921336909490977E-2</v>
      </c>
      <c r="H88" s="3">
        <f t="shared" ca="1" si="100"/>
        <v>3.6329771773689706E-2</v>
      </c>
      <c r="I88" s="3">
        <f t="shared" ca="1" si="100"/>
        <v>3.3128814309393406E-2</v>
      </c>
      <c r="J88" s="3">
        <f t="shared" ca="1" si="100"/>
        <v>3.8139378113403677E-2</v>
      </c>
      <c r="K88" s="3">
        <f t="shared" ca="1" si="100"/>
        <v>3.5213835340970459E-2</v>
      </c>
      <c r="L88" s="3">
        <f t="shared" ca="1" si="100"/>
        <v>4.0252580197360013E-2</v>
      </c>
      <c r="M88" s="3">
        <f t="shared" ca="1" si="100"/>
        <v>3.6423825683707743E-2</v>
      </c>
      <c r="N88" s="3">
        <f t="shared" ca="1" si="100"/>
        <v>4.2785137906180312E-2</v>
      </c>
      <c r="O88" s="3">
        <f t="shared" ca="1" si="100"/>
        <v>3.898922024770321E-2</v>
      </c>
      <c r="P88" s="3">
        <f t="shared" ca="1" si="100"/>
        <v>4.3548630181002149E-2</v>
      </c>
      <c r="Q88" s="3">
        <f t="shared" ca="1" si="100"/>
        <v>4.1036507052753593E-2</v>
      </c>
      <c r="R88" s="3">
        <f t="shared" ca="1" si="100"/>
        <v>4.551048213992516E-2</v>
      </c>
      <c r="S88" s="3">
        <f t="shared" ca="1" si="100"/>
        <v>4.34399496961742E-2</v>
      </c>
      <c r="T88" s="3">
        <f t="shared" ca="1" si="100"/>
        <v>4.7392123891440319E-2</v>
      </c>
      <c r="U88" s="3">
        <f t="shared" ca="1" si="100"/>
        <v>4.639806080160408E-2</v>
      </c>
      <c r="V88" s="3">
        <f t="shared" ca="1" si="100"/>
        <v>4.8053956147871411E-2</v>
      </c>
      <c r="W88" s="3">
        <f t="shared" ca="1" si="100"/>
        <v>4.8702325776036642E-2</v>
      </c>
      <c r="X88" s="3">
        <f t="shared" ca="1" si="100"/>
        <v>5.3361286608982261E-2</v>
      </c>
      <c r="Y88" s="3">
        <f t="shared" ca="1" si="100"/>
        <v>5.5318236562839289E-2</v>
      </c>
      <c r="Z88" s="3">
        <f t="shared" ca="1" si="100"/>
        <v>6.2499490263970135E-2</v>
      </c>
      <c r="AA88" s="3">
        <f t="shared" ca="1" si="100"/>
        <v>6.5984855149505375E-2</v>
      </c>
      <c r="AB88" s="3">
        <f t="shared" ref="AB88" ca="1" si="104">MIN(0.99,AB31+$O$3)</f>
        <v>6.6452658602999037E-2</v>
      </c>
      <c r="AC88" s="3">
        <f t="shared" ca="1" si="94"/>
        <v>7.310620078498159E-2</v>
      </c>
      <c r="AD88" s="3">
        <f t="shared" ca="1" si="94"/>
        <v>7.9680309952741599E-2</v>
      </c>
      <c r="AE88" s="3">
        <f t="shared" ca="1" si="94"/>
        <v>7.5596648516072618E-2</v>
      </c>
      <c r="AF88" s="3">
        <f t="shared" ca="1" si="94"/>
        <v>9.1117537271460686E-2</v>
      </c>
      <c r="AG88" s="3">
        <f t="shared" ca="1" si="94"/>
        <v>8.7057097244872594E-2</v>
      </c>
      <c r="AH88" s="3">
        <f t="shared" ca="1" si="94"/>
        <v>0.12396662516749068</v>
      </c>
      <c r="AI88" s="3">
        <f t="shared" ca="1" si="94"/>
        <v>0.1004580129247746</v>
      </c>
      <c r="AJ88" s="3">
        <f t="shared" ca="1" si="94"/>
        <v>0.1823822971796244</v>
      </c>
    </row>
    <row r="89" spans="1:36" x14ac:dyDescent="0.35">
      <c r="A89" t="s">
        <v>77</v>
      </c>
      <c r="B89" t="s">
        <v>61</v>
      </c>
      <c r="C89" s="4" t="s">
        <v>68</v>
      </c>
      <c r="D89" s="3">
        <f t="shared" ca="1" si="77"/>
        <v>3.1608909271804861E-2</v>
      </c>
      <c r="E89" s="3">
        <f t="shared" ca="1" si="100"/>
        <v>3.107772847187016E-2</v>
      </c>
      <c r="F89" s="3">
        <f t="shared" ca="1" si="100"/>
        <v>3.3827625120755322E-2</v>
      </c>
      <c r="G89" s="3">
        <f t="shared" ca="1" si="100"/>
        <v>3.2848568923621049E-2</v>
      </c>
      <c r="H89" s="3">
        <f t="shared" ca="1" si="100"/>
        <v>3.7292395051692073E-2</v>
      </c>
      <c r="I89" s="3">
        <f t="shared" ca="1" si="100"/>
        <v>3.4125208891588869E-2</v>
      </c>
      <c r="J89" s="3">
        <f t="shared" ca="1" si="100"/>
        <v>3.9056900086384148E-2</v>
      </c>
      <c r="K89" s="3">
        <f t="shared" ca="1" si="100"/>
        <v>3.615364061156686E-2</v>
      </c>
      <c r="L89" s="3">
        <f t="shared" ca="1" si="100"/>
        <v>4.123504047148592E-2</v>
      </c>
      <c r="M89" s="3">
        <f t="shared" ca="1" si="100"/>
        <v>3.7367311586031918E-2</v>
      </c>
      <c r="N89" s="3">
        <f t="shared" ca="1" si="100"/>
        <v>4.3727361055496891E-2</v>
      </c>
      <c r="O89" s="3">
        <f t="shared" ca="1" si="100"/>
        <v>3.9892249443894898E-2</v>
      </c>
      <c r="P89" s="3">
        <f t="shared" ca="1" si="100"/>
        <v>4.4487547331497089E-2</v>
      </c>
      <c r="Q89" s="3">
        <f t="shared" ca="1" si="100"/>
        <v>4.1951733216274503E-2</v>
      </c>
      <c r="R89" s="3">
        <f t="shared" ca="1" si="100"/>
        <v>4.6505119570833545E-2</v>
      </c>
      <c r="S89" s="3">
        <f t="shared" ca="1" si="100"/>
        <v>4.4435510808893464E-2</v>
      </c>
      <c r="T89" s="3">
        <f t="shared" ca="1" si="100"/>
        <v>4.8323890972373357E-2</v>
      </c>
      <c r="U89" s="3">
        <f t="shared" ca="1" si="100"/>
        <v>4.7381399304018856E-2</v>
      </c>
      <c r="V89" s="3">
        <f t="shared" ca="1" si="100"/>
        <v>4.9052354505171002E-2</v>
      </c>
      <c r="W89" s="3">
        <f t="shared" ca="1" si="100"/>
        <v>4.9676576717324651E-2</v>
      </c>
      <c r="X89" s="3">
        <f t="shared" ca="1" si="100"/>
        <v>5.4311472520536933E-2</v>
      </c>
      <c r="Y89" s="3">
        <f t="shared" ca="1" si="100"/>
        <v>5.6286553940264335E-2</v>
      </c>
      <c r="Z89" s="3">
        <f t="shared" ca="1" si="100"/>
        <v>6.3420959586169945E-2</v>
      </c>
      <c r="AA89" s="3">
        <f t="shared" ca="1" si="100"/>
        <v>6.6904783769468359E-2</v>
      </c>
      <c r="AB89" s="3">
        <f t="shared" ref="AB89" ca="1" si="105">MIN(0.99,AB32+$O$3)</f>
        <v>6.7367403514328239E-2</v>
      </c>
      <c r="AC89" s="3">
        <f t="shared" ca="1" si="94"/>
        <v>7.4034500200760051E-2</v>
      </c>
      <c r="AD89" s="3">
        <f t="shared" ca="1" si="94"/>
        <v>8.0626460417665774E-2</v>
      </c>
      <c r="AE89" s="3">
        <f t="shared" ca="1" si="94"/>
        <v>7.6559228185201958E-2</v>
      </c>
      <c r="AF89" s="3">
        <f t="shared" ca="1" si="94"/>
        <v>9.2035939468164518E-2</v>
      </c>
      <c r="AG89" s="3">
        <f t="shared" ca="1" si="94"/>
        <v>8.8056977902074535E-2</v>
      </c>
      <c r="AH89" s="3">
        <f t="shared" ca="1" si="94"/>
        <v>0.1249086403278484</v>
      </c>
      <c r="AI89" s="3">
        <f t="shared" ca="1" si="94"/>
        <v>0.10142491820607802</v>
      </c>
      <c r="AJ89" s="3">
        <f t="shared" ca="1" si="94"/>
        <v>0.18335829315247343</v>
      </c>
    </row>
    <row r="90" spans="1:36" x14ac:dyDescent="0.35">
      <c r="A90" t="s">
        <v>77</v>
      </c>
      <c r="B90" t="s">
        <v>61</v>
      </c>
      <c r="C90" s="4">
        <v>4</v>
      </c>
      <c r="D90" s="3">
        <f t="shared" ca="1" si="77"/>
        <v>3.2605763071766332E-2</v>
      </c>
      <c r="E90" s="3">
        <f t="shared" ca="1" si="100"/>
        <v>3.1997895215601424E-2</v>
      </c>
      <c r="F90" s="3">
        <f t="shared" ca="1" si="100"/>
        <v>3.4825605303605858E-2</v>
      </c>
      <c r="G90" s="3">
        <f t="shared" ca="1" si="100"/>
        <v>3.3827397933264974E-2</v>
      </c>
      <c r="H90" s="3">
        <f t="shared" ca="1" si="100"/>
        <v>3.8208762573832669E-2</v>
      </c>
      <c r="I90" s="3">
        <f t="shared" ca="1" si="100"/>
        <v>3.5099125429489092E-2</v>
      </c>
      <c r="J90" s="3">
        <f t="shared" ca="1" si="100"/>
        <v>4.0011887009740843E-2</v>
      </c>
      <c r="K90" s="3">
        <f t="shared" ca="1" si="100"/>
        <v>3.713867457677654E-2</v>
      </c>
      <c r="L90" s="3">
        <f t="shared" ca="1" si="100"/>
        <v>4.2187253137641462E-2</v>
      </c>
      <c r="M90" s="3">
        <f t="shared" ca="1" si="100"/>
        <v>3.8297871540846441E-2</v>
      </c>
      <c r="N90" s="3">
        <f t="shared" ca="1" si="100"/>
        <v>4.4702776317765577E-2</v>
      </c>
      <c r="O90" s="3">
        <f t="shared" ca="1" si="100"/>
        <v>4.0858233514777215E-2</v>
      </c>
      <c r="P90" s="3">
        <f t="shared" ca="1" si="100"/>
        <v>4.5430247163331411E-2</v>
      </c>
      <c r="Q90" s="3">
        <f t="shared" ca="1" si="100"/>
        <v>4.2873212592507162E-2</v>
      </c>
      <c r="R90" s="3">
        <f t="shared" ca="1" si="100"/>
        <v>4.7474698323807768E-2</v>
      </c>
      <c r="S90" s="3">
        <f t="shared" ca="1" si="100"/>
        <v>4.5352057873673163E-2</v>
      </c>
      <c r="T90" s="3">
        <f t="shared" ca="1" si="100"/>
        <v>4.924088912830768E-2</v>
      </c>
      <c r="U90" s="3">
        <f t="shared" ca="1" si="100"/>
        <v>4.8379710161135681E-2</v>
      </c>
      <c r="V90" s="3">
        <f t="shared" ca="1" si="100"/>
        <v>4.9963594320448716E-2</v>
      </c>
      <c r="W90" s="3">
        <f t="shared" ca="1" si="100"/>
        <v>5.0674659260482993E-2</v>
      </c>
      <c r="X90" s="3">
        <f t="shared" ca="1" si="100"/>
        <v>5.5243883571752847E-2</v>
      </c>
      <c r="Y90" s="3">
        <f t="shared" ca="1" si="100"/>
        <v>5.7202517688824971E-2</v>
      </c>
      <c r="Z90" s="3">
        <f t="shared" ca="1" si="100"/>
        <v>6.4323626827329811E-2</v>
      </c>
      <c r="AA90" s="3">
        <f t="shared" ca="1" si="100"/>
        <v>6.7859272920559766E-2</v>
      </c>
      <c r="AB90" s="3">
        <f t="shared" ref="AB90" ca="1" si="106">MIN(0.99,AB33+$O$3)</f>
        <v>6.8319926905747758E-2</v>
      </c>
      <c r="AC90" s="3">
        <f t="shared" ca="1" si="94"/>
        <v>7.5022477486434813E-2</v>
      </c>
      <c r="AD90" s="3">
        <f t="shared" ca="1" si="94"/>
        <v>8.1553753814034652E-2</v>
      </c>
      <c r="AE90" s="3">
        <f t="shared" ca="1" si="94"/>
        <v>7.747596724451658E-2</v>
      </c>
      <c r="AF90" s="3">
        <f t="shared" ca="1" si="94"/>
        <v>9.2972840735966955E-2</v>
      </c>
      <c r="AG90" s="3">
        <f t="shared" ca="1" si="94"/>
        <v>8.8975401829885392E-2</v>
      </c>
      <c r="AH90" s="3">
        <f t="shared" ca="1" si="94"/>
        <v>0.1258916016526235</v>
      </c>
      <c r="AI90" s="3">
        <f t="shared" ca="1" si="94"/>
        <v>0.10238635769837484</v>
      </c>
      <c r="AJ90" s="3">
        <f t="shared" ca="1" si="94"/>
        <v>0.18428569293228103</v>
      </c>
    </row>
    <row r="91" spans="1:36" x14ac:dyDescent="0.35">
      <c r="A91" t="s">
        <v>77</v>
      </c>
      <c r="B91" t="s">
        <v>61</v>
      </c>
      <c r="C91" s="4" t="s">
        <v>69</v>
      </c>
      <c r="D91" s="3">
        <f t="shared" ca="1" si="77"/>
        <v>3.3604795492028161E-2</v>
      </c>
      <c r="E91" s="3">
        <f t="shared" ca="1" si="100"/>
        <v>3.2924145847593886E-2</v>
      </c>
      <c r="F91" s="3">
        <f t="shared" ca="1" si="100"/>
        <v>3.5807046171304799E-2</v>
      </c>
      <c r="G91" s="3">
        <f t="shared" ca="1" si="100"/>
        <v>3.4762862771956532E-2</v>
      </c>
      <c r="H91" s="3">
        <f t="shared" ca="1" si="100"/>
        <v>3.9113123246618919E-2</v>
      </c>
      <c r="I91" s="3">
        <f t="shared" ca="1" si="100"/>
        <v>3.6035137498233449E-2</v>
      </c>
      <c r="J91" s="3">
        <f t="shared" ca="1" si="100"/>
        <v>4.1004688200511744E-2</v>
      </c>
      <c r="K91" s="3">
        <f t="shared" ca="1" si="100"/>
        <v>3.8121925295792891E-2</v>
      </c>
      <c r="L91" s="3">
        <f t="shared" ca="1" si="100"/>
        <v>4.3162501860133581E-2</v>
      </c>
      <c r="M91" s="3">
        <f t="shared" ca="1" si="100"/>
        <v>3.9202856022794663E-2</v>
      </c>
      <c r="N91" s="3">
        <f t="shared" ca="1" si="100"/>
        <v>4.5633497885896109E-2</v>
      </c>
      <c r="O91" s="3">
        <f t="shared" ca="1" si="100"/>
        <v>4.1842241202363295E-2</v>
      </c>
      <c r="P91" s="3">
        <f t="shared" ca="1" si="100"/>
        <v>4.6382633504005719E-2</v>
      </c>
      <c r="Q91" s="3">
        <f t="shared" ca="1" si="100"/>
        <v>4.3826690092024639E-2</v>
      </c>
      <c r="R91" s="3">
        <f t="shared" ca="1" si="100"/>
        <v>4.84232818626463E-2</v>
      </c>
      <c r="S91" s="3">
        <f t="shared" ca="1" si="100"/>
        <v>4.6268662234211111E-2</v>
      </c>
      <c r="T91" s="3">
        <f t="shared" ca="1" si="100"/>
        <v>5.0235181609278673E-2</v>
      </c>
      <c r="U91" s="3">
        <f t="shared" ca="1" si="100"/>
        <v>4.9354105863839016E-2</v>
      </c>
      <c r="V91" s="3">
        <f t="shared" ca="1" si="100"/>
        <v>5.095450201722098E-2</v>
      </c>
      <c r="W91" s="3">
        <f t="shared" ca="1" si="100"/>
        <v>5.1668357119408009E-2</v>
      </c>
      <c r="X91" s="3">
        <f t="shared" ca="1" si="100"/>
        <v>5.6169876040847076E-2</v>
      </c>
      <c r="Y91" s="3">
        <f t="shared" ca="1" si="100"/>
        <v>5.8121889738997151E-2</v>
      </c>
      <c r="Z91" s="3">
        <f t="shared" ca="1" si="100"/>
        <v>6.5270689276493321E-2</v>
      </c>
      <c r="AA91" s="3">
        <f t="shared" ca="1" si="100"/>
        <v>6.8849121588289985E-2</v>
      </c>
      <c r="AB91" s="3">
        <f t="shared" ref="AB91" ca="1" si="107">MIN(0.99,AB34+$O$3)</f>
        <v>6.9243259391546658E-2</v>
      </c>
      <c r="AC91" s="3">
        <f t="shared" ca="1" si="94"/>
        <v>7.5934916575293665E-2</v>
      </c>
      <c r="AD91" s="3">
        <f t="shared" ca="1" si="94"/>
        <v>8.2549956082398901E-2</v>
      </c>
      <c r="AE91" s="3">
        <f t="shared" ca="1" si="94"/>
        <v>7.8377590022236904E-2</v>
      </c>
      <c r="AF91" s="3">
        <f t="shared" ca="1" si="94"/>
        <v>9.3910108159014904E-2</v>
      </c>
      <c r="AG91" s="3">
        <f t="shared" ca="1" si="94"/>
        <v>8.9957240044452824E-2</v>
      </c>
      <c r="AH91" s="3">
        <f t="shared" ca="1" si="94"/>
        <v>0.12689029219687406</v>
      </c>
      <c r="AI91" s="3">
        <f t="shared" ca="1" si="94"/>
        <v>0.10333622676338239</v>
      </c>
      <c r="AJ91" s="3">
        <f t="shared" ca="1" si="94"/>
        <v>0.18526319982329789</v>
      </c>
    </row>
    <row r="92" spans="1:36" x14ac:dyDescent="0.35">
      <c r="A92" t="s">
        <v>77</v>
      </c>
      <c r="B92" t="s">
        <v>61</v>
      </c>
      <c r="C92" s="4" t="s">
        <v>70</v>
      </c>
      <c r="D92" s="3">
        <f t="shared" ca="1" si="77"/>
        <v>3.4595701454816705E-2</v>
      </c>
      <c r="E92" s="3">
        <f t="shared" ca="1" si="100"/>
        <v>3.3826300332724421E-2</v>
      </c>
      <c r="F92" s="3">
        <f t="shared" ca="1" si="100"/>
        <v>3.6724844055866519E-2</v>
      </c>
      <c r="G92" s="3">
        <f t="shared" ca="1" si="100"/>
        <v>3.5743669075720838E-2</v>
      </c>
      <c r="H92" s="3">
        <f t="shared" ca="1" si="100"/>
        <v>4.0100721665420058E-2</v>
      </c>
      <c r="I92" s="3">
        <f t="shared" ca="1" si="100"/>
        <v>3.6991388251080379E-2</v>
      </c>
      <c r="J92" s="3">
        <f t="shared" ca="1" si="100"/>
        <v>4.195596278456825E-2</v>
      </c>
      <c r="K92" s="3">
        <f t="shared" ca="1" si="100"/>
        <v>3.9055103584210736E-2</v>
      </c>
      <c r="L92" s="3">
        <f t="shared" ca="1" si="100"/>
        <v>4.4093859252425052E-2</v>
      </c>
      <c r="M92" s="3">
        <f t="shared" ca="1" si="100"/>
        <v>4.0115008933823457E-2</v>
      </c>
      <c r="N92" s="3">
        <f t="shared" ca="1" si="100"/>
        <v>4.6612519349033585E-2</v>
      </c>
      <c r="O92" s="3">
        <f t="shared" ca="1" si="100"/>
        <v>4.2800808236020726E-2</v>
      </c>
      <c r="P92" s="3">
        <f t="shared" ca="1" si="100"/>
        <v>4.7359493816298712E-2</v>
      </c>
      <c r="Q92" s="3">
        <f t="shared" ca="1" si="100"/>
        <v>4.4734821483207926E-2</v>
      </c>
      <c r="R92" s="3">
        <f t="shared" ca="1" si="100"/>
        <v>4.9325420845434342E-2</v>
      </c>
      <c r="S92" s="3">
        <f t="shared" ca="1" si="100"/>
        <v>4.7255275634906627E-2</v>
      </c>
      <c r="T92" s="3">
        <f t="shared" ca="1" si="100"/>
        <v>5.1230006308613872E-2</v>
      </c>
      <c r="U92" s="3">
        <f t="shared" ca="1" si="100"/>
        <v>5.0317223571781852E-2</v>
      </c>
      <c r="V92" s="3">
        <f t="shared" ca="1" si="100"/>
        <v>5.1930349939370492E-2</v>
      </c>
      <c r="W92" s="3">
        <f t="shared" ca="1" si="100"/>
        <v>5.2657987878614962E-2</v>
      </c>
      <c r="X92" s="3">
        <f t="shared" ca="1" si="100"/>
        <v>5.7160536731102225E-2</v>
      </c>
      <c r="Y92" s="3">
        <f t="shared" ca="1" si="100"/>
        <v>5.9038793312184937E-2</v>
      </c>
      <c r="Z92" s="3">
        <f t="shared" ca="1" si="100"/>
        <v>6.6246164994766682E-2</v>
      </c>
      <c r="AA92" s="3">
        <f t="shared" ca="1" si="100"/>
        <v>6.9799512248973614E-2</v>
      </c>
      <c r="AB92" s="3">
        <f t="shared" ref="AB92" ca="1" si="108">MIN(0.99,AB35+$O$3)</f>
        <v>7.01556472789098E-2</v>
      </c>
      <c r="AC92" s="3">
        <f t="shared" ca="1" si="94"/>
        <v>7.6907912030394418E-2</v>
      </c>
      <c r="AD92" s="3">
        <f t="shared" ca="1" si="94"/>
        <v>8.3525753168556691E-2</v>
      </c>
      <c r="AE92" s="3">
        <f t="shared" ca="1" si="94"/>
        <v>7.9362169382365788E-2</v>
      </c>
      <c r="AF92" s="3">
        <f t="shared" ca="1" si="94"/>
        <v>9.4818524889749012E-2</v>
      </c>
      <c r="AG92" s="3">
        <f t="shared" ca="1" si="94"/>
        <v>9.0857867199433645E-2</v>
      </c>
      <c r="AH92" s="3">
        <f t="shared" ca="1" si="94"/>
        <v>0.1278646016736095</v>
      </c>
      <c r="AI92" s="3">
        <f t="shared" ca="1" si="94"/>
        <v>0.104272154106374</v>
      </c>
      <c r="AJ92" s="3">
        <f t="shared" ca="1" si="94"/>
        <v>0.1862045443072036</v>
      </c>
    </row>
    <row r="93" spans="1:36" x14ac:dyDescent="0.35">
      <c r="A93" t="s">
        <v>77</v>
      </c>
      <c r="B93" t="s">
        <v>61</v>
      </c>
      <c r="C93" s="4">
        <v>5</v>
      </c>
      <c r="D93" s="3">
        <f t="shared" ca="1" si="77"/>
        <v>3.5556052548276595E-2</v>
      </c>
      <c r="E93" s="3">
        <f t="shared" ca="1" si="100"/>
        <v>3.4817136750568418E-2</v>
      </c>
      <c r="F93" s="3">
        <f t="shared" ca="1" si="100"/>
        <v>3.7669192133634219E-2</v>
      </c>
      <c r="G93" s="3">
        <f t="shared" ca="1" si="100"/>
        <v>3.6727357810103216E-2</v>
      </c>
      <c r="H93" s="3">
        <f t="shared" ca="1" si="100"/>
        <v>4.1074700496994687E-2</v>
      </c>
      <c r="I93" s="3">
        <f t="shared" ca="1" si="100"/>
        <v>3.7985357524817527E-2</v>
      </c>
      <c r="J93" s="3">
        <f t="shared" ca="1" si="100"/>
        <v>4.2949883730470678E-2</v>
      </c>
      <c r="K93" s="3">
        <f t="shared" ca="1" si="100"/>
        <v>4.0043430289160825E-2</v>
      </c>
      <c r="L93" s="3">
        <f t="shared" ca="1" si="100"/>
        <v>4.5019932770059716E-2</v>
      </c>
      <c r="M93" s="3">
        <f t="shared" ca="1" si="100"/>
        <v>4.1038825879667284E-2</v>
      </c>
      <c r="N93" s="3">
        <f t="shared" ca="1" si="100"/>
        <v>4.7552625599673222E-2</v>
      </c>
      <c r="O93" s="3">
        <f t="shared" ca="1" si="100"/>
        <v>4.3733623665499377E-2</v>
      </c>
      <c r="P93" s="3">
        <f t="shared" ca="1" si="100"/>
        <v>4.82728937234514E-2</v>
      </c>
      <c r="Q93" s="3">
        <f t="shared" ca="1" si="100"/>
        <v>4.5691908172848336E-2</v>
      </c>
      <c r="R93" s="3">
        <f t="shared" ca="1" si="100"/>
        <v>5.0299896175524939E-2</v>
      </c>
      <c r="S93" s="3">
        <f t="shared" ca="1" si="100"/>
        <v>4.8192504150817446E-2</v>
      </c>
      <c r="T93" s="3">
        <f t="shared" ca="1" si="100"/>
        <v>5.2142651773624621E-2</v>
      </c>
      <c r="U93" s="3">
        <f t="shared" ca="1" si="100"/>
        <v>5.1306984623462074E-2</v>
      </c>
      <c r="V93" s="3">
        <f t="shared" ca="1" si="100"/>
        <v>5.2860610285067347E-2</v>
      </c>
      <c r="W93" s="3">
        <f t="shared" ca="1" si="100"/>
        <v>5.3607847513868261E-2</v>
      </c>
      <c r="X93" s="3">
        <f t="shared" ca="1" si="100"/>
        <v>5.8147155647595573E-2</v>
      </c>
      <c r="Y93" s="3">
        <f t="shared" ca="1" si="100"/>
        <v>6.0024896280166738E-2</v>
      </c>
      <c r="Z93" s="3">
        <f t="shared" ca="1" si="100"/>
        <v>6.7207747213607449E-2</v>
      </c>
      <c r="AA93" s="3">
        <f t="shared" ca="1" si="100"/>
        <v>7.0746265183318419E-2</v>
      </c>
      <c r="AB93" s="3">
        <f t="shared" ref="AB93" ca="1" si="109">MIN(0.99,AB36+$O$3)</f>
        <v>7.1088254864359851E-2</v>
      </c>
      <c r="AC93" s="3">
        <f t="shared" ca="1" si="94"/>
        <v>7.7896931185810134E-2</v>
      </c>
      <c r="AD93" s="3">
        <f t="shared" ca="1" si="94"/>
        <v>8.451873155220202E-2</v>
      </c>
      <c r="AE93" s="3">
        <f t="shared" ca="1" si="94"/>
        <v>8.0280456719436358E-2</v>
      </c>
      <c r="AF93" s="3">
        <f t="shared" ca="1" si="94"/>
        <v>9.5740520315356875E-2</v>
      </c>
      <c r="AG93" s="3">
        <f t="shared" ca="1" si="94"/>
        <v>9.1809165351764893E-2</v>
      </c>
      <c r="AH93" s="3">
        <f t="shared" ca="1" si="94"/>
        <v>0.12883627617163926</v>
      </c>
      <c r="AI93" s="3">
        <f t="shared" ca="1" si="94"/>
        <v>0.10523248602015364</v>
      </c>
      <c r="AJ93" s="3">
        <f t="shared" ca="1" si="94"/>
        <v>0.18720188865762402</v>
      </c>
    </row>
    <row r="94" spans="1:36" x14ac:dyDescent="0.35">
      <c r="A94" t="s">
        <v>77</v>
      </c>
      <c r="B94" t="s">
        <v>61</v>
      </c>
      <c r="C94" s="4" t="s">
        <v>71</v>
      </c>
      <c r="D94" s="3">
        <f t="shared" ca="1" si="77"/>
        <v>3.6486357486533227E-2</v>
      </c>
      <c r="E94" s="3">
        <f t="shared" ca="1" si="100"/>
        <v>3.5723575167571256E-2</v>
      </c>
      <c r="F94" s="3">
        <f t="shared" ca="1" si="100"/>
        <v>3.8587307073206747E-2</v>
      </c>
      <c r="G94" s="3">
        <f t="shared" ca="1" si="100"/>
        <v>3.7709671696559477E-2</v>
      </c>
      <c r="H94" s="3">
        <f t="shared" ca="1" si="100"/>
        <v>4.2072149445550169E-2</v>
      </c>
      <c r="I94" s="3">
        <f t="shared" ca="1" si="100"/>
        <v>3.8940827941307106E-2</v>
      </c>
      <c r="J94" s="3">
        <f t="shared" ca="1" si="100"/>
        <v>4.3940784219190038E-2</v>
      </c>
      <c r="K94" s="3">
        <f t="shared" ca="1" si="100"/>
        <v>4.1014875552333713E-2</v>
      </c>
      <c r="L94" s="3">
        <f t="shared" ca="1" si="100"/>
        <v>4.5945215523924623E-2</v>
      </c>
      <c r="M94" s="3">
        <f t="shared" ca="1" si="100"/>
        <v>4.2019866960198327E-2</v>
      </c>
      <c r="N94" s="3">
        <f t="shared" ca="1" si="100"/>
        <v>4.8518005967786611E-2</v>
      </c>
      <c r="O94" s="3">
        <f t="shared" ca="1" si="100"/>
        <v>4.4707102656402993E-2</v>
      </c>
      <c r="P94" s="3">
        <f t="shared" ca="1" si="100"/>
        <v>4.9204471017043949E-2</v>
      </c>
      <c r="Q94" s="3">
        <f t="shared" ca="1" si="100"/>
        <v>4.667398509821008E-2</v>
      </c>
      <c r="R94" s="3">
        <f t="shared" ca="1" si="100"/>
        <v>5.1225588545278936E-2</v>
      </c>
      <c r="S94" s="3">
        <f t="shared" ca="1" si="100"/>
        <v>4.9148034928200669E-2</v>
      </c>
      <c r="T94" s="3">
        <f t="shared" ca="1" si="100"/>
        <v>5.3070442126574267E-2</v>
      </c>
      <c r="U94" s="3">
        <f t="shared" ca="1" si="100"/>
        <v>5.2220894661883885E-2</v>
      </c>
      <c r="V94" s="3">
        <f t="shared" ca="1" si="100"/>
        <v>5.3794050154439457E-2</v>
      </c>
      <c r="W94" s="3">
        <f t="shared" ca="1" si="100"/>
        <v>5.4531844269168531E-2</v>
      </c>
      <c r="X94" s="3">
        <f t="shared" ca="1" si="100"/>
        <v>5.905421183367969E-2</v>
      </c>
      <c r="Y94" s="3">
        <f t="shared" ca="1" si="100"/>
        <v>6.097608253791921E-2</v>
      </c>
      <c r="Z94" s="3">
        <f t="shared" ca="1" si="100"/>
        <v>6.8190807103522738E-2</v>
      </c>
      <c r="AA94" s="3">
        <f t="shared" ca="1" si="100"/>
        <v>7.1671114762931171E-2</v>
      </c>
      <c r="AB94" s="3">
        <f t="shared" ref="AB94" ca="1" si="110">MIN(0.99,AB37+$O$3)</f>
        <v>7.199994818049224E-2</v>
      </c>
      <c r="AC94" s="3">
        <f t="shared" ca="1" si="94"/>
        <v>7.8870842147789166E-2</v>
      </c>
      <c r="AD94" s="3">
        <f t="shared" ca="1" si="94"/>
        <v>8.5487348190474266E-2</v>
      </c>
      <c r="AE94" s="3">
        <f t="shared" ca="1" si="94"/>
        <v>8.1235560299499465E-2</v>
      </c>
      <c r="AF94" s="3">
        <f t="shared" ca="1" si="94"/>
        <v>9.6738035746347484E-2</v>
      </c>
      <c r="AG94" s="3">
        <f t="shared" ca="1" si="94"/>
        <v>9.2718538516937177E-2</v>
      </c>
      <c r="AH94" s="3">
        <f t="shared" ca="1" si="94"/>
        <v>0.12980549609748618</v>
      </c>
      <c r="AI94" s="3">
        <f t="shared" ca="1" si="94"/>
        <v>0.10617060711727394</v>
      </c>
      <c r="AJ94" s="3">
        <f t="shared" ca="1" si="94"/>
        <v>0.18815235118980422</v>
      </c>
    </row>
    <row r="95" spans="1:36" x14ac:dyDescent="0.35">
      <c r="A95" t="s">
        <v>77</v>
      </c>
      <c r="B95" t="s">
        <v>61</v>
      </c>
      <c r="C95" s="4" t="s">
        <v>72</v>
      </c>
      <c r="D95" s="3">
        <f t="shared" ca="1" si="77"/>
        <v>3.7408113325230793E-2</v>
      </c>
      <c r="E95" s="3">
        <f t="shared" ca="1" si="100"/>
        <v>3.6681929290234554E-2</v>
      </c>
      <c r="F95" s="3">
        <f t="shared" ca="1" si="100"/>
        <v>3.9562564904173925E-2</v>
      </c>
      <c r="G95" s="3">
        <f t="shared" ca="1" si="100"/>
        <v>3.8706714504824713E-2</v>
      </c>
      <c r="H95" s="3">
        <f t="shared" ca="1" si="100"/>
        <v>4.304892778766177E-2</v>
      </c>
      <c r="I95" s="3">
        <f t="shared" ca="1" si="100"/>
        <v>3.9878257458817165E-2</v>
      </c>
      <c r="J95" s="3">
        <f t="shared" ca="1" si="100"/>
        <v>4.4851309073026591E-2</v>
      </c>
      <c r="K95" s="3">
        <f t="shared" ca="1" si="100"/>
        <v>4.1944594783070707E-2</v>
      </c>
      <c r="L95" s="3">
        <f t="shared" ca="1" si="100"/>
        <v>4.6880720455501512E-2</v>
      </c>
      <c r="M95" s="3">
        <f t="shared" ca="1" si="100"/>
        <v>4.2980272273753492E-2</v>
      </c>
      <c r="N95" s="3">
        <f t="shared" ca="1" si="100"/>
        <v>4.9481510600265899E-2</v>
      </c>
      <c r="O95" s="3">
        <f t="shared" ca="1" si="100"/>
        <v>4.5649324957551668E-2</v>
      </c>
      <c r="P95" s="3">
        <f t="shared" ca="1" si="100"/>
        <v>5.019691950937568E-2</v>
      </c>
      <c r="Q95" s="3">
        <f t="shared" ca="1" si="100"/>
        <v>4.7609181993810153E-2</v>
      </c>
      <c r="R95" s="3">
        <f t="shared" ca="1" si="100"/>
        <v>5.2135334864312349E-2</v>
      </c>
      <c r="S95" s="3">
        <f t="shared" ca="1" si="100"/>
        <v>5.0134854804348608E-2</v>
      </c>
      <c r="T95" s="3">
        <f t="shared" ca="1" si="100"/>
        <v>5.4055285638435743E-2</v>
      </c>
      <c r="U95" s="3">
        <f t="shared" ca="1" si="100"/>
        <v>5.3134458497370043E-2</v>
      </c>
      <c r="V95" s="3">
        <f t="shared" ca="1" si="100"/>
        <v>5.4711238886089079E-2</v>
      </c>
      <c r="W95" s="3">
        <f t="shared" ca="1" si="100"/>
        <v>5.5531781680966542E-2</v>
      </c>
      <c r="X95" s="3">
        <f t="shared" ca="1" si="100"/>
        <v>6.0008781199407245E-2</v>
      </c>
      <c r="Y95" s="3">
        <f t="shared" ca="1" si="100"/>
        <v>6.1879925180752297E-2</v>
      </c>
      <c r="Z95" s="3">
        <f t="shared" ca="1" si="100"/>
        <v>6.9137471712592685E-2</v>
      </c>
      <c r="AA95" s="3">
        <f t="shared" ca="1" si="100"/>
        <v>7.2633861457387414E-2</v>
      </c>
      <c r="AB95" s="3">
        <f t="shared" ref="AB95:AJ110" ca="1" si="111">MIN(0.99,AB38+$O$3)</f>
        <v>7.294654012332133E-2</v>
      </c>
      <c r="AC95" s="3">
        <f t="shared" ca="1" si="111"/>
        <v>7.9827303048571649E-2</v>
      </c>
      <c r="AD95" s="3">
        <f t="shared" ca="1" si="111"/>
        <v>8.6425484279590487E-2</v>
      </c>
      <c r="AE95" s="3">
        <f t="shared" ca="1" si="111"/>
        <v>8.2191378051954853E-2</v>
      </c>
      <c r="AF95" s="3">
        <f t="shared" ca="1" si="111"/>
        <v>9.7695385173499266E-2</v>
      </c>
      <c r="AG95" s="3">
        <f t="shared" ca="1" si="111"/>
        <v>9.3641256912083748E-2</v>
      </c>
      <c r="AH95" s="3">
        <f t="shared" ca="1" si="111"/>
        <v>0.13073485015729411</v>
      </c>
      <c r="AI95" s="3">
        <f t="shared" ca="1" si="111"/>
        <v>0.10715296267306668</v>
      </c>
      <c r="AJ95" s="3">
        <f t="shared" ca="1" si="111"/>
        <v>0.18914563104603746</v>
      </c>
    </row>
    <row r="96" spans="1:36" x14ac:dyDescent="0.35">
      <c r="A96" t="s">
        <v>77</v>
      </c>
      <c r="B96" t="s">
        <v>61</v>
      </c>
      <c r="C96" s="4">
        <v>6</v>
      </c>
      <c r="D96" s="3">
        <f t="shared" ca="1" si="77"/>
        <v>3.8394632355932282E-2</v>
      </c>
      <c r="E96" s="3">
        <f t="shared" ca="1" si="100"/>
        <v>3.7641195400122562E-2</v>
      </c>
      <c r="F96" s="3">
        <f t="shared" ca="1" si="100"/>
        <v>4.0511388668425727E-2</v>
      </c>
      <c r="G96" s="3">
        <f t="shared" ca="1" si="100"/>
        <v>3.9625723815489761E-2</v>
      </c>
      <c r="H96" s="3">
        <f t="shared" ca="1" si="100"/>
        <v>4.3956837306065186E-2</v>
      </c>
      <c r="I96" s="3">
        <f t="shared" ca="1" si="100"/>
        <v>4.0805444461140386E-2</v>
      </c>
      <c r="J96" s="3">
        <f t="shared" ca="1" si="100"/>
        <v>4.5833474018499604E-2</v>
      </c>
      <c r="K96" s="3">
        <f t="shared" ca="1" si="100"/>
        <v>4.2919188002477286E-2</v>
      </c>
      <c r="L96" s="3">
        <f t="shared" ca="1" si="100"/>
        <v>4.7849290430718457E-2</v>
      </c>
      <c r="M96" s="3">
        <f t="shared" ca="1" si="100"/>
        <v>4.3908803782563698E-2</v>
      </c>
      <c r="N96" s="3">
        <f t="shared" ca="1" si="100"/>
        <v>5.0462944069891519E-2</v>
      </c>
      <c r="O96" s="3">
        <f t="shared" ca="1" si="100"/>
        <v>4.662791416794336E-2</v>
      </c>
      <c r="P96" s="3">
        <f t="shared" ca="1" si="100"/>
        <v>5.1147134854824305E-2</v>
      </c>
      <c r="Q96" s="3">
        <f t="shared" ca="1" si="100"/>
        <v>4.856216956961025E-2</v>
      </c>
      <c r="R96" s="3">
        <f t="shared" ca="1" si="100"/>
        <v>5.3104147945340449E-2</v>
      </c>
      <c r="S96" s="3">
        <f t="shared" ca="1" si="100"/>
        <v>5.1060606825952454E-2</v>
      </c>
      <c r="T96" s="3">
        <f t="shared" ca="1" si="100"/>
        <v>5.499987929771994E-2</v>
      </c>
      <c r="U96" s="3">
        <f t="shared" ca="1" si="100"/>
        <v>5.4059677072176418E-2</v>
      </c>
      <c r="V96" s="3">
        <f t="shared" ca="1" si="100"/>
        <v>5.5621595809218556E-2</v>
      </c>
      <c r="W96" s="3">
        <f t="shared" ca="1" si="100"/>
        <v>5.6446684763107428E-2</v>
      </c>
      <c r="X96" s="3">
        <f t="shared" ca="1" si="100"/>
        <v>6.0973307693038534E-2</v>
      </c>
      <c r="Y96" s="3">
        <f t="shared" ca="1" si="100"/>
        <v>6.2842944705607376E-2</v>
      </c>
      <c r="Z96" s="3">
        <f t="shared" ref="E96:AA107" ca="1" si="112">MIN(0.99,Z39+$O$3)</f>
        <v>7.0075913857378311E-2</v>
      </c>
      <c r="AA96" s="3">
        <f t="shared" ca="1" si="112"/>
        <v>7.3558862356386506E-2</v>
      </c>
      <c r="AB96" s="3">
        <f t="shared" ref="AB96" ca="1" si="113">MIN(0.99,AB39+$O$3)</f>
        <v>7.392136868253224E-2</v>
      </c>
      <c r="AC96" s="3">
        <f t="shared" ca="1" si="111"/>
        <v>8.0736146079593951E-2</v>
      </c>
      <c r="AD96" s="3">
        <f t="shared" ca="1" si="111"/>
        <v>8.7419592924496498E-2</v>
      </c>
      <c r="AE96" s="3">
        <f t="shared" ca="1" si="111"/>
        <v>8.3175306703845098E-2</v>
      </c>
      <c r="AF96" s="3">
        <f t="shared" ca="1" si="111"/>
        <v>9.86881237143373E-2</v>
      </c>
      <c r="AG96" s="3">
        <f t="shared" ca="1" si="111"/>
        <v>9.4542829353237073E-2</v>
      </c>
      <c r="AH96" s="3">
        <f t="shared" ca="1" si="111"/>
        <v>0.13169830910672001</v>
      </c>
      <c r="AI96" s="3">
        <f t="shared" ca="1" si="111"/>
        <v>0.10805875379895599</v>
      </c>
      <c r="AJ96" s="3">
        <f t="shared" ca="1" si="111"/>
        <v>0.1900626556579712</v>
      </c>
    </row>
    <row r="97" spans="1:36" x14ac:dyDescent="0.35">
      <c r="A97" t="s">
        <v>77</v>
      </c>
      <c r="B97" t="s">
        <v>61</v>
      </c>
      <c r="C97" s="4" t="s">
        <v>73</v>
      </c>
      <c r="D97" s="3">
        <f t="shared" ca="1" si="77"/>
        <v>3.9386936351762145E-2</v>
      </c>
      <c r="E97" s="3">
        <f t="shared" ca="1" si="112"/>
        <v>3.854762870130992E-2</v>
      </c>
      <c r="F97" s="3">
        <f t="shared" ca="1" si="112"/>
        <v>4.150001389215438E-2</v>
      </c>
      <c r="G97" s="3">
        <f t="shared" ca="1" si="112"/>
        <v>4.0621741231034875E-2</v>
      </c>
      <c r="H97" s="3">
        <f t="shared" ca="1" si="112"/>
        <v>4.4921713832228469E-2</v>
      </c>
      <c r="I97" s="3">
        <f t="shared" ca="1" si="112"/>
        <v>4.174413537067842E-2</v>
      </c>
      <c r="J97" s="3">
        <f t="shared" ca="1" si="112"/>
        <v>4.6785054890590247E-2</v>
      </c>
      <c r="K97" s="3">
        <f t="shared" ca="1" si="112"/>
        <v>4.3844510714854117E-2</v>
      </c>
      <c r="L97" s="3">
        <f t="shared" ca="1" si="112"/>
        <v>4.8760181910827649E-2</v>
      </c>
      <c r="M97" s="3">
        <f t="shared" ca="1" si="112"/>
        <v>4.4897262463629566E-2</v>
      </c>
      <c r="N97" s="3">
        <f t="shared" ca="1" si="112"/>
        <v>5.1412569454329815E-2</v>
      </c>
      <c r="O97" s="3">
        <f t="shared" ca="1" si="112"/>
        <v>4.7570225178357697E-2</v>
      </c>
      <c r="P97" s="3">
        <f t="shared" ca="1" si="112"/>
        <v>5.2058277735596549E-2</v>
      </c>
      <c r="Q97" s="3">
        <f t="shared" ca="1" si="112"/>
        <v>4.9555017233816626E-2</v>
      </c>
      <c r="R97" s="3">
        <f t="shared" ca="1" si="112"/>
        <v>5.4078642714833043E-2</v>
      </c>
      <c r="S97" s="3">
        <f t="shared" ca="1" si="112"/>
        <v>5.1981916774979944E-2</v>
      </c>
      <c r="T97" s="3">
        <f t="shared" ca="1" si="112"/>
        <v>5.596595138248503E-2</v>
      </c>
      <c r="U97" s="3">
        <f t="shared" ca="1" si="112"/>
        <v>5.4990554205338223E-2</v>
      </c>
      <c r="V97" s="3">
        <f t="shared" ca="1" si="112"/>
        <v>5.6530191387907158E-2</v>
      </c>
      <c r="W97" s="3">
        <f t="shared" ca="1" si="112"/>
        <v>5.7425487108905236E-2</v>
      </c>
      <c r="X97" s="3">
        <f t="shared" ca="1" si="112"/>
        <v>6.196719517272245E-2</v>
      </c>
      <c r="Y97" s="3">
        <f t="shared" ca="1" si="112"/>
        <v>6.3804531296219852E-2</v>
      </c>
      <c r="Z97" s="3">
        <f t="shared" ca="1" si="112"/>
        <v>7.1001829703067509E-2</v>
      </c>
      <c r="AA97" s="3">
        <f t="shared" ca="1" si="112"/>
        <v>7.4524644663008649E-2</v>
      </c>
      <c r="AB97" s="3">
        <f t="shared" ref="AB97" ca="1" si="114">MIN(0.99,AB40+$O$3)</f>
        <v>7.4873881910314605E-2</v>
      </c>
      <c r="AC97" s="3">
        <f t="shared" ca="1" si="111"/>
        <v>8.1673874968464344E-2</v>
      </c>
      <c r="AD97" s="3">
        <f t="shared" ca="1" si="111"/>
        <v>8.8384887718954946E-2</v>
      </c>
      <c r="AE97" s="3">
        <f t="shared" ca="1" si="111"/>
        <v>8.4078567578935129E-2</v>
      </c>
      <c r="AF97" s="3">
        <f t="shared" ca="1" si="111"/>
        <v>9.9639311339377201E-2</v>
      </c>
      <c r="AG97" s="3">
        <f t="shared" ca="1" si="111"/>
        <v>9.5541802076112431E-2</v>
      </c>
      <c r="AH97" s="3">
        <f t="shared" ca="1" si="111"/>
        <v>0.13265107764986414</v>
      </c>
      <c r="AI97" s="3">
        <f t="shared" ca="1" si="111"/>
        <v>0.10898371906548915</v>
      </c>
      <c r="AJ97" s="3">
        <f t="shared" ca="1" si="111"/>
        <v>0.1909929887846348</v>
      </c>
    </row>
    <row r="98" spans="1:36" x14ac:dyDescent="0.35">
      <c r="A98" t="s">
        <v>77</v>
      </c>
      <c r="B98" t="s">
        <v>61</v>
      </c>
      <c r="C98" s="4" t="s">
        <v>74</v>
      </c>
      <c r="D98" s="3">
        <f t="shared" ca="1" si="77"/>
        <v>4.0316337697384304E-2</v>
      </c>
      <c r="E98" s="3">
        <f t="shared" ca="1" si="112"/>
        <v>3.9538279054390536E-2</v>
      </c>
      <c r="F98" s="3">
        <f t="shared" ca="1" si="112"/>
        <v>4.2402286295640926E-2</v>
      </c>
      <c r="G98" s="3">
        <f t="shared" ca="1" si="112"/>
        <v>4.1541311257806246E-2</v>
      </c>
      <c r="H98" s="3">
        <f t="shared" ca="1" si="112"/>
        <v>4.5876947885218726E-2</v>
      </c>
      <c r="I98" s="3">
        <f t="shared" ca="1" si="112"/>
        <v>4.2689346036882334E-2</v>
      </c>
      <c r="J98" s="3">
        <f t="shared" ca="1" si="112"/>
        <v>4.7738976535387834E-2</v>
      </c>
      <c r="K98" s="3">
        <f t="shared" ca="1" si="112"/>
        <v>4.4794991529974182E-2</v>
      </c>
      <c r="L98" s="3">
        <f t="shared" ca="1" si="112"/>
        <v>4.9733787315479706E-2</v>
      </c>
      <c r="M98" s="3">
        <f t="shared" ca="1" si="112"/>
        <v>4.5849105925949804E-2</v>
      </c>
      <c r="N98" s="3">
        <f t="shared" ca="1" si="112"/>
        <v>5.2356862334789464E-2</v>
      </c>
      <c r="O98" s="3">
        <f t="shared" ca="1" si="112"/>
        <v>4.8501735513536884E-2</v>
      </c>
      <c r="P98" s="3">
        <f t="shared" ca="1" si="112"/>
        <v>5.3012636013329173E-2</v>
      </c>
      <c r="Q98" s="3">
        <f t="shared" ca="1" si="112"/>
        <v>5.0543480492738407E-2</v>
      </c>
      <c r="R98" s="3">
        <f t="shared" ca="1" si="112"/>
        <v>5.5062942723031749E-2</v>
      </c>
      <c r="S98" s="3">
        <f t="shared" ca="1" si="112"/>
        <v>5.2978071046557343E-2</v>
      </c>
      <c r="T98" s="3">
        <f t="shared" ca="1" si="112"/>
        <v>5.6873941535837261E-2</v>
      </c>
      <c r="U98" s="3">
        <f t="shared" ca="1" si="112"/>
        <v>5.5901813714334385E-2</v>
      </c>
      <c r="V98" s="3">
        <f t="shared" ca="1" si="112"/>
        <v>5.7524863128918954E-2</v>
      </c>
      <c r="W98" s="3">
        <f t="shared" ca="1" si="112"/>
        <v>5.8344331226903336E-2</v>
      </c>
      <c r="X98" s="3">
        <f t="shared" ca="1" si="112"/>
        <v>6.2933285833749228E-2</v>
      </c>
      <c r="Y98" s="3">
        <f t="shared" ca="1" si="112"/>
        <v>6.473923200464704E-2</v>
      </c>
      <c r="Z98" s="3">
        <f t="shared" ca="1" si="112"/>
        <v>7.1929645632501399E-2</v>
      </c>
      <c r="AA98" s="3">
        <f t="shared" ca="1" si="112"/>
        <v>7.5500608686178611E-2</v>
      </c>
      <c r="AB98" s="3">
        <f t="shared" ref="AB98" ca="1" si="115">MIN(0.99,AB41+$O$3)</f>
        <v>7.5821075526127518E-2</v>
      </c>
      <c r="AC98" s="3">
        <f t="shared" ca="1" si="111"/>
        <v>8.2600282742797307E-2</v>
      </c>
      <c r="AD98" s="3">
        <f t="shared" ca="1" si="111"/>
        <v>8.9287347364944508E-2</v>
      </c>
      <c r="AE98" s="3">
        <f t="shared" ca="1" si="111"/>
        <v>8.502820870906308E-2</v>
      </c>
      <c r="AF98" s="3">
        <f t="shared" ca="1" si="111"/>
        <v>0.10054018022247707</v>
      </c>
      <c r="AG98" s="3">
        <f t="shared" ca="1" si="111"/>
        <v>9.6502936802017242E-2</v>
      </c>
      <c r="AH98" s="3">
        <f t="shared" ca="1" si="111"/>
        <v>0.13359289197554838</v>
      </c>
      <c r="AI98" s="3">
        <f t="shared" ca="1" si="111"/>
        <v>0.10996916048003796</v>
      </c>
      <c r="AJ98" s="3">
        <f t="shared" ca="1" si="111"/>
        <v>0.19193474800599616</v>
      </c>
    </row>
    <row r="99" spans="1:36" x14ac:dyDescent="0.35">
      <c r="A99" t="s">
        <v>77</v>
      </c>
      <c r="B99" t="s">
        <v>61</v>
      </c>
      <c r="C99" s="4">
        <v>7</v>
      </c>
      <c r="D99" s="3">
        <f t="shared" ca="1" si="77"/>
        <v>4.1226710086550308E-2</v>
      </c>
      <c r="E99" s="3">
        <f t="shared" ca="1" si="112"/>
        <v>4.0453362690508275E-2</v>
      </c>
      <c r="F99" s="3">
        <f t="shared" ca="1" si="112"/>
        <v>4.3345344187116691E-2</v>
      </c>
      <c r="G99" s="3">
        <f t="shared" ca="1" si="112"/>
        <v>4.2458083368384004E-2</v>
      </c>
      <c r="H99" s="3">
        <f t="shared" ca="1" si="112"/>
        <v>4.6794438285014353E-2</v>
      </c>
      <c r="I99" s="3">
        <f t="shared" ca="1" si="112"/>
        <v>4.3673062716267599E-2</v>
      </c>
      <c r="J99" s="3">
        <f t="shared" ca="1" si="112"/>
        <v>4.8729653518105848E-2</v>
      </c>
      <c r="K99" s="3">
        <f t="shared" ca="1" si="112"/>
        <v>4.5736860398129714E-2</v>
      </c>
      <c r="L99" s="3">
        <f t="shared" ca="1" si="112"/>
        <v>5.0668287764437409E-2</v>
      </c>
      <c r="M99" s="3">
        <f t="shared" ca="1" si="112"/>
        <v>4.6834791632298298E-2</v>
      </c>
      <c r="N99" s="3">
        <f t="shared" ca="1" si="112"/>
        <v>5.326592907596403E-2</v>
      </c>
      <c r="O99" s="3">
        <f t="shared" ca="1" si="112"/>
        <v>4.9415459108561419E-2</v>
      </c>
      <c r="P99" s="3">
        <f t="shared" ca="1" si="112"/>
        <v>5.4000408365831226E-2</v>
      </c>
      <c r="Q99" s="3">
        <f t="shared" ca="1" si="112"/>
        <v>5.148050522759863E-2</v>
      </c>
      <c r="R99" s="3">
        <f t="shared" ca="1" si="112"/>
        <v>5.6054880705174677E-2</v>
      </c>
      <c r="S99" s="3">
        <f t="shared" ca="1" si="112"/>
        <v>5.3895950672121752E-2</v>
      </c>
      <c r="T99" s="3">
        <f t="shared" ca="1" si="112"/>
        <v>5.7868544012707704E-2</v>
      </c>
      <c r="U99" s="3">
        <f t="shared" ca="1" si="112"/>
        <v>5.6885630716157327E-2</v>
      </c>
      <c r="V99" s="3">
        <f t="shared" ca="1" si="112"/>
        <v>5.8460831225618057E-2</v>
      </c>
      <c r="W99" s="3">
        <f t="shared" ca="1" si="112"/>
        <v>5.9329980357340432E-2</v>
      </c>
      <c r="X99" s="3">
        <f t="shared" ca="1" si="112"/>
        <v>6.3848456895077038E-2</v>
      </c>
      <c r="Y99" s="3">
        <f t="shared" ca="1" si="112"/>
        <v>6.5668428605155399E-2</v>
      </c>
      <c r="Z99" s="3">
        <f t="shared" ca="1" si="112"/>
        <v>7.2887780807242897E-2</v>
      </c>
      <c r="AA99" s="3">
        <f t="shared" ca="1" si="112"/>
        <v>7.6483147803501003E-2</v>
      </c>
      <c r="AB99" s="3">
        <f t="shared" ref="AB99" ca="1" si="116">MIN(0.99,AB42+$O$3)</f>
        <v>7.6789868959764418E-2</v>
      </c>
      <c r="AC99" s="3">
        <f t="shared" ca="1" si="111"/>
        <v>8.3587536934887463E-2</v>
      </c>
      <c r="AD99" s="3">
        <f t="shared" ca="1" si="111"/>
        <v>9.0191822836581281E-2</v>
      </c>
      <c r="AE99" s="3">
        <f t="shared" ca="1" si="111"/>
        <v>8.5967285148231543E-2</v>
      </c>
      <c r="AF99" s="3">
        <f t="shared" ca="1" si="111"/>
        <v>0.1014695322364304</v>
      </c>
      <c r="AG99" s="3">
        <f t="shared" ca="1" si="111"/>
        <v>9.7439550165172556E-2</v>
      </c>
      <c r="AH99" s="3">
        <f t="shared" ca="1" si="111"/>
        <v>0.13456056495424173</v>
      </c>
      <c r="AI99" s="3">
        <f t="shared" ca="1" si="111"/>
        <v>0.11095816250837653</v>
      </c>
      <c r="AJ99" s="3">
        <f t="shared" ca="1" si="111"/>
        <v>0.19289210828009404</v>
      </c>
    </row>
    <row r="100" spans="1:36" x14ac:dyDescent="0.35">
      <c r="A100" t="s">
        <v>77</v>
      </c>
      <c r="B100" t="s">
        <v>61</v>
      </c>
      <c r="C100" s="4" t="s">
        <v>75</v>
      </c>
      <c r="D100" s="3">
        <f t="shared" ca="1" si="77"/>
        <v>4.2128009240577365E-2</v>
      </c>
      <c r="E100" s="3">
        <f t="shared" ca="1" si="112"/>
        <v>4.1361062024404469E-2</v>
      </c>
      <c r="F100" s="3">
        <f t="shared" ca="1" si="112"/>
        <v>4.4344876758119392E-2</v>
      </c>
      <c r="G100" s="3">
        <f t="shared" ca="1" si="112"/>
        <v>4.3401094330894813E-2</v>
      </c>
      <c r="H100" s="3">
        <f t="shared" ca="1" si="112"/>
        <v>4.7754541829204536E-2</v>
      </c>
      <c r="I100" s="3">
        <f t="shared" ca="1" si="112"/>
        <v>4.4672201740085085E-2</v>
      </c>
      <c r="J100" s="3">
        <f t="shared" ca="1" si="112"/>
        <v>4.968068581481435E-2</v>
      </c>
      <c r="K100" s="3">
        <f t="shared" ca="1" si="112"/>
        <v>4.6664797669197115E-2</v>
      </c>
      <c r="L100" s="3">
        <f t="shared" ca="1" si="112"/>
        <v>5.1644006949034045E-2</v>
      </c>
      <c r="M100" s="3">
        <f t="shared" ca="1" si="112"/>
        <v>4.7795570610540669E-2</v>
      </c>
      <c r="N100" s="3">
        <f t="shared" ca="1" si="112"/>
        <v>5.4248120067561995E-2</v>
      </c>
      <c r="O100" s="3">
        <f t="shared" ca="1" si="112"/>
        <v>5.0361415936595294E-2</v>
      </c>
      <c r="P100" s="3">
        <f t="shared" ca="1" si="112"/>
        <v>5.4999578985167788E-2</v>
      </c>
      <c r="Q100" s="3">
        <f t="shared" ca="1" si="112"/>
        <v>5.2436850770994192E-2</v>
      </c>
      <c r="R100" s="3">
        <f t="shared" ca="1" si="112"/>
        <v>5.7033607776862089E-2</v>
      </c>
      <c r="S100" s="3">
        <f t="shared" ca="1" si="112"/>
        <v>5.4838425467124877E-2</v>
      </c>
      <c r="T100" s="3">
        <f t="shared" ca="1" si="112"/>
        <v>5.8854553001836049E-2</v>
      </c>
      <c r="U100" s="3">
        <f t="shared" ca="1" si="112"/>
        <v>5.787986888037211E-2</v>
      </c>
      <c r="V100" s="3">
        <f t="shared" ca="1" si="112"/>
        <v>5.9401078304836291E-2</v>
      </c>
      <c r="W100" s="3">
        <f t="shared" ca="1" si="112"/>
        <v>6.0238380121084713E-2</v>
      </c>
      <c r="X100" s="3">
        <f t="shared" ca="1" si="112"/>
        <v>6.4779280047233517E-2</v>
      </c>
      <c r="Y100" s="3">
        <f t="shared" ca="1" si="112"/>
        <v>6.6589542216064404E-2</v>
      </c>
      <c r="Z100" s="3">
        <f t="shared" ca="1" si="112"/>
        <v>7.3838985429889009E-2</v>
      </c>
      <c r="AA100" s="3">
        <f t="shared" ca="1" si="112"/>
        <v>7.7417358121150137E-2</v>
      </c>
      <c r="AB100" s="3">
        <f t="shared" ref="AB100" ca="1" si="117">MIN(0.99,AB43+$O$3)</f>
        <v>7.772525744056713E-2</v>
      </c>
      <c r="AC100" s="3">
        <f t="shared" ca="1" si="111"/>
        <v>8.4514150933259549E-2</v>
      </c>
      <c r="AD100" s="3">
        <f t="shared" ca="1" si="111"/>
        <v>9.1142020288133757E-2</v>
      </c>
      <c r="AE100" s="3">
        <f t="shared" ca="1" si="111"/>
        <v>8.6890499199080429E-2</v>
      </c>
      <c r="AF100" s="3">
        <f t="shared" ca="1" si="111"/>
        <v>0.10242310108006678</v>
      </c>
      <c r="AG100" s="3">
        <f t="shared" ca="1" si="111"/>
        <v>9.8406791801274179E-2</v>
      </c>
      <c r="AH100" s="3">
        <f t="shared" ca="1" si="111"/>
        <v>0.13548382515303334</v>
      </c>
      <c r="AI100" s="3">
        <f t="shared" ca="1" si="111"/>
        <v>0.11194396138240331</v>
      </c>
      <c r="AJ100" s="3">
        <f t="shared" ca="1" si="111"/>
        <v>0.19386470460936239</v>
      </c>
    </row>
    <row r="101" spans="1:36" x14ac:dyDescent="0.35">
      <c r="A101" t="s">
        <v>77</v>
      </c>
      <c r="B101" t="s">
        <v>62</v>
      </c>
      <c r="C101" s="4">
        <v>1</v>
      </c>
      <c r="D101" s="3">
        <f t="shared" ca="1" si="77"/>
        <v>2.5970796962687604E-2</v>
      </c>
      <c r="E101" s="3">
        <f t="shared" ca="1" si="112"/>
        <v>2.5569066030509048E-2</v>
      </c>
      <c r="F101" s="3">
        <f t="shared" ca="1" si="112"/>
        <v>2.81215214995948E-2</v>
      </c>
      <c r="G101" s="3">
        <f t="shared" ca="1" si="112"/>
        <v>2.7293275830209678E-2</v>
      </c>
      <c r="H101" s="3">
        <f t="shared" ca="1" si="112"/>
        <v>3.163880337870454E-2</v>
      </c>
      <c r="I101" s="3">
        <f t="shared" ca="1" si="112"/>
        <v>2.8418723641604842E-2</v>
      </c>
      <c r="J101" s="3">
        <f t="shared" ca="1" si="112"/>
        <v>3.3437289767064809E-2</v>
      </c>
      <c r="K101" s="3">
        <f t="shared" ca="1" si="112"/>
        <v>3.060479264892331E-2</v>
      </c>
      <c r="L101" s="3">
        <f t="shared" ca="1" si="112"/>
        <v>3.5562939556702797E-2</v>
      </c>
      <c r="M101" s="3">
        <f t="shared" ca="1" si="112"/>
        <v>3.1729510842977551E-2</v>
      </c>
      <c r="N101" s="3">
        <f t="shared" ca="1" si="112"/>
        <v>3.8083641457633197E-2</v>
      </c>
      <c r="O101" s="3">
        <f t="shared" ca="1" si="112"/>
        <v>3.4371449619040526E-2</v>
      </c>
      <c r="P101" s="3">
        <f t="shared" ca="1" si="112"/>
        <v>3.8998260665686124E-2</v>
      </c>
      <c r="Q101" s="3">
        <f t="shared" ca="1" si="112"/>
        <v>3.6318788149466118E-2</v>
      </c>
      <c r="R101" s="3">
        <f t="shared" ca="1" si="112"/>
        <v>4.079611868064123E-2</v>
      </c>
      <c r="S101" s="3">
        <f t="shared" ca="1" si="112"/>
        <v>3.862402143679404E-2</v>
      </c>
      <c r="T101" s="3">
        <f t="shared" ca="1" si="112"/>
        <v>4.2683665660623912E-2</v>
      </c>
      <c r="U101" s="3">
        <f t="shared" ca="1" si="112"/>
        <v>4.1730767205372291E-2</v>
      </c>
      <c r="V101" s="3">
        <f t="shared" ca="1" si="112"/>
        <v>4.3270831647034783E-2</v>
      </c>
      <c r="W101" s="3">
        <f t="shared" ca="1" si="112"/>
        <v>4.4103070506232175E-2</v>
      </c>
      <c r="X101" s="3">
        <f t="shared" ca="1" si="112"/>
        <v>4.8690411886367975E-2</v>
      </c>
      <c r="Y101" s="3">
        <f t="shared" ca="1" si="112"/>
        <v>5.0553909995353072E-2</v>
      </c>
      <c r="Z101" s="3">
        <f t="shared" ca="1" si="112"/>
        <v>5.7879358420199471E-2</v>
      </c>
      <c r="AA101" s="3">
        <f t="shared" ca="1" si="112"/>
        <v>6.1237765728436346E-2</v>
      </c>
      <c r="AB101" s="3">
        <f t="shared" ref="AB101" ca="1" si="118">MIN(0.99,AB44+$O$3)</f>
        <v>6.169767664916171E-2</v>
      </c>
      <c r="AC101" s="3">
        <f t="shared" ca="1" si="111"/>
        <v>6.8366275859263415E-2</v>
      </c>
      <c r="AD101" s="3">
        <f t="shared" ca="1" si="111"/>
        <v>7.4869002402212642E-2</v>
      </c>
      <c r="AE101" s="3">
        <f t="shared" ca="1" si="111"/>
        <v>7.0835099773856131E-2</v>
      </c>
      <c r="AF101" s="3">
        <f t="shared" ca="1" si="111"/>
        <v>8.6391657822298018E-2</v>
      </c>
      <c r="AG101" s="3">
        <f t="shared" ca="1" si="111"/>
        <v>8.2332463289560009E-2</v>
      </c>
      <c r="AH101" s="3">
        <f t="shared" ca="1" si="111"/>
        <v>0.11934024032581758</v>
      </c>
      <c r="AI101" s="3">
        <f t="shared" ca="1" si="111"/>
        <v>9.5781168519010612E-2</v>
      </c>
      <c r="AJ101" s="3">
        <f t="shared" ca="1" si="111"/>
        <v>0.17766365671004433</v>
      </c>
    </row>
    <row r="102" spans="1:36" x14ac:dyDescent="0.35">
      <c r="A102" t="s">
        <v>77</v>
      </c>
      <c r="B102" t="s">
        <v>62</v>
      </c>
      <c r="C102" s="4" t="s">
        <v>64</v>
      </c>
      <c r="D102" s="3">
        <f t="shared" ca="1" si="77"/>
        <v>2.6938459337925866E-2</v>
      </c>
      <c r="E102" s="3">
        <f t="shared" ca="1" si="112"/>
        <v>2.6480737362310276E-2</v>
      </c>
      <c r="F102" s="3">
        <f t="shared" ca="1" si="112"/>
        <v>2.9057860040505933E-2</v>
      </c>
      <c r="G102" s="3">
        <f t="shared" ca="1" si="112"/>
        <v>2.8235474218609835E-2</v>
      </c>
      <c r="H102" s="3">
        <f t="shared" ca="1" si="112"/>
        <v>3.2560104873220114E-2</v>
      </c>
      <c r="I102" s="3">
        <f t="shared" ca="1" si="112"/>
        <v>2.9349692825831733E-2</v>
      </c>
      <c r="J102" s="3">
        <f t="shared" ca="1" si="112"/>
        <v>3.4368869380813807E-2</v>
      </c>
      <c r="K102" s="3">
        <f t="shared" ca="1" si="112"/>
        <v>3.1505793831910892E-2</v>
      </c>
      <c r="L102" s="3">
        <f t="shared" ca="1" si="112"/>
        <v>3.6533731775278418E-2</v>
      </c>
      <c r="M102" s="3">
        <f t="shared" ca="1" si="112"/>
        <v>3.2703946402880366E-2</v>
      </c>
      <c r="N102" s="3">
        <f t="shared" ca="1" si="112"/>
        <v>3.89980455588637E-2</v>
      </c>
      <c r="O102" s="3">
        <f t="shared" ca="1" si="112"/>
        <v>3.5319499482248273E-2</v>
      </c>
      <c r="P102" s="3">
        <f t="shared" ca="1" si="112"/>
        <v>3.9900513361676646E-2</v>
      </c>
      <c r="Q102" s="3">
        <f t="shared" ca="1" si="112"/>
        <v>3.7293840655751878E-2</v>
      </c>
      <c r="R102" s="3">
        <f t="shared" ca="1" si="112"/>
        <v>4.1773413117537003E-2</v>
      </c>
      <c r="S102" s="3">
        <f t="shared" ca="1" si="112"/>
        <v>3.9587949221233612E-2</v>
      </c>
      <c r="T102" s="3">
        <f t="shared" ca="1" si="112"/>
        <v>4.361421442500539E-2</v>
      </c>
      <c r="U102" s="3">
        <f t="shared" ca="1" si="112"/>
        <v>4.2678737189284222E-2</v>
      </c>
      <c r="V102" s="3">
        <f t="shared" ca="1" si="112"/>
        <v>4.4200750885015884E-2</v>
      </c>
      <c r="W102" s="3">
        <f t="shared" ca="1" si="112"/>
        <v>4.5011378944985837E-2</v>
      </c>
      <c r="X102" s="3">
        <f t="shared" ca="1" si="112"/>
        <v>4.9626372878004421E-2</v>
      </c>
      <c r="Y102" s="3">
        <f t="shared" ca="1" si="112"/>
        <v>5.1536905966197172E-2</v>
      </c>
      <c r="Z102" s="3">
        <f t="shared" ca="1" si="112"/>
        <v>5.8863018343289802E-2</v>
      </c>
      <c r="AA102" s="3">
        <f t="shared" ca="1" si="112"/>
        <v>6.2163404257570526E-2</v>
      </c>
      <c r="AB102" s="3">
        <f t="shared" ref="AB102" ca="1" si="119">MIN(0.99,AB45+$O$3)</f>
        <v>6.260986343718955E-2</v>
      </c>
      <c r="AC102" s="3">
        <f t="shared" ca="1" si="111"/>
        <v>6.9343236775646785E-2</v>
      </c>
      <c r="AD102" s="3">
        <f t="shared" ca="1" si="111"/>
        <v>7.5844269055930363E-2</v>
      </c>
      <c r="AE102" s="3">
        <f t="shared" ca="1" si="111"/>
        <v>7.1801946744002837E-2</v>
      </c>
      <c r="AF102" s="3">
        <f t="shared" ca="1" si="111"/>
        <v>8.7333380176231712E-2</v>
      </c>
      <c r="AG102" s="3">
        <f t="shared" ca="1" si="111"/>
        <v>8.3293849091046354E-2</v>
      </c>
      <c r="AH102" s="3">
        <f t="shared" ca="1" si="111"/>
        <v>0.12026271352262435</v>
      </c>
      <c r="AI102" s="3">
        <f t="shared" ca="1" si="111"/>
        <v>9.6737530171032177E-2</v>
      </c>
      <c r="AJ102" s="3">
        <f t="shared" ca="1" si="111"/>
        <v>0.17856743211738024</v>
      </c>
    </row>
    <row r="103" spans="1:36" x14ac:dyDescent="0.35">
      <c r="A103" t="s">
        <v>77</v>
      </c>
      <c r="B103" t="s">
        <v>62</v>
      </c>
      <c r="C103" s="4">
        <v>2</v>
      </c>
      <c r="D103" s="3">
        <f t="shared" ca="1" si="77"/>
        <v>2.7922879780168275E-2</v>
      </c>
      <c r="E103" s="3">
        <f t="shared" ca="1" si="112"/>
        <v>2.7382955667149874E-2</v>
      </c>
      <c r="F103" s="3">
        <f t="shared" ca="1" si="112"/>
        <v>3.0018662121608631E-2</v>
      </c>
      <c r="G103" s="3">
        <f t="shared" ca="1" si="112"/>
        <v>2.9152666577972237E-2</v>
      </c>
      <c r="H103" s="3">
        <f t="shared" ca="1" si="112"/>
        <v>3.3479943069096886E-2</v>
      </c>
      <c r="I103" s="3">
        <f t="shared" ca="1" si="112"/>
        <v>3.0324073013796003E-2</v>
      </c>
      <c r="J103" s="3">
        <f t="shared" ca="1" si="112"/>
        <v>3.5355998601632049E-2</v>
      </c>
      <c r="K103" s="3">
        <f t="shared" ca="1" si="112"/>
        <v>3.2417586178336219E-2</v>
      </c>
      <c r="L103" s="3">
        <f t="shared" ca="1" si="112"/>
        <v>3.743957382018738E-2</v>
      </c>
      <c r="M103" s="3">
        <f t="shared" ca="1" si="112"/>
        <v>3.3627340232892718E-2</v>
      </c>
      <c r="N103" s="3">
        <f t="shared" ca="1" si="112"/>
        <v>3.9932006874559126E-2</v>
      </c>
      <c r="O103" s="3">
        <f t="shared" ca="1" si="112"/>
        <v>3.6264004365093042E-2</v>
      </c>
      <c r="P103" s="3">
        <f t="shared" ca="1" si="112"/>
        <v>4.0818215378177994E-2</v>
      </c>
      <c r="Q103" s="3">
        <f t="shared" ca="1" si="112"/>
        <v>3.827398900257134E-2</v>
      </c>
      <c r="R103" s="3">
        <f t="shared" ca="1" si="112"/>
        <v>4.269270439018278E-2</v>
      </c>
      <c r="S103" s="3">
        <f t="shared" ca="1" si="112"/>
        <v>4.0548346558081448E-2</v>
      </c>
      <c r="T103" s="3">
        <f t="shared" ca="1" si="112"/>
        <v>4.4528487849154516E-2</v>
      </c>
      <c r="U103" s="3">
        <f t="shared" ca="1" si="112"/>
        <v>4.3587883536819763E-2</v>
      </c>
      <c r="V103" s="3">
        <f t="shared" ca="1" si="112"/>
        <v>4.5169494869658794E-2</v>
      </c>
      <c r="W103" s="3">
        <f t="shared" ca="1" si="112"/>
        <v>4.5937610965666564E-2</v>
      </c>
      <c r="X103" s="3">
        <f t="shared" ca="1" si="112"/>
        <v>5.0532719612774508E-2</v>
      </c>
      <c r="Y103" s="3">
        <f t="shared" ca="1" si="112"/>
        <v>5.2504210216960917E-2</v>
      </c>
      <c r="Z103" s="3">
        <f t="shared" ca="1" si="112"/>
        <v>5.9763635083073405E-2</v>
      </c>
      <c r="AA103" s="3">
        <f t="shared" ca="1" si="112"/>
        <v>6.3153464053501696E-2</v>
      </c>
      <c r="AB103" s="3">
        <f t="shared" ref="AB103" ca="1" si="120">MIN(0.99,AB46+$O$3)</f>
        <v>6.3566450079826406E-2</v>
      </c>
      <c r="AC103" s="3">
        <f t="shared" ca="1" si="111"/>
        <v>7.0337382464555523E-2</v>
      </c>
      <c r="AD103" s="3">
        <f t="shared" ca="1" si="111"/>
        <v>7.6832197191042853E-2</v>
      </c>
      <c r="AE103" s="3">
        <f t="shared" ca="1" si="111"/>
        <v>7.2771845681052938E-2</v>
      </c>
      <c r="AF103" s="3">
        <f t="shared" ca="1" si="111"/>
        <v>8.8237789522823878E-2</v>
      </c>
      <c r="AG103" s="3">
        <f t="shared" ca="1" si="111"/>
        <v>8.4255274105109218E-2</v>
      </c>
      <c r="AH103" s="3">
        <f t="shared" ca="1" si="111"/>
        <v>0.12120747122216632</v>
      </c>
      <c r="AI103" s="3">
        <f t="shared" ca="1" si="111"/>
        <v>9.7682930335280582E-2</v>
      </c>
      <c r="AJ103" s="3">
        <f t="shared" ca="1" si="111"/>
        <v>0.17955452445282455</v>
      </c>
    </row>
    <row r="104" spans="1:36" x14ac:dyDescent="0.35">
      <c r="A104" t="s">
        <v>77</v>
      </c>
      <c r="B104" t="s">
        <v>62</v>
      </c>
      <c r="C104" s="4" t="s">
        <v>65</v>
      </c>
      <c r="D104" s="3">
        <f t="shared" ca="1" si="77"/>
        <v>2.8825031522199569E-2</v>
      </c>
      <c r="E104" s="3">
        <f t="shared" ca="1" si="112"/>
        <v>2.8304994295061642E-2</v>
      </c>
      <c r="F104" s="3">
        <f t="shared" ca="1" si="112"/>
        <v>3.0975521094619797E-2</v>
      </c>
      <c r="G104" s="3">
        <f t="shared" ca="1" si="112"/>
        <v>3.0070166345984358E-2</v>
      </c>
      <c r="H104" s="3">
        <f t="shared" ca="1" si="112"/>
        <v>3.4437597025643703E-2</v>
      </c>
      <c r="I104" s="3">
        <f t="shared" ca="1" si="112"/>
        <v>3.1282648024858431E-2</v>
      </c>
      <c r="J104" s="3">
        <f t="shared" ca="1" si="112"/>
        <v>3.6265827930688457E-2</v>
      </c>
      <c r="K104" s="3">
        <f t="shared" ca="1" si="112"/>
        <v>3.3332719211448592E-2</v>
      </c>
      <c r="L104" s="3">
        <f t="shared" ca="1" si="112"/>
        <v>3.8353248808133455E-2</v>
      </c>
      <c r="M104" s="3">
        <f t="shared" ca="1" si="112"/>
        <v>3.4535378375303842E-2</v>
      </c>
      <c r="N104" s="3">
        <f t="shared" ca="1" si="112"/>
        <v>4.0906133682767298E-2</v>
      </c>
      <c r="O104" s="3">
        <f t="shared" ca="1" si="112"/>
        <v>3.719515666159813E-2</v>
      </c>
      <c r="P104" s="3">
        <f t="shared" ca="1" si="112"/>
        <v>4.1751084547672693E-2</v>
      </c>
      <c r="Q104" s="3">
        <f t="shared" ca="1" si="112"/>
        <v>3.9234404075577711E-2</v>
      </c>
      <c r="R104" s="3">
        <f t="shared" ca="1" si="112"/>
        <v>4.3660482826014119E-2</v>
      </c>
      <c r="S104" s="3">
        <f t="shared" ca="1" si="112"/>
        <v>4.1527189296960053E-2</v>
      </c>
      <c r="T104" s="3">
        <f t="shared" ca="1" si="112"/>
        <v>4.5521378867798598E-2</v>
      </c>
      <c r="U104" s="3">
        <f t="shared" ca="1" si="112"/>
        <v>4.4526191654737181E-2</v>
      </c>
      <c r="V104" s="3">
        <f t="shared" ca="1" si="112"/>
        <v>4.6131711029112732E-2</v>
      </c>
      <c r="W104" s="3">
        <f t="shared" ca="1" si="112"/>
        <v>4.6890007075341418E-2</v>
      </c>
      <c r="X104" s="3">
        <f t="shared" ca="1" si="112"/>
        <v>5.1511001979500662E-2</v>
      </c>
      <c r="Y104" s="3">
        <f t="shared" ca="1" si="112"/>
        <v>5.3438208514034455E-2</v>
      </c>
      <c r="Z104" s="3">
        <f t="shared" ca="1" si="112"/>
        <v>6.0751075234411873E-2</v>
      </c>
      <c r="AA104" s="3">
        <f t="shared" ca="1" si="112"/>
        <v>6.4146579712575758E-2</v>
      </c>
      <c r="AB104" s="3">
        <f t="shared" ref="AB104" ca="1" si="121">MIN(0.99,AB47+$O$3)</f>
        <v>6.4561150086960686E-2</v>
      </c>
      <c r="AC104" s="3">
        <f t="shared" ca="1" si="111"/>
        <v>7.126663386455781E-2</v>
      </c>
      <c r="AD104" s="3">
        <f t="shared" ca="1" si="111"/>
        <v>7.7737083050976416E-2</v>
      </c>
      <c r="AE104" s="3">
        <f t="shared" ca="1" si="111"/>
        <v>7.370539933488654E-2</v>
      </c>
      <c r="AF104" s="3">
        <f t="shared" ca="1" si="111"/>
        <v>8.9196925610243505E-2</v>
      </c>
      <c r="AG104" s="3">
        <f t="shared" ca="1" si="111"/>
        <v>8.5179198484795104E-2</v>
      </c>
      <c r="AH104" s="3">
        <f t="shared" ca="1" si="111"/>
        <v>0.1221660421561768</v>
      </c>
      <c r="AI104" s="3">
        <f t="shared" ca="1" si="111"/>
        <v>9.8611669550506903E-2</v>
      </c>
      <c r="AJ104" s="3">
        <f t="shared" ca="1" si="111"/>
        <v>0.18048949377065215</v>
      </c>
    </row>
    <row r="105" spans="1:36" x14ac:dyDescent="0.35">
      <c r="A105" t="s">
        <v>77</v>
      </c>
      <c r="B105" t="s">
        <v>62</v>
      </c>
      <c r="C105" s="4" t="s">
        <v>66</v>
      </c>
      <c r="D105" s="3">
        <f t="shared" ca="1" si="77"/>
        <v>2.9769283670069972E-2</v>
      </c>
      <c r="E105" s="3">
        <f t="shared" ca="1" si="112"/>
        <v>2.9205874763112878E-2</v>
      </c>
      <c r="F105" s="3">
        <f t="shared" ca="1" si="112"/>
        <v>3.1926069553340632E-2</v>
      </c>
      <c r="G105" s="3">
        <f t="shared" ca="1" si="112"/>
        <v>3.1035892982189554E-2</v>
      </c>
      <c r="H105" s="3">
        <f t="shared" ca="1" si="112"/>
        <v>3.5393749810391451E-2</v>
      </c>
      <c r="I105" s="3">
        <f t="shared" ca="1" si="112"/>
        <v>3.2220366576484388E-2</v>
      </c>
      <c r="J105" s="3">
        <f t="shared" ca="1" si="112"/>
        <v>3.7259524582664891E-2</v>
      </c>
      <c r="K105" s="3">
        <f t="shared" ca="1" si="112"/>
        <v>3.4317038832338539E-2</v>
      </c>
      <c r="L105" s="3">
        <f t="shared" ca="1" si="112"/>
        <v>3.9329657663037788E-2</v>
      </c>
      <c r="M105" s="3">
        <f t="shared" ca="1" si="112"/>
        <v>3.5521997300802202E-2</v>
      </c>
      <c r="N105" s="3">
        <f t="shared" ca="1" si="112"/>
        <v>4.1903700710796507E-2</v>
      </c>
      <c r="O105" s="3">
        <f t="shared" ca="1" si="112"/>
        <v>3.8118368627681587E-2</v>
      </c>
      <c r="P105" s="3">
        <f t="shared" ca="1" si="112"/>
        <v>4.271321754382644E-2</v>
      </c>
      <c r="Q105" s="3">
        <f t="shared" ca="1" si="112"/>
        <v>4.0137311580006343E-2</v>
      </c>
      <c r="R105" s="3">
        <f t="shared" ca="1" si="112"/>
        <v>4.4622532596617963E-2</v>
      </c>
      <c r="S105" s="3">
        <f t="shared" ca="1" si="112"/>
        <v>4.2507028096376298E-2</v>
      </c>
      <c r="T105" s="3">
        <f t="shared" ca="1" si="112"/>
        <v>4.6431228860219054E-2</v>
      </c>
      <c r="U105" s="3">
        <f t="shared" ca="1" si="112"/>
        <v>4.5508241273339696E-2</v>
      </c>
      <c r="V105" s="3">
        <f t="shared" ca="1" si="112"/>
        <v>4.7104045969078093E-2</v>
      </c>
      <c r="W105" s="3">
        <f t="shared" ca="1" si="112"/>
        <v>4.786495838666921E-2</v>
      </c>
      <c r="X105" s="3">
        <f t="shared" ca="1" si="112"/>
        <v>5.2470677742665964E-2</v>
      </c>
      <c r="Y105" s="3">
        <f t="shared" ca="1" si="112"/>
        <v>5.4398478032501314E-2</v>
      </c>
      <c r="Z105" s="3">
        <f t="shared" ca="1" si="112"/>
        <v>6.16782576515367E-2</v>
      </c>
      <c r="AA105" s="3">
        <f t="shared" ca="1" si="112"/>
        <v>6.5120223461306873E-2</v>
      </c>
      <c r="AB105" s="3">
        <f t="shared" ref="AB105" ca="1" si="122">MIN(0.99,AB48+$O$3)</f>
        <v>6.5552261826383684E-2</v>
      </c>
      <c r="AC105" s="3">
        <f t="shared" ca="1" si="111"/>
        <v>7.216977307585104E-2</v>
      </c>
      <c r="AD105" s="3">
        <f t="shared" ca="1" si="111"/>
        <v>7.870296319243214E-2</v>
      </c>
      <c r="AE105" s="3">
        <f t="shared" ca="1" si="111"/>
        <v>7.4679468295553358E-2</v>
      </c>
      <c r="AF105" s="3">
        <f t="shared" ca="1" si="111"/>
        <v>9.0179717280153004E-2</v>
      </c>
      <c r="AG105" s="3">
        <f t="shared" ca="1" si="111"/>
        <v>8.6159895952065579E-2</v>
      </c>
      <c r="AH105" s="3">
        <f t="shared" ca="1" si="111"/>
        <v>0.12307611054976927</v>
      </c>
      <c r="AI105" s="3">
        <f t="shared" ca="1" si="111"/>
        <v>9.952754899416455E-2</v>
      </c>
      <c r="AJ105" s="3">
        <f t="shared" ca="1" si="111"/>
        <v>0.18146415584840753</v>
      </c>
    </row>
    <row r="106" spans="1:36" x14ac:dyDescent="0.35">
      <c r="A106" t="s">
        <v>77</v>
      </c>
      <c r="B106" t="s">
        <v>62</v>
      </c>
      <c r="C106" s="4">
        <v>3</v>
      </c>
      <c r="D106" s="3">
        <f t="shared" ca="1" si="77"/>
        <v>3.0691072619615772E-2</v>
      </c>
      <c r="E106" s="3">
        <f t="shared" ca="1" si="112"/>
        <v>3.0164607555222465E-2</v>
      </c>
      <c r="F106" s="3">
        <f t="shared" ca="1" si="112"/>
        <v>3.2921869094869882E-2</v>
      </c>
      <c r="G106" s="3">
        <f t="shared" ca="1" si="112"/>
        <v>3.2012438216686742E-2</v>
      </c>
      <c r="H106" s="3">
        <f t="shared" ca="1" si="112"/>
        <v>3.6333523826107203E-2</v>
      </c>
      <c r="I106" s="3">
        <f t="shared" ca="1" si="112"/>
        <v>3.3172883019657956E-2</v>
      </c>
      <c r="J106" s="3">
        <f t="shared" ca="1" si="112"/>
        <v>3.8222404363890503E-2</v>
      </c>
      <c r="K106" s="3">
        <f t="shared" ca="1" si="112"/>
        <v>3.5282985534600679E-2</v>
      </c>
      <c r="L106" s="3">
        <f t="shared" ca="1" si="112"/>
        <v>4.0254768045863157E-2</v>
      </c>
      <c r="M106" s="3">
        <f t="shared" ca="1" si="112"/>
        <v>3.6513728339233345E-2</v>
      </c>
      <c r="N106" s="3">
        <f t="shared" ca="1" si="112"/>
        <v>4.2876337898784089E-2</v>
      </c>
      <c r="O106" s="3">
        <f t="shared" ca="1" si="112"/>
        <v>3.9021811522918885E-2</v>
      </c>
      <c r="P106" s="3">
        <f t="shared" ca="1" si="112"/>
        <v>4.3646098948543613E-2</v>
      </c>
      <c r="Q106" s="3">
        <f t="shared" ca="1" si="112"/>
        <v>4.1067400925390164E-2</v>
      </c>
      <c r="R106" s="3">
        <f t="shared" ca="1" si="112"/>
        <v>4.5523217633407762E-2</v>
      </c>
      <c r="S106" s="3">
        <f t="shared" ca="1" si="112"/>
        <v>4.3440539473532491E-2</v>
      </c>
      <c r="T106" s="3">
        <f t="shared" ca="1" si="112"/>
        <v>4.7402726472503154E-2</v>
      </c>
      <c r="U106" s="3">
        <f t="shared" ca="1" si="112"/>
        <v>4.6493570040992624E-2</v>
      </c>
      <c r="V106" s="3">
        <f t="shared" ca="1" si="112"/>
        <v>4.8066540900671237E-2</v>
      </c>
      <c r="W106" s="3">
        <f t="shared" ca="1" si="112"/>
        <v>4.8791824556469209E-2</v>
      </c>
      <c r="X106" s="3">
        <f t="shared" ca="1" si="112"/>
        <v>5.3382767868824309E-2</v>
      </c>
      <c r="Y106" s="3">
        <f t="shared" ca="1" si="112"/>
        <v>5.5387608538845508E-2</v>
      </c>
      <c r="Z106" s="3">
        <f t="shared" ca="1" si="112"/>
        <v>6.2596369996838486E-2</v>
      </c>
      <c r="AA106" s="3">
        <f t="shared" ca="1" si="112"/>
        <v>6.6020599302233751E-2</v>
      </c>
      <c r="AB106" s="3">
        <f t="shared" ref="AB106" ca="1" si="123">MIN(0.99,AB49+$O$3)</f>
        <v>6.6519875636484677E-2</v>
      </c>
      <c r="AC106" s="3">
        <f t="shared" ca="1" si="111"/>
        <v>7.311248203329189E-2</v>
      </c>
      <c r="AD106" s="3">
        <f t="shared" ca="1" si="111"/>
        <v>7.9688945644697307E-2</v>
      </c>
      <c r="AE106" s="3">
        <f t="shared" ca="1" si="111"/>
        <v>7.5659008247430465E-2</v>
      </c>
      <c r="AF106" s="3">
        <f t="shared" ca="1" si="111"/>
        <v>9.1156057578600985E-2</v>
      </c>
      <c r="AG106" s="3">
        <f t="shared" ca="1" si="111"/>
        <v>8.7068832629817655E-2</v>
      </c>
      <c r="AH106" s="3">
        <f t="shared" ca="1" si="111"/>
        <v>0.12399837586434526</v>
      </c>
      <c r="AI106" s="3">
        <f t="shared" ca="1" si="111"/>
        <v>0.10051933415787445</v>
      </c>
      <c r="AJ106" s="3">
        <f t="shared" ca="1" si="111"/>
        <v>0.18245232156878791</v>
      </c>
    </row>
    <row r="107" spans="1:36" x14ac:dyDescent="0.35">
      <c r="A107" t="s">
        <v>77</v>
      </c>
      <c r="B107" t="s">
        <v>62</v>
      </c>
      <c r="C107" s="4" t="s">
        <v>67</v>
      </c>
      <c r="D107" s="3">
        <f t="shared" ca="1" si="77"/>
        <v>3.1659823419202336E-2</v>
      </c>
      <c r="E107" s="3">
        <f t="shared" ca="1" si="112"/>
        <v>3.1081071250351033E-2</v>
      </c>
      <c r="F107" s="3">
        <f t="shared" ca="1" si="112"/>
        <v>3.3853522676351264E-2</v>
      </c>
      <c r="G107" s="3">
        <f t="shared" ca="1" si="112"/>
        <v>3.2921336909490978E-2</v>
      </c>
      <c r="H107" s="3">
        <f t="shared" ca="1" si="112"/>
        <v>3.7329771773689707E-2</v>
      </c>
      <c r="I107" s="3">
        <f t="shared" ca="1" si="112"/>
        <v>3.4128814309393407E-2</v>
      </c>
      <c r="J107" s="3">
        <f t="shared" ca="1" si="112"/>
        <v>3.9139378113403678E-2</v>
      </c>
      <c r="K107" s="3">
        <f t="shared" ca="1" si="112"/>
        <v>3.621383534097046E-2</v>
      </c>
      <c r="L107" s="3">
        <f t="shared" ca="1" si="112"/>
        <v>4.1252580197360014E-2</v>
      </c>
      <c r="M107" s="3">
        <f t="shared" ca="1" si="112"/>
        <v>3.7423825683707744E-2</v>
      </c>
      <c r="N107" s="3">
        <f t="shared" ca="1" si="112"/>
        <v>4.3785137906180313E-2</v>
      </c>
      <c r="O107" s="3">
        <f t="shared" ca="1" si="112"/>
        <v>3.9989220247703211E-2</v>
      </c>
      <c r="P107" s="3">
        <f t="shared" ca="1" si="112"/>
        <v>4.454863018100215E-2</v>
      </c>
      <c r="Q107" s="3">
        <f t="shared" ca="1" si="112"/>
        <v>4.2036507052753594E-2</v>
      </c>
      <c r="R107" s="3">
        <f t="shared" ca="1" si="112"/>
        <v>4.6510482139925161E-2</v>
      </c>
      <c r="S107" s="3">
        <f t="shared" ca="1" si="112"/>
        <v>4.4439949696174201E-2</v>
      </c>
      <c r="T107" s="3">
        <f t="shared" ca="1" si="112"/>
        <v>4.839212389144032E-2</v>
      </c>
      <c r="U107" s="3">
        <f t="shared" ca="1" si="112"/>
        <v>4.7398060801604081E-2</v>
      </c>
      <c r="V107" s="3">
        <f t="shared" ca="1" si="112"/>
        <v>4.9053956147871412E-2</v>
      </c>
      <c r="W107" s="3">
        <f t="shared" ca="1" si="112"/>
        <v>4.9702325776036643E-2</v>
      </c>
      <c r="X107" s="3">
        <f t="shared" ca="1" si="112"/>
        <v>5.4361286608982262E-2</v>
      </c>
      <c r="Y107" s="3">
        <f t="shared" ca="1" si="112"/>
        <v>5.631823656283929E-2</v>
      </c>
      <c r="Z107" s="3">
        <f t="shared" ca="1" si="112"/>
        <v>6.3499490263970143E-2</v>
      </c>
      <c r="AA107" s="3">
        <f t="shared" ca="1" si="112"/>
        <v>6.6984855149505376E-2</v>
      </c>
      <c r="AB107" s="3">
        <f t="shared" ref="AB107" ca="1" si="124">MIN(0.99,AB50+$O$3)</f>
        <v>6.7452658602999038E-2</v>
      </c>
      <c r="AC107" s="3">
        <f t="shared" ca="1" si="111"/>
        <v>7.4106200784981591E-2</v>
      </c>
      <c r="AD107" s="3">
        <f t="shared" ca="1" si="111"/>
        <v>8.06803099527416E-2</v>
      </c>
      <c r="AE107" s="3">
        <f t="shared" ca="1" si="111"/>
        <v>7.6596648516072618E-2</v>
      </c>
      <c r="AF107" s="3">
        <f t="shared" ca="1" si="111"/>
        <v>9.2117537271460687E-2</v>
      </c>
      <c r="AG107" s="3">
        <f t="shared" ca="1" si="111"/>
        <v>8.8057097244872595E-2</v>
      </c>
      <c r="AH107" s="3">
        <f t="shared" ca="1" si="111"/>
        <v>0.12496662516749069</v>
      </c>
      <c r="AI107" s="3">
        <f t="shared" ca="1" si="111"/>
        <v>0.1014580129247746</v>
      </c>
      <c r="AJ107" s="3">
        <f t="shared" ca="1" si="111"/>
        <v>0.1833822971796244</v>
      </c>
    </row>
    <row r="108" spans="1:36" x14ac:dyDescent="0.35">
      <c r="A108" t="s">
        <v>77</v>
      </c>
      <c r="B108" t="s">
        <v>62</v>
      </c>
      <c r="C108" s="4" t="s">
        <v>68</v>
      </c>
      <c r="D108" s="3">
        <f t="shared" ca="1" si="77"/>
        <v>3.2608909271804862E-2</v>
      </c>
      <c r="E108" s="3">
        <f t="shared" ref="E108:AA119" ca="1" si="125">MIN(0.99,E51+$O$3)</f>
        <v>3.2077728471870161E-2</v>
      </c>
      <c r="F108" s="3">
        <f t="shared" ca="1" si="125"/>
        <v>3.4827625120755323E-2</v>
      </c>
      <c r="G108" s="3">
        <f t="shared" ca="1" si="125"/>
        <v>3.384856892362105E-2</v>
      </c>
      <c r="H108" s="3">
        <f t="shared" ca="1" si="125"/>
        <v>3.8292395051692074E-2</v>
      </c>
      <c r="I108" s="3">
        <f t="shared" ca="1" si="125"/>
        <v>3.512520889158887E-2</v>
      </c>
      <c r="J108" s="3">
        <f t="shared" ca="1" si="125"/>
        <v>4.0056900086384149E-2</v>
      </c>
      <c r="K108" s="3">
        <f t="shared" ca="1" si="125"/>
        <v>3.7153640611566861E-2</v>
      </c>
      <c r="L108" s="3">
        <f t="shared" ca="1" si="125"/>
        <v>4.2235040471485921E-2</v>
      </c>
      <c r="M108" s="3">
        <f t="shared" ca="1" si="125"/>
        <v>3.8367311586031919E-2</v>
      </c>
      <c r="N108" s="3">
        <f t="shared" ca="1" si="125"/>
        <v>4.4727361055496892E-2</v>
      </c>
      <c r="O108" s="3">
        <f t="shared" ca="1" si="125"/>
        <v>4.0892249443894899E-2</v>
      </c>
      <c r="P108" s="3">
        <f t="shared" ca="1" si="125"/>
        <v>4.548754733149709E-2</v>
      </c>
      <c r="Q108" s="3">
        <f t="shared" ca="1" si="125"/>
        <v>4.2951733216274504E-2</v>
      </c>
      <c r="R108" s="3">
        <f t="shared" ca="1" si="125"/>
        <v>4.7505119570833546E-2</v>
      </c>
      <c r="S108" s="3">
        <f t="shared" ca="1" si="125"/>
        <v>4.5435510808893464E-2</v>
      </c>
      <c r="T108" s="3">
        <f t="shared" ca="1" si="125"/>
        <v>4.9323890972373358E-2</v>
      </c>
      <c r="U108" s="3">
        <f t="shared" ca="1" si="125"/>
        <v>4.8381399304018857E-2</v>
      </c>
      <c r="V108" s="3">
        <f t="shared" ca="1" si="125"/>
        <v>5.0052354505171003E-2</v>
      </c>
      <c r="W108" s="3">
        <f t="shared" ca="1" si="125"/>
        <v>5.0676576717324652E-2</v>
      </c>
      <c r="X108" s="3">
        <f t="shared" ca="1" si="125"/>
        <v>5.5311472520536933E-2</v>
      </c>
      <c r="Y108" s="3">
        <f t="shared" ca="1" si="125"/>
        <v>5.7286553940264336E-2</v>
      </c>
      <c r="Z108" s="3">
        <f t="shared" ca="1" si="125"/>
        <v>6.4420959586169946E-2</v>
      </c>
      <c r="AA108" s="3">
        <f t="shared" ca="1" si="125"/>
        <v>6.790478376946836E-2</v>
      </c>
      <c r="AB108" s="3">
        <f t="shared" ref="AB108" ca="1" si="126">MIN(0.99,AB51+$O$3)</f>
        <v>6.836740351432824E-2</v>
      </c>
      <c r="AC108" s="3">
        <f t="shared" ca="1" si="111"/>
        <v>7.5034500200760051E-2</v>
      </c>
      <c r="AD108" s="3">
        <f t="shared" ca="1" si="111"/>
        <v>8.1626460417665775E-2</v>
      </c>
      <c r="AE108" s="3">
        <f t="shared" ca="1" si="111"/>
        <v>7.7559228185201959E-2</v>
      </c>
      <c r="AF108" s="3">
        <f t="shared" ca="1" si="111"/>
        <v>9.3035939468164519E-2</v>
      </c>
      <c r="AG108" s="3">
        <f t="shared" ca="1" si="111"/>
        <v>8.9056977902074536E-2</v>
      </c>
      <c r="AH108" s="3">
        <f t="shared" ca="1" si="111"/>
        <v>0.1259086403278484</v>
      </c>
      <c r="AI108" s="3">
        <f t="shared" ca="1" si="111"/>
        <v>0.10242491820607802</v>
      </c>
      <c r="AJ108" s="3">
        <f t="shared" ca="1" si="111"/>
        <v>0.18435829315247343</v>
      </c>
    </row>
    <row r="109" spans="1:36" x14ac:dyDescent="0.35">
      <c r="A109" t="s">
        <v>77</v>
      </c>
      <c r="B109" t="s">
        <v>62</v>
      </c>
      <c r="C109" s="4">
        <v>4</v>
      </c>
      <c r="D109" s="3">
        <f t="shared" ca="1" si="77"/>
        <v>3.3605763071766333E-2</v>
      </c>
      <c r="E109" s="3">
        <f t="shared" ca="1" si="125"/>
        <v>3.2997895215601425E-2</v>
      </c>
      <c r="F109" s="3">
        <f t="shared" ca="1" si="125"/>
        <v>3.5825605303605859E-2</v>
      </c>
      <c r="G109" s="3">
        <f t="shared" ca="1" si="125"/>
        <v>3.4827397933264975E-2</v>
      </c>
      <c r="H109" s="3">
        <f t="shared" ca="1" si="125"/>
        <v>3.920876257383267E-2</v>
      </c>
      <c r="I109" s="3">
        <f t="shared" ca="1" si="125"/>
        <v>3.6099125429489093E-2</v>
      </c>
      <c r="J109" s="3">
        <f t="shared" ca="1" si="125"/>
        <v>4.1011887009740844E-2</v>
      </c>
      <c r="K109" s="3">
        <f t="shared" ca="1" si="125"/>
        <v>3.8138674576776541E-2</v>
      </c>
      <c r="L109" s="3">
        <f t="shared" ca="1" si="125"/>
        <v>4.3187253137641463E-2</v>
      </c>
      <c r="M109" s="3">
        <f t="shared" ca="1" si="125"/>
        <v>3.9297871540846442E-2</v>
      </c>
      <c r="N109" s="3">
        <f t="shared" ca="1" si="125"/>
        <v>4.5702776317765578E-2</v>
      </c>
      <c r="O109" s="3">
        <f t="shared" ca="1" si="125"/>
        <v>4.1858233514777216E-2</v>
      </c>
      <c r="P109" s="3">
        <f t="shared" ca="1" si="125"/>
        <v>4.6430247163331412E-2</v>
      </c>
      <c r="Q109" s="3">
        <f t="shared" ca="1" si="125"/>
        <v>4.3873212592507163E-2</v>
      </c>
      <c r="R109" s="3">
        <f t="shared" ca="1" si="125"/>
        <v>4.8474698323807769E-2</v>
      </c>
      <c r="S109" s="3">
        <f t="shared" ca="1" si="125"/>
        <v>4.6352057873673164E-2</v>
      </c>
      <c r="T109" s="3">
        <f t="shared" ca="1" si="125"/>
        <v>5.0240889128307681E-2</v>
      </c>
      <c r="U109" s="3">
        <f t="shared" ca="1" si="125"/>
        <v>4.9379710161135681E-2</v>
      </c>
      <c r="V109" s="3">
        <f t="shared" ca="1" si="125"/>
        <v>5.0963594320448717E-2</v>
      </c>
      <c r="W109" s="3">
        <f t="shared" ca="1" si="125"/>
        <v>5.1674659260482994E-2</v>
      </c>
      <c r="X109" s="3">
        <f t="shared" ca="1" si="125"/>
        <v>5.6243883571752848E-2</v>
      </c>
      <c r="Y109" s="3">
        <f t="shared" ca="1" si="125"/>
        <v>5.8202517688824972E-2</v>
      </c>
      <c r="Z109" s="3">
        <f t="shared" ca="1" si="125"/>
        <v>6.5323626827329812E-2</v>
      </c>
      <c r="AA109" s="3">
        <f t="shared" ca="1" si="125"/>
        <v>6.8859272920559766E-2</v>
      </c>
      <c r="AB109" s="3">
        <f t="shared" ref="AB109" ca="1" si="127">MIN(0.99,AB52+$O$3)</f>
        <v>6.9319926905747759E-2</v>
      </c>
      <c r="AC109" s="3">
        <f t="shared" ca="1" si="111"/>
        <v>7.6022477486434814E-2</v>
      </c>
      <c r="AD109" s="3">
        <f t="shared" ca="1" si="111"/>
        <v>8.2553753814034653E-2</v>
      </c>
      <c r="AE109" s="3">
        <f t="shared" ca="1" si="111"/>
        <v>7.8475967244516581E-2</v>
      </c>
      <c r="AF109" s="3">
        <f t="shared" ca="1" si="111"/>
        <v>9.3972840735966956E-2</v>
      </c>
      <c r="AG109" s="3">
        <f t="shared" ca="1" si="111"/>
        <v>8.9975401829885393E-2</v>
      </c>
      <c r="AH109" s="3">
        <f t="shared" ca="1" si="111"/>
        <v>0.1268916016526235</v>
      </c>
      <c r="AI109" s="3">
        <f t="shared" ca="1" si="111"/>
        <v>0.10338635769837484</v>
      </c>
      <c r="AJ109" s="3">
        <f t="shared" ca="1" si="111"/>
        <v>0.18528569293228103</v>
      </c>
    </row>
    <row r="110" spans="1:36" x14ac:dyDescent="0.35">
      <c r="A110" t="s">
        <v>77</v>
      </c>
      <c r="B110" t="s">
        <v>62</v>
      </c>
      <c r="C110" s="4" t="s">
        <v>69</v>
      </c>
      <c r="D110" s="3">
        <f t="shared" ca="1" si="77"/>
        <v>3.4604795492028162E-2</v>
      </c>
      <c r="E110" s="3">
        <f t="shared" ca="1" si="125"/>
        <v>3.3924145847593887E-2</v>
      </c>
      <c r="F110" s="3">
        <f t="shared" ca="1" si="125"/>
        <v>3.68070461713048E-2</v>
      </c>
      <c r="G110" s="3">
        <f t="shared" ca="1" si="125"/>
        <v>3.5762862771956533E-2</v>
      </c>
      <c r="H110" s="3">
        <f t="shared" ca="1" si="125"/>
        <v>4.011312324661892E-2</v>
      </c>
      <c r="I110" s="3">
        <f t="shared" ca="1" si="125"/>
        <v>3.703513749823345E-2</v>
      </c>
      <c r="J110" s="3">
        <f t="shared" ca="1" si="125"/>
        <v>4.2004688200511744E-2</v>
      </c>
      <c r="K110" s="3">
        <f t="shared" ca="1" si="125"/>
        <v>3.9121925295792892E-2</v>
      </c>
      <c r="L110" s="3">
        <f t="shared" ca="1" si="125"/>
        <v>4.4162501860133582E-2</v>
      </c>
      <c r="M110" s="3">
        <f t="shared" ca="1" si="125"/>
        <v>4.0202856022794664E-2</v>
      </c>
      <c r="N110" s="3">
        <f t="shared" ca="1" si="125"/>
        <v>4.6633497885896109E-2</v>
      </c>
      <c r="O110" s="3">
        <f t="shared" ca="1" si="125"/>
        <v>4.2842241202363296E-2</v>
      </c>
      <c r="P110" s="3">
        <f t="shared" ca="1" si="125"/>
        <v>4.7382633504005719E-2</v>
      </c>
      <c r="Q110" s="3">
        <f t="shared" ca="1" si="125"/>
        <v>4.482669009202464E-2</v>
      </c>
      <c r="R110" s="3">
        <f t="shared" ca="1" si="125"/>
        <v>4.9423281862646301E-2</v>
      </c>
      <c r="S110" s="3">
        <f t="shared" ca="1" si="125"/>
        <v>4.7268662234211112E-2</v>
      </c>
      <c r="T110" s="3">
        <f t="shared" ca="1" si="125"/>
        <v>5.1235181609278674E-2</v>
      </c>
      <c r="U110" s="3">
        <f t="shared" ca="1" si="125"/>
        <v>5.0354105863839017E-2</v>
      </c>
      <c r="V110" s="3">
        <f t="shared" ca="1" si="125"/>
        <v>5.1954502017220981E-2</v>
      </c>
      <c r="W110" s="3">
        <f t="shared" ca="1" si="125"/>
        <v>5.266835711940801E-2</v>
      </c>
      <c r="X110" s="3">
        <f t="shared" ca="1" si="125"/>
        <v>5.7169876040847077E-2</v>
      </c>
      <c r="Y110" s="3">
        <f t="shared" ca="1" si="125"/>
        <v>5.9121889738997152E-2</v>
      </c>
      <c r="Z110" s="3">
        <f t="shared" ca="1" si="125"/>
        <v>6.6270689276493322E-2</v>
      </c>
      <c r="AA110" s="3">
        <f t="shared" ca="1" si="125"/>
        <v>6.9849121588289986E-2</v>
      </c>
      <c r="AB110" s="3">
        <f t="shared" ref="AB110" ca="1" si="128">MIN(0.99,AB53+$O$3)</f>
        <v>7.0243259391546659E-2</v>
      </c>
      <c r="AC110" s="3">
        <f t="shared" ca="1" si="111"/>
        <v>7.6934916575293666E-2</v>
      </c>
      <c r="AD110" s="3">
        <f t="shared" ca="1" si="111"/>
        <v>8.3549956082398902E-2</v>
      </c>
      <c r="AE110" s="3">
        <f t="shared" ca="1" si="111"/>
        <v>7.9377590022236905E-2</v>
      </c>
      <c r="AF110" s="3">
        <f t="shared" ca="1" si="111"/>
        <v>9.4910108159014905E-2</v>
      </c>
      <c r="AG110" s="3">
        <f t="shared" ca="1" si="111"/>
        <v>9.0957240044452825E-2</v>
      </c>
      <c r="AH110" s="3">
        <f t="shared" ca="1" si="111"/>
        <v>0.12789029219687406</v>
      </c>
      <c r="AI110" s="3">
        <f t="shared" ca="1" si="111"/>
        <v>0.10433622676338239</v>
      </c>
      <c r="AJ110" s="3">
        <f t="shared" ca="1" si="111"/>
        <v>0.18626319982329789</v>
      </c>
    </row>
    <row r="111" spans="1:36" x14ac:dyDescent="0.35">
      <c r="A111" t="s">
        <v>77</v>
      </c>
      <c r="B111" t="s">
        <v>62</v>
      </c>
      <c r="C111" s="4" t="s">
        <v>70</v>
      </c>
      <c r="D111" s="3">
        <f t="shared" ca="1" si="77"/>
        <v>3.5595701454816706E-2</v>
      </c>
      <c r="E111" s="3">
        <f t="shared" ca="1" si="125"/>
        <v>3.4826300332724422E-2</v>
      </c>
      <c r="F111" s="3">
        <f t="shared" ca="1" si="125"/>
        <v>3.772484405586652E-2</v>
      </c>
      <c r="G111" s="3">
        <f t="shared" ca="1" si="125"/>
        <v>3.6743669075720839E-2</v>
      </c>
      <c r="H111" s="3">
        <f t="shared" ca="1" si="125"/>
        <v>4.1100721665420059E-2</v>
      </c>
      <c r="I111" s="3">
        <f t="shared" ca="1" si="125"/>
        <v>3.799138825108038E-2</v>
      </c>
      <c r="J111" s="3">
        <f t="shared" ca="1" si="125"/>
        <v>4.2955962784568251E-2</v>
      </c>
      <c r="K111" s="3">
        <f t="shared" ca="1" si="125"/>
        <v>4.0055103584210737E-2</v>
      </c>
      <c r="L111" s="3">
        <f t="shared" ca="1" si="125"/>
        <v>4.5093859252425053E-2</v>
      </c>
      <c r="M111" s="3">
        <f t="shared" ca="1" si="125"/>
        <v>4.1115008933823458E-2</v>
      </c>
      <c r="N111" s="3">
        <f t="shared" ca="1" si="125"/>
        <v>4.7612519349033586E-2</v>
      </c>
      <c r="O111" s="3">
        <f t="shared" ca="1" si="125"/>
        <v>4.3800808236020727E-2</v>
      </c>
      <c r="P111" s="3">
        <f t="shared" ca="1" si="125"/>
        <v>4.8359493816298713E-2</v>
      </c>
      <c r="Q111" s="3">
        <f t="shared" ca="1" si="125"/>
        <v>4.5734821483207927E-2</v>
      </c>
      <c r="R111" s="3">
        <f t="shared" ca="1" si="125"/>
        <v>5.0325420845434343E-2</v>
      </c>
      <c r="S111" s="3">
        <f t="shared" ca="1" si="125"/>
        <v>4.8255275634906628E-2</v>
      </c>
      <c r="T111" s="3">
        <f t="shared" ca="1" si="125"/>
        <v>5.2230006308613873E-2</v>
      </c>
      <c r="U111" s="3">
        <f t="shared" ca="1" si="125"/>
        <v>5.1317223571781853E-2</v>
      </c>
      <c r="V111" s="3">
        <f t="shared" ca="1" si="125"/>
        <v>5.2930349939370493E-2</v>
      </c>
      <c r="W111" s="3">
        <f t="shared" ca="1" si="125"/>
        <v>5.3657987878614963E-2</v>
      </c>
      <c r="X111" s="3">
        <f t="shared" ca="1" si="125"/>
        <v>5.8160536731102226E-2</v>
      </c>
      <c r="Y111" s="3">
        <f t="shared" ca="1" si="125"/>
        <v>6.0038793312184938E-2</v>
      </c>
      <c r="Z111" s="3">
        <f t="shared" ca="1" si="125"/>
        <v>6.7246164994766683E-2</v>
      </c>
      <c r="AA111" s="3">
        <f t="shared" ca="1" si="125"/>
        <v>7.0799512248973615E-2</v>
      </c>
      <c r="AB111" s="3">
        <f t="shared" ref="AB111:AJ119" ca="1" si="129">MIN(0.99,AB54+$O$3)</f>
        <v>7.11556472789098E-2</v>
      </c>
      <c r="AC111" s="3">
        <f t="shared" ca="1" si="129"/>
        <v>7.7907912030394419E-2</v>
      </c>
      <c r="AD111" s="3">
        <f t="shared" ca="1" si="129"/>
        <v>8.4525753168556692E-2</v>
      </c>
      <c r="AE111" s="3">
        <f t="shared" ca="1" si="129"/>
        <v>8.0362169382365789E-2</v>
      </c>
      <c r="AF111" s="3">
        <f t="shared" ca="1" si="129"/>
        <v>9.5818524889749013E-2</v>
      </c>
      <c r="AG111" s="3">
        <f t="shared" ca="1" si="129"/>
        <v>9.1857867199433646E-2</v>
      </c>
      <c r="AH111" s="3">
        <f t="shared" ca="1" si="129"/>
        <v>0.1288646016736095</v>
      </c>
      <c r="AI111" s="3">
        <f t="shared" ca="1" si="129"/>
        <v>0.105272154106374</v>
      </c>
      <c r="AJ111" s="3">
        <f t="shared" ca="1" si="129"/>
        <v>0.1872045443072036</v>
      </c>
    </row>
    <row r="112" spans="1:36" x14ac:dyDescent="0.35">
      <c r="A112" t="s">
        <v>77</v>
      </c>
      <c r="B112" t="s">
        <v>62</v>
      </c>
      <c r="C112" s="4">
        <v>5</v>
      </c>
      <c r="D112" s="3">
        <f t="shared" ca="1" si="77"/>
        <v>3.6556052548276596E-2</v>
      </c>
      <c r="E112" s="3">
        <f t="shared" ca="1" si="125"/>
        <v>3.5817136750568419E-2</v>
      </c>
      <c r="F112" s="3">
        <f t="shared" ca="1" si="125"/>
        <v>3.866919213363422E-2</v>
      </c>
      <c r="G112" s="3">
        <f t="shared" ca="1" si="125"/>
        <v>3.7727357810103217E-2</v>
      </c>
      <c r="H112" s="3">
        <f t="shared" ca="1" si="125"/>
        <v>4.2074700496994688E-2</v>
      </c>
      <c r="I112" s="3">
        <f t="shared" ca="1" si="125"/>
        <v>3.8985357524817528E-2</v>
      </c>
      <c r="J112" s="3">
        <f t="shared" ca="1" si="125"/>
        <v>4.3949883730470679E-2</v>
      </c>
      <c r="K112" s="3">
        <f t="shared" ca="1" si="125"/>
        <v>4.1043430289160826E-2</v>
      </c>
      <c r="L112" s="3">
        <f t="shared" ca="1" si="125"/>
        <v>4.6019932770059717E-2</v>
      </c>
      <c r="M112" s="3">
        <f t="shared" ca="1" si="125"/>
        <v>4.2038825879667285E-2</v>
      </c>
      <c r="N112" s="3">
        <f t="shared" ca="1" si="125"/>
        <v>4.8552625599673223E-2</v>
      </c>
      <c r="O112" s="3">
        <f t="shared" ca="1" si="125"/>
        <v>4.4733623665499378E-2</v>
      </c>
      <c r="P112" s="3">
        <f t="shared" ca="1" si="125"/>
        <v>4.9272893723451401E-2</v>
      </c>
      <c r="Q112" s="3">
        <f t="shared" ca="1" si="125"/>
        <v>4.6691908172848337E-2</v>
      </c>
      <c r="R112" s="3">
        <f t="shared" ca="1" si="125"/>
        <v>5.1299896175524939E-2</v>
      </c>
      <c r="S112" s="3">
        <f t="shared" ca="1" si="125"/>
        <v>4.9192504150817447E-2</v>
      </c>
      <c r="T112" s="3">
        <f t="shared" ca="1" si="125"/>
        <v>5.3142651773624622E-2</v>
      </c>
      <c r="U112" s="3">
        <f t="shared" ca="1" si="125"/>
        <v>5.2306984623462074E-2</v>
      </c>
      <c r="V112" s="3">
        <f t="shared" ca="1" si="125"/>
        <v>5.3860610285067348E-2</v>
      </c>
      <c r="W112" s="3">
        <f t="shared" ca="1" si="125"/>
        <v>5.4607847513868261E-2</v>
      </c>
      <c r="X112" s="3">
        <f t="shared" ca="1" si="125"/>
        <v>5.9147155647595574E-2</v>
      </c>
      <c r="Y112" s="3">
        <f t="shared" ca="1" si="125"/>
        <v>6.1024896280166739E-2</v>
      </c>
      <c r="Z112" s="3">
        <f t="shared" ca="1" si="125"/>
        <v>6.820774721360745E-2</v>
      </c>
      <c r="AA112" s="3">
        <f t="shared" ca="1" si="125"/>
        <v>7.174626518331842E-2</v>
      </c>
      <c r="AB112" s="3">
        <f t="shared" ref="AB112" ca="1" si="130">MIN(0.99,AB55+$O$3)</f>
        <v>7.2088254864359852E-2</v>
      </c>
      <c r="AC112" s="3">
        <f t="shared" ca="1" si="129"/>
        <v>7.8896931185810135E-2</v>
      </c>
      <c r="AD112" s="3">
        <f t="shared" ca="1" si="129"/>
        <v>8.5518731552202021E-2</v>
      </c>
      <c r="AE112" s="3">
        <f t="shared" ca="1" si="129"/>
        <v>8.1280456719436359E-2</v>
      </c>
      <c r="AF112" s="3">
        <f t="shared" ca="1" si="129"/>
        <v>9.6740520315356876E-2</v>
      </c>
      <c r="AG112" s="3">
        <f t="shared" ca="1" si="129"/>
        <v>9.2809165351764894E-2</v>
      </c>
      <c r="AH112" s="3">
        <f t="shared" ca="1" si="129"/>
        <v>0.12983627617163926</v>
      </c>
      <c r="AI112" s="3">
        <f t="shared" ca="1" si="129"/>
        <v>0.10623248602015364</v>
      </c>
      <c r="AJ112" s="3">
        <f t="shared" ca="1" si="129"/>
        <v>0.18820188865762402</v>
      </c>
    </row>
    <row r="113" spans="1:36" x14ac:dyDescent="0.35">
      <c r="A113" t="s">
        <v>77</v>
      </c>
      <c r="B113" t="s">
        <v>62</v>
      </c>
      <c r="C113" s="4" t="s">
        <v>71</v>
      </c>
      <c r="D113" s="3">
        <f t="shared" ca="1" si="77"/>
        <v>3.7486357486533228E-2</v>
      </c>
      <c r="E113" s="3">
        <f t="shared" ca="1" si="125"/>
        <v>3.6723575167571257E-2</v>
      </c>
      <c r="F113" s="3">
        <f t="shared" ca="1" si="125"/>
        <v>3.9587307073206748E-2</v>
      </c>
      <c r="G113" s="3">
        <f t="shared" ca="1" si="125"/>
        <v>3.8709671696559478E-2</v>
      </c>
      <c r="H113" s="3">
        <f t="shared" ca="1" si="125"/>
        <v>4.307214944555017E-2</v>
      </c>
      <c r="I113" s="3">
        <f t="shared" ca="1" si="125"/>
        <v>3.9940827941307107E-2</v>
      </c>
      <c r="J113" s="3">
        <f t="shared" ca="1" si="125"/>
        <v>4.4940784219190039E-2</v>
      </c>
      <c r="K113" s="3">
        <f t="shared" ca="1" si="125"/>
        <v>4.2014875552333714E-2</v>
      </c>
      <c r="L113" s="3">
        <f t="shared" ca="1" si="125"/>
        <v>4.6945215523924624E-2</v>
      </c>
      <c r="M113" s="3">
        <f t="shared" ca="1" si="125"/>
        <v>4.3019866960198327E-2</v>
      </c>
      <c r="N113" s="3">
        <f t="shared" ca="1" si="125"/>
        <v>4.9518005967786612E-2</v>
      </c>
      <c r="O113" s="3">
        <f t="shared" ca="1" si="125"/>
        <v>4.5707102656402994E-2</v>
      </c>
      <c r="P113" s="3">
        <f t="shared" ca="1" si="125"/>
        <v>5.020447101704395E-2</v>
      </c>
      <c r="Q113" s="3">
        <f t="shared" ca="1" si="125"/>
        <v>4.7673985098210081E-2</v>
      </c>
      <c r="R113" s="3">
        <f t="shared" ca="1" si="125"/>
        <v>5.2225588545278936E-2</v>
      </c>
      <c r="S113" s="3">
        <f t="shared" ca="1" si="125"/>
        <v>5.014803492820067E-2</v>
      </c>
      <c r="T113" s="3">
        <f t="shared" ca="1" si="125"/>
        <v>5.4070442126574268E-2</v>
      </c>
      <c r="U113" s="3">
        <f t="shared" ca="1" si="125"/>
        <v>5.3220894661883886E-2</v>
      </c>
      <c r="V113" s="3">
        <f t="shared" ca="1" si="125"/>
        <v>5.4794050154439458E-2</v>
      </c>
      <c r="W113" s="3">
        <f t="shared" ca="1" si="125"/>
        <v>5.5531844269168532E-2</v>
      </c>
      <c r="X113" s="3">
        <f t="shared" ca="1" si="125"/>
        <v>6.0054211833679691E-2</v>
      </c>
      <c r="Y113" s="3">
        <f t="shared" ca="1" si="125"/>
        <v>6.1976082537919211E-2</v>
      </c>
      <c r="Z113" s="3">
        <f t="shared" ca="1" si="125"/>
        <v>6.9190807103522739E-2</v>
      </c>
      <c r="AA113" s="3">
        <f t="shared" ca="1" si="125"/>
        <v>7.2671114762931172E-2</v>
      </c>
      <c r="AB113" s="3">
        <f t="shared" ref="AB113" ca="1" si="131">MIN(0.99,AB56+$O$3)</f>
        <v>7.2999948180492241E-2</v>
      </c>
      <c r="AC113" s="3">
        <f t="shared" ca="1" si="129"/>
        <v>7.9870842147789167E-2</v>
      </c>
      <c r="AD113" s="3">
        <f t="shared" ca="1" si="129"/>
        <v>8.6487348190474267E-2</v>
      </c>
      <c r="AE113" s="3">
        <f t="shared" ca="1" si="129"/>
        <v>8.2235560299499466E-2</v>
      </c>
      <c r="AF113" s="3">
        <f t="shared" ca="1" si="129"/>
        <v>9.7738035746347485E-2</v>
      </c>
      <c r="AG113" s="3">
        <f t="shared" ca="1" si="129"/>
        <v>9.3718538516937178E-2</v>
      </c>
      <c r="AH113" s="3">
        <f t="shared" ca="1" si="129"/>
        <v>0.13080549609748618</v>
      </c>
      <c r="AI113" s="3">
        <f t="shared" ca="1" si="129"/>
        <v>0.10717060711727394</v>
      </c>
      <c r="AJ113" s="3">
        <f t="shared" ca="1" si="129"/>
        <v>0.18915235118980422</v>
      </c>
    </row>
    <row r="114" spans="1:36" x14ac:dyDescent="0.35">
      <c r="A114" t="s">
        <v>77</v>
      </c>
      <c r="B114" t="s">
        <v>62</v>
      </c>
      <c r="C114" s="4" t="s">
        <v>72</v>
      </c>
      <c r="D114" s="3">
        <f t="shared" ca="1" si="77"/>
        <v>3.8408113325230794E-2</v>
      </c>
      <c r="E114" s="3">
        <f t="shared" ca="1" si="125"/>
        <v>3.7681929290234555E-2</v>
      </c>
      <c r="F114" s="3">
        <f t="shared" ca="1" si="125"/>
        <v>4.0562564904173926E-2</v>
      </c>
      <c r="G114" s="3">
        <f t="shared" ca="1" si="125"/>
        <v>3.9706714504824714E-2</v>
      </c>
      <c r="H114" s="3">
        <f t="shared" ca="1" si="125"/>
        <v>4.4048927787661771E-2</v>
      </c>
      <c r="I114" s="3">
        <f t="shared" ca="1" si="125"/>
        <v>4.0878257458817166E-2</v>
      </c>
      <c r="J114" s="3">
        <f t="shared" ca="1" si="125"/>
        <v>4.5851309073026592E-2</v>
      </c>
      <c r="K114" s="3">
        <f t="shared" ca="1" si="125"/>
        <v>4.2944594783070708E-2</v>
      </c>
      <c r="L114" s="3">
        <f t="shared" ca="1" si="125"/>
        <v>4.7880720455501513E-2</v>
      </c>
      <c r="M114" s="3">
        <f t="shared" ca="1" si="125"/>
        <v>4.3980272273753493E-2</v>
      </c>
      <c r="N114" s="3">
        <f t="shared" ca="1" si="125"/>
        <v>5.04815106002659E-2</v>
      </c>
      <c r="O114" s="3">
        <f t="shared" ca="1" si="125"/>
        <v>4.6649324957551669E-2</v>
      </c>
      <c r="P114" s="3">
        <f t="shared" ca="1" si="125"/>
        <v>5.1196919509375681E-2</v>
      </c>
      <c r="Q114" s="3">
        <f t="shared" ca="1" si="125"/>
        <v>4.8609181993810154E-2</v>
      </c>
      <c r="R114" s="3">
        <f t="shared" ca="1" si="125"/>
        <v>5.313533486431235E-2</v>
      </c>
      <c r="S114" s="3">
        <f t="shared" ca="1" si="125"/>
        <v>5.1134854804348609E-2</v>
      </c>
      <c r="T114" s="3">
        <f t="shared" ca="1" si="125"/>
        <v>5.5055285638435737E-2</v>
      </c>
      <c r="U114" s="3">
        <f t="shared" ca="1" si="125"/>
        <v>5.4134458497370044E-2</v>
      </c>
      <c r="V114" s="3">
        <f t="shared" ca="1" si="125"/>
        <v>5.571123888608908E-2</v>
      </c>
      <c r="W114" s="3">
        <f t="shared" ca="1" si="125"/>
        <v>5.6531781680966543E-2</v>
      </c>
      <c r="X114" s="3">
        <f t="shared" ca="1" si="125"/>
        <v>6.1008781199407246E-2</v>
      </c>
      <c r="Y114" s="3">
        <f t="shared" ca="1" si="125"/>
        <v>6.2879925180752305E-2</v>
      </c>
      <c r="Z114" s="3">
        <f t="shared" ca="1" si="125"/>
        <v>7.0137471712592686E-2</v>
      </c>
      <c r="AA114" s="3">
        <f t="shared" ca="1" si="125"/>
        <v>7.3633861457387415E-2</v>
      </c>
      <c r="AB114" s="3">
        <f t="shared" ref="AB114" ca="1" si="132">MIN(0.99,AB57+$O$3)</f>
        <v>7.394654012332133E-2</v>
      </c>
      <c r="AC114" s="3">
        <f t="shared" ca="1" si="129"/>
        <v>8.082730304857165E-2</v>
      </c>
      <c r="AD114" s="3">
        <f t="shared" ca="1" si="129"/>
        <v>8.7425484279590487E-2</v>
      </c>
      <c r="AE114" s="3">
        <f t="shared" ca="1" si="129"/>
        <v>8.3191378051954853E-2</v>
      </c>
      <c r="AF114" s="3">
        <f t="shared" ca="1" si="129"/>
        <v>9.8695385173499267E-2</v>
      </c>
      <c r="AG114" s="3">
        <f t="shared" ca="1" si="129"/>
        <v>9.4641256912083749E-2</v>
      </c>
      <c r="AH114" s="3">
        <f t="shared" ca="1" si="129"/>
        <v>0.13173485015729411</v>
      </c>
      <c r="AI114" s="3">
        <f t="shared" ca="1" si="129"/>
        <v>0.10815296267306668</v>
      </c>
      <c r="AJ114" s="3">
        <f t="shared" ca="1" si="129"/>
        <v>0.19014563104603746</v>
      </c>
    </row>
    <row r="115" spans="1:36" x14ac:dyDescent="0.35">
      <c r="A115" t="s">
        <v>77</v>
      </c>
      <c r="B115" t="s">
        <v>62</v>
      </c>
      <c r="C115" s="4">
        <v>6</v>
      </c>
      <c r="D115" s="3">
        <f t="shared" ca="1" si="77"/>
        <v>3.9394632355932283E-2</v>
      </c>
      <c r="E115" s="3">
        <f t="shared" ca="1" si="125"/>
        <v>3.8641195400122563E-2</v>
      </c>
      <c r="F115" s="3">
        <f t="shared" ca="1" si="125"/>
        <v>4.1511388668425728E-2</v>
      </c>
      <c r="G115" s="3">
        <f t="shared" ca="1" si="125"/>
        <v>4.0625723815489762E-2</v>
      </c>
      <c r="H115" s="3">
        <f t="shared" ca="1" si="125"/>
        <v>4.4956837306065187E-2</v>
      </c>
      <c r="I115" s="3">
        <f t="shared" ca="1" si="125"/>
        <v>4.1805444461140387E-2</v>
      </c>
      <c r="J115" s="3">
        <f t="shared" ca="1" si="125"/>
        <v>4.6833474018499605E-2</v>
      </c>
      <c r="K115" s="3">
        <f t="shared" ca="1" si="125"/>
        <v>4.3919188002477287E-2</v>
      </c>
      <c r="L115" s="3">
        <f t="shared" ca="1" si="125"/>
        <v>4.8849290430718458E-2</v>
      </c>
      <c r="M115" s="3">
        <f t="shared" ca="1" si="125"/>
        <v>4.4908803782563698E-2</v>
      </c>
      <c r="N115" s="3">
        <f t="shared" ca="1" si="125"/>
        <v>5.146294406989152E-2</v>
      </c>
      <c r="O115" s="3">
        <f t="shared" ca="1" si="125"/>
        <v>4.7627914167943361E-2</v>
      </c>
      <c r="P115" s="3">
        <f t="shared" ca="1" si="125"/>
        <v>5.2147134854824306E-2</v>
      </c>
      <c r="Q115" s="3">
        <f t="shared" ca="1" si="125"/>
        <v>4.9562169569610251E-2</v>
      </c>
      <c r="R115" s="3">
        <f t="shared" ca="1" si="125"/>
        <v>5.410414794534045E-2</v>
      </c>
      <c r="S115" s="3">
        <f t="shared" ca="1" si="125"/>
        <v>5.2060606825952455E-2</v>
      </c>
      <c r="T115" s="3">
        <f t="shared" ca="1" si="125"/>
        <v>5.5999879297719941E-2</v>
      </c>
      <c r="U115" s="3">
        <f t="shared" ca="1" si="125"/>
        <v>5.5059677072176419E-2</v>
      </c>
      <c r="V115" s="3">
        <f t="shared" ca="1" si="125"/>
        <v>5.6621595809218557E-2</v>
      </c>
      <c r="W115" s="3">
        <f t="shared" ca="1" si="125"/>
        <v>5.7446684763107429E-2</v>
      </c>
      <c r="X115" s="3">
        <f t="shared" ca="1" si="125"/>
        <v>6.1973307693038535E-2</v>
      </c>
      <c r="Y115" s="3">
        <f t="shared" ca="1" si="125"/>
        <v>6.3842944705607377E-2</v>
      </c>
      <c r="Z115" s="3">
        <f t="shared" ca="1" si="125"/>
        <v>7.1075913857378312E-2</v>
      </c>
      <c r="AA115" s="3">
        <f t="shared" ca="1" si="125"/>
        <v>7.4558862356386507E-2</v>
      </c>
      <c r="AB115" s="3">
        <f t="shared" ref="AB115" ca="1" si="133">MIN(0.99,AB58+$O$3)</f>
        <v>7.4921368682532241E-2</v>
      </c>
      <c r="AC115" s="3">
        <f t="shared" ca="1" si="129"/>
        <v>8.1736146079593952E-2</v>
      </c>
      <c r="AD115" s="3">
        <f t="shared" ca="1" si="129"/>
        <v>8.8419592924496498E-2</v>
      </c>
      <c r="AE115" s="3">
        <f t="shared" ca="1" si="129"/>
        <v>8.4175306703845099E-2</v>
      </c>
      <c r="AF115" s="3">
        <f t="shared" ca="1" si="129"/>
        <v>9.9688123714337301E-2</v>
      </c>
      <c r="AG115" s="3">
        <f t="shared" ca="1" si="129"/>
        <v>9.5542829353237074E-2</v>
      </c>
      <c r="AH115" s="3">
        <f t="shared" ca="1" si="129"/>
        <v>0.13269830910672001</v>
      </c>
      <c r="AI115" s="3">
        <f t="shared" ca="1" si="129"/>
        <v>0.10905875379895599</v>
      </c>
      <c r="AJ115" s="3">
        <f t="shared" ca="1" si="129"/>
        <v>0.1910626556579712</v>
      </c>
    </row>
    <row r="116" spans="1:36" x14ac:dyDescent="0.35">
      <c r="A116" t="s">
        <v>77</v>
      </c>
      <c r="B116" t="s">
        <v>62</v>
      </c>
      <c r="C116" s="4" t="s">
        <v>73</v>
      </c>
      <c r="D116" s="3">
        <f t="shared" ca="1" si="77"/>
        <v>4.0386936351762145E-2</v>
      </c>
      <c r="E116" s="3">
        <f t="shared" ca="1" si="125"/>
        <v>3.9547628701309921E-2</v>
      </c>
      <c r="F116" s="3">
        <f t="shared" ca="1" si="125"/>
        <v>4.2500013892154381E-2</v>
      </c>
      <c r="G116" s="3">
        <f t="shared" ca="1" si="125"/>
        <v>4.1621741231034876E-2</v>
      </c>
      <c r="H116" s="3">
        <f t="shared" ca="1" si="125"/>
        <v>4.592171383222847E-2</v>
      </c>
      <c r="I116" s="3">
        <f t="shared" ca="1" si="125"/>
        <v>4.2744135370678421E-2</v>
      </c>
      <c r="J116" s="3">
        <f t="shared" ca="1" si="125"/>
        <v>4.7785054890590248E-2</v>
      </c>
      <c r="K116" s="3">
        <f t="shared" ca="1" si="125"/>
        <v>4.4844510714854117E-2</v>
      </c>
      <c r="L116" s="3">
        <f t="shared" ca="1" si="125"/>
        <v>4.976018191082765E-2</v>
      </c>
      <c r="M116" s="3">
        <f t="shared" ca="1" si="125"/>
        <v>4.5897262463629566E-2</v>
      </c>
      <c r="N116" s="3">
        <f t="shared" ca="1" si="125"/>
        <v>5.2412569454329816E-2</v>
      </c>
      <c r="O116" s="3">
        <f t="shared" ca="1" si="125"/>
        <v>4.8570225178357698E-2</v>
      </c>
      <c r="P116" s="3">
        <f t="shared" ca="1" si="125"/>
        <v>5.305827773559655E-2</v>
      </c>
      <c r="Q116" s="3">
        <f t="shared" ca="1" si="125"/>
        <v>5.0555017233816626E-2</v>
      </c>
      <c r="R116" s="3">
        <f t="shared" ca="1" si="125"/>
        <v>5.5078642714833044E-2</v>
      </c>
      <c r="S116" s="3">
        <f t="shared" ca="1" si="125"/>
        <v>5.2981916774979945E-2</v>
      </c>
      <c r="T116" s="3">
        <f t="shared" ca="1" si="125"/>
        <v>5.6965951382485031E-2</v>
      </c>
      <c r="U116" s="3">
        <f t="shared" ca="1" si="125"/>
        <v>5.5990554205338224E-2</v>
      </c>
      <c r="V116" s="3">
        <f t="shared" ca="1" si="125"/>
        <v>5.7530191387907159E-2</v>
      </c>
      <c r="W116" s="3">
        <f t="shared" ca="1" si="125"/>
        <v>5.8425487108905237E-2</v>
      </c>
      <c r="X116" s="3">
        <f t="shared" ca="1" si="125"/>
        <v>6.2967195172722451E-2</v>
      </c>
      <c r="Y116" s="3">
        <f t="shared" ca="1" si="125"/>
        <v>6.4804531296219853E-2</v>
      </c>
      <c r="Z116" s="3">
        <f t="shared" ca="1" si="125"/>
        <v>7.200182970306751E-2</v>
      </c>
      <c r="AA116" s="3">
        <f t="shared" ca="1" si="125"/>
        <v>7.552464466300865E-2</v>
      </c>
      <c r="AB116" s="3">
        <f t="shared" ref="AB116" ca="1" si="134">MIN(0.99,AB59+$O$3)</f>
        <v>7.5873881910314606E-2</v>
      </c>
      <c r="AC116" s="3">
        <f t="shared" ca="1" si="129"/>
        <v>8.2673874968464345E-2</v>
      </c>
      <c r="AD116" s="3">
        <f t="shared" ca="1" si="129"/>
        <v>8.9384887718954947E-2</v>
      </c>
      <c r="AE116" s="3">
        <f t="shared" ca="1" si="129"/>
        <v>8.507856757893513E-2</v>
      </c>
      <c r="AF116" s="3">
        <f t="shared" ca="1" si="129"/>
        <v>0.1006393113393772</v>
      </c>
      <c r="AG116" s="3">
        <f t="shared" ca="1" si="129"/>
        <v>9.6541802076112432E-2</v>
      </c>
      <c r="AH116" s="3">
        <f t="shared" ca="1" si="129"/>
        <v>0.13365107764986414</v>
      </c>
      <c r="AI116" s="3">
        <f t="shared" ca="1" si="129"/>
        <v>0.10998371906548915</v>
      </c>
      <c r="AJ116" s="3">
        <f t="shared" ca="1" si="129"/>
        <v>0.1919929887846348</v>
      </c>
    </row>
    <row r="117" spans="1:36" x14ac:dyDescent="0.35">
      <c r="A117" t="s">
        <v>77</v>
      </c>
      <c r="B117" t="s">
        <v>62</v>
      </c>
      <c r="C117" s="4" t="s">
        <v>74</v>
      </c>
      <c r="D117" s="3">
        <f t="shared" ca="1" si="77"/>
        <v>4.1316337697384305E-2</v>
      </c>
      <c r="E117" s="3">
        <f t="shared" ca="1" si="125"/>
        <v>4.0538279054390537E-2</v>
      </c>
      <c r="F117" s="3">
        <f t="shared" ca="1" si="125"/>
        <v>4.3402286295640927E-2</v>
      </c>
      <c r="G117" s="3">
        <f t="shared" ca="1" si="125"/>
        <v>4.2541311257806247E-2</v>
      </c>
      <c r="H117" s="3">
        <f t="shared" ca="1" si="125"/>
        <v>4.6876947885218727E-2</v>
      </c>
      <c r="I117" s="3">
        <f t="shared" ca="1" si="125"/>
        <v>4.3689346036882334E-2</v>
      </c>
      <c r="J117" s="3">
        <f t="shared" ca="1" si="125"/>
        <v>4.8738976535387835E-2</v>
      </c>
      <c r="K117" s="3">
        <f t="shared" ca="1" si="125"/>
        <v>4.5794991529974183E-2</v>
      </c>
      <c r="L117" s="3">
        <f t="shared" ca="1" si="125"/>
        <v>5.0733787315479707E-2</v>
      </c>
      <c r="M117" s="3">
        <f t="shared" ca="1" si="125"/>
        <v>4.6849105925949805E-2</v>
      </c>
      <c r="N117" s="3">
        <f t="shared" ca="1" si="125"/>
        <v>5.3356862334789465E-2</v>
      </c>
      <c r="O117" s="3">
        <f t="shared" ca="1" si="125"/>
        <v>4.9501735513536885E-2</v>
      </c>
      <c r="P117" s="3">
        <f t="shared" ca="1" si="125"/>
        <v>5.4012636013329174E-2</v>
      </c>
      <c r="Q117" s="3">
        <f t="shared" ca="1" si="125"/>
        <v>5.1543480492738408E-2</v>
      </c>
      <c r="R117" s="3">
        <f t="shared" ca="1" si="125"/>
        <v>5.606294272303175E-2</v>
      </c>
      <c r="S117" s="3">
        <f t="shared" ca="1" si="125"/>
        <v>5.3978071046557344E-2</v>
      </c>
      <c r="T117" s="3">
        <f t="shared" ca="1" si="125"/>
        <v>5.7873941535837262E-2</v>
      </c>
      <c r="U117" s="3">
        <f t="shared" ca="1" si="125"/>
        <v>5.6901813714334386E-2</v>
      </c>
      <c r="V117" s="3">
        <f t="shared" ca="1" si="125"/>
        <v>5.8524863128918955E-2</v>
      </c>
      <c r="W117" s="3">
        <f t="shared" ca="1" si="125"/>
        <v>5.9344331226903337E-2</v>
      </c>
      <c r="X117" s="3">
        <f t="shared" ca="1" si="125"/>
        <v>6.3933285833749229E-2</v>
      </c>
      <c r="Y117" s="3">
        <f t="shared" ca="1" si="125"/>
        <v>6.5739232004647041E-2</v>
      </c>
      <c r="Z117" s="3">
        <f t="shared" ca="1" si="125"/>
        <v>7.29296456325014E-2</v>
      </c>
      <c r="AA117" s="3">
        <f t="shared" ca="1" si="125"/>
        <v>7.6500608686178612E-2</v>
      </c>
      <c r="AB117" s="3">
        <f t="shared" ref="AB117" ca="1" si="135">MIN(0.99,AB60+$O$3)</f>
        <v>7.6821075526127519E-2</v>
      </c>
      <c r="AC117" s="3">
        <f t="shared" ca="1" si="129"/>
        <v>8.3600282742797308E-2</v>
      </c>
      <c r="AD117" s="3">
        <f t="shared" ca="1" si="129"/>
        <v>9.0287347364944509E-2</v>
      </c>
      <c r="AE117" s="3">
        <f t="shared" ca="1" si="129"/>
        <v>8.6028208709063081E-2</v>
      </c>
      <c r="AF117" s="3">
        <f t="shared" ca="1" si="129"/>
        <v>0.10154018022247707</v>
      </c>
      <c r="AG117" s="3">
        <f t="shared" ca="1" si="129"/>
        <v>9.7502936802017243E-2</v>
      </c>
      <c r="AH117" s="3">
        <f t="shared" ca="1" si="129"/>
        <v>0.13459289197554838</v>
      </c>
      <c r="AI117" s="3">
        <f t="shared" ca="1" si="129"/>
        <v>0.11096916048003796</v>
      </c>
      <c r="AJ117" s="3">
        <f t="shared" ca="1" si="129"/>
        <v>0.19293474800599617</v>
      </c>
    </row>
    <row r="118" spans="1:36" x14ac:dyDescent="0.35">
      <c r="A118" t="s">
        <v>77</v>
      </c>
      <c r="B118" t="s">
        <v>62</v>
      </c>
      <c r="C118" s="4">
        <v>7</v>
      </c>
      <c r="D118" s="3">
        <f t="shared" ca="1" si="77"/>
        <v>4.2226710086550309E-2</v>
      </c>
      <c r="E118" s="3">
        <f t="shared" ca="1" si="125"/>
        <v>4.1453362690508276E-2</v>
      </c>
      <c r="F118" s="3">
        <f t="shared" ca="1" si="125"/>
        <v>4.4345344187116692E-2</v>
      </c>
      <c r="G118" s="3">
        <f t="shared" ca="1" si="125"/>
        <v>4.3458083368384005E-2</v>
      </c>
      <c r="H118" s="3">
        <f t="shared" ca="1" si="125"/>
        <v>4.7794438285014354E-2</v>
      </c>
      <c r="I118" s="3">
        <f t="shared" ca="1" si="125"/>
        <v>4.46730627162676E-2</v>
      </c>
      <c r="J118" s="3">
        <f t="shared" ca="1" si="125"/>
        <v>4.9729653518105849E-2</v>
      </c>
      <c r="K118" s="3">
        <f t="shared" ca="1" si="125"/>
        <v>4.6736860398129715E-2</v>
      </c>
      <c r="L118" s="3">
        <f t="shared" ca="1" si="125"/>
        <v>5.1668287764437409E-2</v>
      </c>
      <c r="M118" s="3">
        <f t="shared" ca="1" si="125"/>
        <v>4.7834791632298299E-2</v>
      </c>
      <c r="N118" s="3">
        <f t="shared" ca="1" si="125"/>
        <v>5.4265929075964031E-2</v>
      </c>
      <c r="O118" s="3">
        <f t="shared" ca="1" si="125"/>
        <v>5.041545910856142E-2</v>
      </c>
      <c r="P118" s="3">
        <f t="shared" ca="1" si="125"/>
        <v>5.5000408365831227E-2</v>
      </c>
      <c r="Q118" s="3">
        <f t="shared" ca="1" si="125"/>
        <v>5.2480505227598631E-2</v>
      </c>
      <c r="R118" s="3">
        <f t="shared" ca="1" si="125"/>
        <v>5.7054880705174678E-2</v>
      </c>
      <c r="S118" s="3">
        <f t="shared" ca="1" si="125"/>
        <v>5.4895950672121753E-2</v>
      </c>
      <c r="T118" s="3">
        <f t="shared" ca="1" si="125"/>
        <v>5.8868544012707705E-2</v>
      </c>
      <c r="U118" s="3">
        <f t="shared" ca="1" si="125"/>
        <v>5.7885630716157328E-2</v>
      </c>
      <c r="V118" s="3">
        <f t="shared" ca="1" si="125"/>
        <v>5.9460831225618058E-2</v>
      </c>
      <c r="W118" s="3">
        <f t="shared" ca="1" si="125"/>
        <v>6.0329980357340433E-2</v>
      </c>
      <c r="X118" s="3">
        <f t="shared" ca="1" si="125"/>
        <v>6.4848456895077039E-2</v>
      </c>
      <c r="Y118" s="3">
        <f t="shared" ca="1" si="125"/>
        <v>6.66684286051554E-2</v>
      </c>
      <c r="Z118" s="3">
        <f t="shared" ca="1" si="125"/>
        <v>7.3887780807242898E-2</v>
      </c>
      <c r="AA118" s="3">
        <f t="shared" ca="1" si="125"/>
        <v>7.7483147803501004E-2</v>
      </c>
      <c r="AB118" s="3">
        <f t="shared" ref="AB118" ca="1" si="136">MIN(0.99,AB61+$O$3)</f>
        <v>7.7789868959764419E-2</v>
      </c>
      <c r="AC118" s="3">
        <f t="shared" ca="1" si="129"/>
        <v>8.4587536934887464E-2</v>
      </c>
      <c r="AD118" s="3">
        <f t="shared" ca="1" si="129"/>
        <v>9.1191822836581282E-2</v>
      </c>
      <c r="AE118" s="3">
        <f t="shared" ca="1" si="129"/>
        <v>8.6967285148231543E-2</v>
      </c>
      <c r="AF118" s="3">
        <f t="shared" ca="1" si="129"/>
        <v>0.10246953223643041</v>
      </c>
      <c r="AG118" s="3">
        <f t="shared" ca="1" si="129"/>
        <v>9.8439550165172557E-2</v>
      </c>
      <c r="AH118" s="3">
        <f t="shared" ca="1" si="129"/>
        <v>0.13556056495424174</v>
      </c>
      <c r="AI118" s="3">
        <f t="shared" ca="1" si="129"/>
        <v>0.11195816250837654</v>
      </c>
      <c r="AJ118" s="3">
        <f t="shared" ca="1" si="129"/>
        <v>0.19389210828009404</v>
      </c>
    </row>
    <row r="119" spans="1:36" x14ac:dyDescent="0.35">
      <c r="A119" t="s">
        <v>77</v>
      </c>
      <c r="B119" t="s">
        <v>62</v>
      </c>
      <c r="C119" s="4" t="s">
        <v>75</v>
      </c>
      <c r="D119" s="3">
        <f t="shared" ca="1" si="77"/>
        <v>4.3128009240577365E-2</v>
      </c>
      <c r="E119" s="3">
        <f t="shared" ca="1" si="125"/>
        <v>4.2361062024404469E-2</v>
      </c>
      <c r="F119" s="3">
        <f t="shared" ca="1" si="125"/>
        <v>4.5344876758119393E-2</v>
      </c>
      <c r="G119" s="3">
        <f t="shared" ref="G119:AB119" ca="1" si="137">MIN(0.99,G62+$O$3)</f>
        <v>4.4401094330894814E-2</v>
      </c>
      <c r="H119" s="3">
        <f t="shared" ca="1" si="137"/>
        <v>4.8754541829204537E-2</v>
      </c>
      <c r="I119" s="3">
        <f t="shared" ca="1" si="137"/>
        <v>4.5672201740085086E-2</v>
      </c>
      <c r="J119" s="3">
        <f t="shared" ca="1" si="137"/>
        <v>5.0680685814814351E-2</v>
      </c>
      <c r="K119" s="3">
        <f t="shared" ca="1" si="137"/>
        <v>4.7664797669197116E-2</v>
      </c>
      <c r="L119" s="3">
        <f t="shared" ca="1" si="137"/>
        <v>5.2644006949034046E-2</v>
      </c>
      <c r="M119" s="3">
        <f t="shared" ca="1" si="137"/>
        <v>4.879557061054067E-2</v>
      </c>
      <c r="N119" s="3">
        <f t="shared" ca="1" si="137"/>
        <v>5.5248120067561995E-2</v>
      </c>
      <c r="O119" s="3">
        <f t="shared" ca="1" si="137"/>
        <v>5.1361415936595295E-2</v>
      </c>
      <c r="P119" s="3">
        <f t="shared" ca="1" si="137"/>
        <v>5.5999578985167789E-2</v>
      </c>
      <c r="Q119" s="3">
        <f t="shared" ca="1" si="137"/>
        <v>5.3436850770994193E-2</v>
      </c>
      <c r="R119" s="3">
        <f t="shared" ca="1" si="137"/>
        <v>5.8033607776862089E-2</v>
      </c>
      <c r="S119" s="3">
        <f t="shared" ca="1" si="137"/>
        <v>5.5838425467124878E-2</v>
      </c>
      <c r="T119" s="3">
        <f t="shared" ca="1" si="137"/>
        <v>5.985455300183605E-2</v>
      </c>
      <c r="U119" s="3">
        <f t="shared" ca="1" si="137"/>
        <v>5.887986888037211E-2</v>
      </c>
      <c r="V119" s="3">
        <f t="shared" ca="1" si="137"/>
        <v>6.0401078304836292E-2</v>
      </c>
      <c r="W119" s="3">
        <f t="shared" ca="1" si="137"/>
        <v>6.1238380121084714E-2</v>
      </c>
      <c r="X119" s="3">
        <f t="shared" ca="1" si="137"/>
        <v>6.5779280047233518E-2</v>
      </c>
      <c r="Y119" s="3">
        <f t="shared" ca="1" si="137"/>
        <v>6.7589542216064405E-2</v>
      </c>
      <c r="Z119" s="3">
        <f t="shared" ca="1" si="137"/>
        <v>7.483898542988901E-2</v>
      </c>
      <c r="AA119" s="3">
        <f t="shared" ca="1" si="137"/>
        <v>7.8417358121150138E-2</v>
      </c>
      <c r="AB119" s="3">
        <f t="shared" ca="1" si="137"/>
        <v>7.8725257440567131E-2</v>
      </c>
      <c r="AC119" s="3">
        <f t="shared" ca="1" si="129"/>
        <v>8.5514150933259536E-2</v>
      </c>
      <c r="AD119" s="3">
        <f t="shared" ca="1" si="129"/>
        <v>9.2142020288133758E-2</v>
      </c>
      <c r="AE119" s="3">
        <f t="shared" ca="1" si="129"/>
        <v>8.789049919908043E-2</v>
      </c>
      <c r="AF119" s="3">
        <f t="shared" ca="1" si="129"/>
        <v>0.10342310108006678</v>
      </c>
      <c r="AG119" s="3">
        <f t="shared" ca="1" si="129"/>
        <v>9.940679180127418E-2</v>
      </c>
      <c r="AH119" s="3">
        <f t="shared" ca="1" si="129"/>
        <v>0.13648382515303334</v>
      </c>
      <c r="AI119" s="3">
        <f t="shared" ca="1" si="129"/>
        <v>0.11294396138240331</v>
      </c>
      <c r="AJ119" s="3">
        <f t="shared" ca="1" si="129"/>
        <v>0.19486470460936239</v>
      </c>
    </row>
  </sheetData>
  <phoneticPr fontId="3" type="noConversion"/>
  <dataValidations disablePrompts="1" count="2">
    <dataValidation type="list" allowBlank="1" showInputMessage="1" showErrorMessage="1" sqref="B120:B1048576" xr:uid="{3AD7662D-2C4E-4620-8B9C-64E8DA354390}">
      <mc:AlternateContent xmlns:x12ac="http://schemas.microsoft.com/office/spreadsheetml/2011/1/ac" xmlns:mc="http://schemas.openxmlformats.org/markup-compatibility/2006">
        <mc:Choice Requires="x12ac">
          <x12ac:list>"CENTRAL, STRESS, OPTIMISTE"</x12ac:list>
        </mc:Choice>
        <mc:Fallback>
          <formula1>"CENTRAL, STRESS, OPTIMISTE"</formula1>
        </mc:Fallback>
      </mc:AlternateContent>
    </dataValidation>
    <dataValidation type="list" allowBlank="1" showInputMessage="1" showErrorMessage="1" sqref="B25:B62 B82:B119" xr:uid="{E77E6BF9-14A8-417C-8DE7-4CD8A5CFA708}">
      <formula1>"CENTRAL,STRESS,OPTIMISTE"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3996-874F-4877-B17D-0F95183BBD6E}">
  <dimension ref="A1"/>
  <sheetViews>
    <sheetView workbookViewId="0">
      <selection activeCell="F12" sqref="F12"/>
    </sheetView>
  </sheetViews>
  <sheetFormatPr baseColWidth="10"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C3C9-3F89-4887-98DE-1F48CB4DF3F3}">
  <sheetPr>
    <tabColor theme="4"/>
  </sheetPr>
  <dimension ref="A5:AJ11"/>
  <sheetViews>
    <sheetView zoomScale="70" zoomScaleNormal="70" workbookViewId="0">
      <selection activeCell="J22" sqref="J22"/>
    </sheetView>
  </sheetViews>
  <sheetFormatPr baseColWidth="10" defaultRowHeight="14.5" x14ac:dyDescent="0.35"/>
  <cols>
    <col min="1" max="1" width="18" bestFit="1" customWidth="1"/>
    <col min="3" max="3" width="22.6328125" bestFit="1" customWidth="1"/>
  </cols>
  <sheetData>
    <row r="5" spans="1:36" s="2" customFormat="1" x14ac:dyDescent="0.35">
      <c r="A5" s="2" t="s">
        <v>78</v>
      </c>
      <c r="B5" s="2" t="s">
        <v>26</v>
      </c>
      <c r="C5" s="2" t="s">
        <v>79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38</v>
      </c>
      <c r="O5" s="2" t="s">
        <v>39</v>
      </c>
      <c r="P5" s="2" t="s">
        <v>40</v>
      </c>
      <c r="Q5" s="2" t="s">
        <v>41</v>
      </c>
      <c r="R5" s="2" t="s">
        <v>42</v>
      </c>
      <c r="S5" s="2" t="s">
        <v>43</v>
      </c>
      <c r="T5" s="2" t="s">
        <v>44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51</v>
      </c>
      <c r="AB5" s="2" t="s">
        <v>52</v>
      </c>
      <c r="AC5" s="2" t="s">
        <v>53</v>
      </c>
      <c r="AD5" s="2" t="s">
        <v>54</v>
      </c>
      <c r="AE5" s="2" t="s">
        <v>55</v>
      </c>
      <c r="AF5" s="2" t="s">
        <v>56</v>
      </c>
      <c r="AG5" s="2" t="s">
        <v>57</v>
      </c>
      <c r="AH5" s="2" t="s">
        <v>58</v>
      </c>
      <c r="AI5" s="2" t="s">
        <v>59</v>
      </c>
      <c r="AJ5" s="2" t="s">
        <v>60</v>
      </c>
    </row>
    <row r="6" spans="1:36" x14ac:dyDescent="0.35">
      <c r="A6" t="s">
        <v>80</v>
      </c>
      <c r="B6" t="s">
        <v>76</v>
      </c>
      <c r="C6" s="5">
        <v>0.43</v>
      </c>
    </row>
    <row r="7" spans="1:36" x14ac:dyDescent="0.35">
      <c r="A7" t="s">
        <v>80</v>
      </c>
      <c r="B7" t="s">
        <v>61</v>
      </c>
      <c r="C7" s="5">
        <v>0.45</v>
      </c>
    </row>
    <row r="8" spans="1:36" x14ac:dyDescent="0.35">
      <c r="A8" t="s">
        <v>80</v>
      </c>
      <c r="B8" t="s">
        <v>62</v>
      </c>
      <c r="C8" s="5">
        <v>0.46</v>
      </c>
    </row>
    <row r="9" spans="1:36" x14ac:dyDescent="0.35">
      <c r="A9" t="s">
        <v>81</v>
      </c>
      <c r="B9" t="s">
        <v>76</v>
      </c>
      <c r="D9" s="5">
        <v>0.33</v>
      </c>
      <c r="E9" s="5">
        <f>D9+0.012</f>
        <v>0.34200000000000003</v>
      </c>
      <c r="F9" s="5">
        <f t="shared" ref="F9:L9" si="0">E9+0.01</f>
        <v>0.35200000000000004</v>
      </c>
      <c r="G9" s="5">
        <f t="shared" si="0"/>
        <v>0.36200000000000004</v>
      </c>
      <c r="H9" s="5">
        <f t="shared" si="0"/>
        <v>0.37200000000000005</v>
      </c>
      <c r="I9" s="5">
        <f t="shared" si="0"/>
        <v>0.38200000000000006</v>
      </c>
      <c r="J9" s="5">
        <f t="shared" si="0"/>
        <v>0.39200000000000007</v>
      </c>
      <c r="K9" s="5">
        <f t="shared" si="0"/>
        <v>0.40200000000000008</v>
      </c>
      <c r="L9" s="5">
        <f t="shared" si="0"/>
        <v>0.41200000000000009</v>
      </c>
      <c r="M9" s="6">
        <v>0.36000000000000004</v>
      </c>
      <c r="N9" s="6">
        <v>0.36000000000000004</v>
      </c>
      <c r="O9" s="6">
        <v>0.36000000000000004</v>
      </c>
      <c r="P9" s="6">
        <v>0.36000000000000004</v>
      </c>
      <c r="Q9" s="6">
        <v>0.36000000000000004</v>
      </c>
      <c r="R9" s="6">
        <v>0.36000000000000004</v>
      </c>
      <c r="S9" s="6">
        <v>0.36000000000000004</v>
      </c>
      <c r="T9" s="6">
        <v>0.36000000000000004</v>
      </c>
      <c r="U9" s="6">
        <v>0.36000000000000004</v>
      </c>
      <c r="V9" s="6">
        <v>0.36000000000000004</v>
      </c>
      <c r="W9" s="6">
        <v>0.36000000000000004</v>
      </c>
      <c r="X9" s="6">
        <v>0.36000000000000004</v>
      </c>
      <c r="Y9" s="6">
        <v>0.36000000000000004</v>
      </c>
      <c r="Z9" s="6">
        <v>0.36000000000000004</v>
      </c>
      <c r="AA9" s="6">
        <v>0.36000000000000004</v>
      </c>
      <c r="AB9" s="6">
        <v>0.36000000000000004</v>
      </c>
      <c r="AC9" s="6">
        <v>0.36000000000000004</v>
      </c>
      <c r="AD9" s="6">
        <v>0.36000000000000004</v>
      </c>
      <c r="AE9" s="6">
        <v>0.36000000000000004</v>
      </c>
      <c r="AF9" s="6">
        <v>0.36000000000000004</v>
      </c>
      <c r="AG9" s="6">
        <v>0.36000000000000004</v>
      </c>
      <c r="AH9" s="6">
        <v>0.36000000000000004</v>
      </c>
      <c r="AI9" s="6">
        <v>0.36000000000000004</v>
      </c>
      <c r="AJ9" s="6">
        <v>0.36000000000000004</v>
      </c>
    </row>
    <row r="10" spans="1:36" x14ac:dyDescent="0.35">
      <c r="A10" t="s">
        <v>81</v>
      </c>
      <c r="B10" t="s">
        <v>61</v>
      </c>
      <c r="D10" s="5">
        <f>D9+0.02</f>
        <v>0.35000000000000003</v>
      </c>
      <c r="E10" s="5">
        <f t="shared" ref="E10:E11" si="1">D10+0.012</f>
        <v>0.36200000000000004</v>
      </c>
      <c r="F10" s="5">
        <f t="shared" ref="F10:L10" si="2">E10+0.01</f>
        <v>0.37200000000000005</v>
      </c>
      <c r="G10" s="5">
        <f t="shared" si="2"/>
        <v>0.38200000000000006</v>
      </c>
      <c r="H10" s="5">
        <f t="shared" si="2"/>
        <v>0.39200000000000007</v>
      </c>
      <c r="I10" s="5">
        <f t="shared" si="2"/>
        <v>0.40200000000000008</v>
      </c>
      <c r="J10" s="5">
        <f t="shared" si="2"/>
        <v>0.41200000000000009</v>
      </c>
      <c r="K10" s="5">
        <f t="shared" si="2"/>
        <v>0.4220000000000001</v>
      </c>
      <c r="L10" s="5">
        <f t="shared" si="2"/>
        <v>0.43200000000000011</v>
      </c>
      <c r="M10" s="6">
        <v>0.38000000000000006</v>
      </c>
      <c r="N10" s="6">
        <v>0.38000000000000006</v>
      </c>
      <c r="O10" s="6">
        <v>0.38000000000000006</v>
      </c>
      <c r="P10" s="6">
        <v>0.38000000000000006</v>
      </c>
      <c r="Q10" s="6">
        <v>0.38000000000000006</v>
      </c>
      <c r="R10" s="6">
        <v>0.38000000000000006</v>
      </c>
      <c r="S10" s="6">
        <v>0.38000000000000006</v>
      </c>
      <c r="T10" s="6">
        <v>0.38000000000000006</v>
      </c>
      <c r="U10" s="6">
        <v>0.38000000000000006</v>
      </c>
      <c r="V10" s="6">
        <v>0.38000000000000006</v>
      </c>
      <c r="W10" s="6">
        <v>0.38000000000000006</v>
      </c>
      <c r="X10" s="6">
        <v>0.38000000000000006</v>
      </c>
      <c r="Y10" s="6">
        <v>0.38000000000000006</v>
      </c>
      <c r="Z10" s="6">
        <v>0.38000000000000006</v>
      </c>
      <c r="AA10" s="6">
        <v>0.38000000000000006</v>
      </c>
      <c r="AB10" s="6">
        <v>0.38000000000000006</v>
      </c>
      <c r="AC10" s="6">
        <v>0.38000000000000006</v>
      </c>
      <c r="AD10" s="6">
        <v>0.38000000000000006</v>
      </c>
      <c r="AE10" s="6">
        <v>0.38000000000000006</v>
      </c>
      <c r="AF10" s="6">
        <v>0.38000000000000006</v>
      </c>
      <c r="AG10" s="6">
        <v>0.38000000000000006</v>
      </c>
      <c r="AH10" s="6">
        <v>0.38000000000000006</v>
      </c>
      <c r="AI10" s="6">
        <v>0.38000000000000006</v>
      </c>
      <c r="AJ10" s="6">
        <v>0.38000000000000006</v>
      </c>
    </row>
    <row r="11" spans="1:36" x14ac:dyDescent="0.35">
      <c r="A11" t="s">
        <v>81</v>
      </c>
      <c r="B11" t="s">
        <v>62</v>
      </c>
      <c r="D11" s="5">
        <f>D10+0.02</f>
        <v>0.37000000000000005</v>
      </c>
      <c r="E11" s="5">
        <f t="shared" si="1"/>
        <v>0.38200000000000006</v>
      </c>
      <c r="F11" s="5">
        <f t="shared" ref="F11:L11" si="3">E11+0.01</f>
        <v>0.39200000000000007</v>
      </c>
      <c r="G11" s="5">
        <f t="shared" si="3"/>
        <v>0.40200000000000008</v>
      </c>
      <c r="H11" s="5">
        <f t="shared" si="3"/>
        <v>0.41200000000000009</v>
      </c>
      <c r="I11" s="5">
        <f t="shared" si="3"/>
        <v>0.4220000000000001</v>
      </c>
      <c r="J11" s="5">
        <f t="shared" si="3"/>
        <v>0.43200000000000011</v>
      </c>
      <c r="K11" s="5">
        <f t="shared" si="3"/>
        <v>0.44200000000000012</v>
      </c>
      <c r="L11" s="5">
        <f t="shared" si="3"/>
        <v>0.45200000000000012</v>
      </c>
      <c r="M11" s="6">
        <v>0.40000000000000008</v>
      </c>
      <c r="N11" s="6">
        <v>0.40000000000000008</v>
      </c>
      <c r="O11" s="6">
        <v>0.40000000000000008</v>
      </c>
      <c r="P11" s="6">
        <v>0.40000000000000008</v>
      </c>
      <c r="Q11" s="6">
        <v>0.40000000000000008</v>
      </c>
      <c r="R11" s="6">
        <v>0.40000000000000008</v>
      </c>
      <c r="S11" s="6">
        <v>0.40000000000000008</v>
      </c>
      <c r="T11" s="6">
        <v>0.40000000000000008</v>
      </c>
      <c r="U11" s="6">
        <v>0.40000000000000008</v>
      </c>
      <c r="V11" s="6">
        <v>0.40000000000000008</v>
      </c>
      <c r="W11" s="6">
        <v>0.40000000000000008</v>
      </c>
      <c r="X11" s="6">
        <v>0.40000000000000008</v>
      </c>
      <c r="Y11" s="6">
        <v>0.40000000000000008</v>
      </c>
      <c r="Z11" s="6">
        <v>0.40000000000000008</v>
      </c>
      <c r="AA11" s="6">
        <v>0.40000000000000008</v>
      </c>
      <c r="AB11" s="6">
        <v>0.40000000000000008</v>
      </c>
      <c r="AC11" s="6">
        <v>0.40000000000000008</v>
      </c>
      <c r="AD11" s="6">
        <v>0.40000000000000008</v>
      </c>
      <c r="AE11" s="6">
        <v>0.40000000000000008</v>
      </c>
      <c r="AF11" s="6">
        <v>0.40000000000000008</v>
      </c>
      <c r="AG11" s="6">
        <v>0.40000000000000008</v>
      </c>
      <c r="AH11" s="6">
        <v>0.40000000000000008</v>
      </c>
      <c r="AI11" s="6">
        <v>0.40000000000000008</v>
      </c>
      <c r="AJ11" s="6">
        <v>0.40000000000000008</v>
      </c>
    </row>
  </sheetData>
  <dataValidations disablePrompts="1" count="1">
    <dataValidation type="list" allowBlank="1" showInputMessage="1" showErrorMessage="1" sqref="B7:B8 B10:B11" xr:uid="{BFCBCF19-90FD-4691-AB1E-CE37FBE69399}">
      <formula1>"CENTRAL,STRESS,OPTIMISTE"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04D4-A3B9-4E98-B784-F6887AB075C1}">
  <dimension ref="A1"/>
  <sheetViews>
    <sheetView workbookViewId="0">
      <selection activeCell="H18" sqref="H18"/>
    </sheetView>
  </sheetViews>
  <sheetFormatPr baseColWidth="10"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A168-FDB0-4BB0-9919-99127FD258AD}">
  <dimension ref="A1"/>
  <sheetViews>
    <sheetView workbookViewId="0">
      <selection activeCell="G13" sqref="G13"/>
    </sheetView>
  </sheetViews>
  <sheetFormatPr baseColWidth="10" defaultRowHeight="14.5" x14ac:dyDescent="0.3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6C9F-CD81-44C6-ACB0-D5AD55CFFAC9}">
  <dimension ref="A1"/>
  <sheetViews>
    <sheetView workbookViewId="0">
      <selection activeCell="K13" sqref="K13"/>
    </sheetView>
  </sheetViews>
  <sheetFormatPr baseColWidth="10" defaultRowHeight="14.5" x14ac:dyDescent="0.3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CE34-FA11-450B-9586-D7E6F764AA80}">
  <sheetPr>
    <tabColor theme="4"/>
  </sheetPr>
  <dimension ref="A5:AJ11"/>
  <sheetViews>
    <sheetView zoomScale="90" workbookViewId="0">
      <selection activeCell="I18" sqref="I18"/>
    </sheetView>
  </sheetViews>
  <sheetFormatPr baseColWidth="10" defaultRowHeight="14.5" x14ac:dyDescent="0.35"/>
  <cols>
    <col min="1" max="1" width="18" bestFit="1" customWidth="1"/>
    <col min="3" max="3" width="18.08984375" bestFit="1" customWidth="1"/>
  </cols>
  <sheetData>
    <row r="5" spans="1:36" s="2" customFormat="1" x14ac:dyDescent="0.35">
      <c r="A5" s="2" t="s">
        <v>78</v>
      </c>
      <c r="B5" s="2" t="s">
        <v>26</v>
      </c>
      <c r="C5" s="2" t="s">
        <v>130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38</v>
      </c>
      <c r="O5" s="2" t="s">
        <v>39</v>
      </c>
      <c r="P5" s="2" t="s">
        <v>40</v>
      </c>
      <c r="Q5" s="2" t="s">
        <v>41</v>
      </c>
      <c r="R5" s="2" t="s">
        <v>42</v>
      </c>
      <c r="S5" s="2" t="s">
        <v>43</v>
      </c>
      <c r="T5" s="2" t="s">
        <v>44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51</v>
      </c>
      <c r="AB5" s="2" t="s">
        <v>52</v>
      </c>
      <c r="AC5" s="2" t="s">
        <v>53</v>
      </c>
      <c r="AD5" s="2" t="s">
        <v>54</v>
      </c>
      <c r="AE5" s="2" t="s">
        <v>55</v>
      </c>
      <c r="AF5" s="2" t="s">
        <v>56</v>
      </c>
      <c r="AG5" s="2" t="s">
        <v>57</v>
      </c>
      <c r="AH5" s="2" t="s">
        <v>58</v>
      </c>
      <c r="AI5" s="2" t="s">
        <v>59</v>
      </c>
      <c r="AJ5" s="2" t="s">
        <v>60</v>
      </c>
    </row>
    <row r="6" spans="1:36" x14ac:dyDescent="0.35">
      <c r="C6" s="5"/>
    </row>
    <row r="7" spans="1:36" x14ac:dyDescent="0.35">
      <c r="C7" s="5"/>
    </row>
    <row r="8" spans="1:36" x14ac:dyDescent="0.35">
      <c r="C8" s="5"/>
    </row>
    <row r="9" spans="1:36" x14ac:dyDescent="0.35">
      <c r="D9" s="5"/>
      <c r="E9" s="5"/>
      <c r="F9" s="5"/>
      <c r="G9" s="5"/>
      <c r="H9" s="5"/>
      <c r="I9" s="5"/>
      <c r="J9" s="5"/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 x14ac:dyDescent="0.35">
      <c r="D10" s="5"/>
      <c r="E10" s="5"/>
      <c r="F10" s="5"/>
      <c r="G10" s="5"/>
      <c r="H10" s="5"/>
      <c r="I10" s="5"/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1:36" x14ac:dyDescent="0.35"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</sheetData>
  <dataValidations count="1">
    <dataValidation type="list" allowBlank="1" showInputMessage="1" showErrorMessage="1" sqref="B7:B8 B10:B11" xr:uid="{004D243F-8B2B-4B8E-B450-DEFF82CA03C9}">
      <formula1>"CENTRAL,STRESS,OPTIMISTE"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f0bb37-bc95-4fbe-a9dd-c586fa949031}" enabled="0" method="" siteId="{9ef0bb37-bc95-4fbe-a9dd-c586fa94903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F0-Scenarios Weight</vt:lpstr>
      <vt:lpstr>F1-Mapping fields Non Retail</vt:lpstr>
      <vt:lpstr>F1-Mapping fields Retail S1S2</vt:lpstr>
      <vt:lpstr>F1-Mapping fields Retail S3</vt:lpstr>
      <vt:lpstr>F2-Mapping time steps</vt:lpstr>
      <vt:lpstr>F3-Mapping Segment SICR</vt:lpstr>
      <vt:lpstr>F4-Histo PD Multi Non Retail</vt:lpstr>
      <vt:lpstr>Histo PD Multi Retail</vt:lpstr>
      <vt:lpstr>Perimeters Segmentation</vt:lpstr>
      <vt:lpstr>F6-PD S1S2 Non Retail</vt:lpstr>
      <vt:lpstr>PD S1S2 Retail</vt:lpstr>
      <vt:lpstr>F8-LGD S1S2 Non Retail</vt:lpstr>
      <vt:lpstr>LGD S1S2 Retail</vt:lpstr>
      <vt:lpstr>LGD S3 Retail</vt:lpstr>
      <vt:lpstr>CCF Retail</vt:lpstr>
      <vt:lpstr>F12-CCF Non 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Hong-Cuong LE</dc:creator>
  <cp:lastModifiedBy>Hong-Cuong LE</cp:lastModifiedBy>
  <dcterms:created xsi:type="dcterms:W3CDTF">2025-08-01T14:39:19Z</dcterms:created>
  <dcterms:modified xsi:type="dcterms:W3CDTF">2025-08-22T17:13:16Z</dcterms:modified>
</cp:coreProperties>
</file>