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ialog365-my.sharepoint.com/personal/hcle_nexialog_com/Documents/Documents/IFRS9-Simulation/sample/templates/"/>
    </mc:Choice>
  </mc:AlternateContent>
  <xr:revisionPtr revIDLastSave="24" documentId="13_ncr:1_{936B0042-8450-41A4-8580-C81B8ED064B4}" xr6:coauthVersionLast="47" xr6:coauthVersionMax="47" xr10:uidLastSave="{D294628A-AD18-46F5-8A58-25476D1C5A9B}"/>
  <bookViews>
    <workbookView xWindow="-110" yWindow="-110" windowWidth="19420" windowHeight="10420" tabRatio="831" firstSheet="7" activeTab="8" xr2:uid="{5ADE5E38-8C15-4A1D-BC21-AF3E8C7499E2}"/>
  </bookViews>
  <sheets>
    <sheet name="F0-Scenarios Weight" sheetId="14" r:id="rId1"/>
    <sheet name="F1-Mapping fields Non Retail" sheetId="1" r:id="rId2"/>
    <sheet name="F1-Mapping fields Retail S1S2" sheetId="15" r:id="rId3"/>
    <sheet name="F1-Mapping fields Retail S3" sheetId="16" r:id="rId4"/>
    <sheet name="F2-Mapping time steps" sheetId="2" r:id="rId5"/>
    <sheet name="F3-Mapping Segment SICR" sheetId="3" r:id="rId6"/>
    <sheet name="F4-Histo PD Multi Non Retail" sheetId="4" r:id="rId7"/>
    <sheet name="Histo PD Multi Retail" sheetId="5" r:id="rId8"/>
    <sheet name="Perimeters Segmentation" sheetId="6" r:id="rId9"/>
    <sheet name="F6-PD S1S2 Non Retail" sheetId="7" r:id="rId10"/>
    <sheet name="PD S1S2 Retail" sheetId="8" r:id="rId11"/>
    <sheet name="F8-LGD S1S2 Non Retail" sheetId="9" r:id="rId12"/>
    <sheet name="LGD S1S2 Retail" sheetId="10" r:id="rId13"/>
    <sheet name="LGD S3 Retail" sheetId="11" r:id="rId14"/>
    <sheet name="CCF Retail" sheetId="12" r:id="rId15"/>
    <sheet name="F12-CCF Non Retail" sheetId="13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0" l="1"/>
  <c r="E10" i="10"/>
  <c r="E11" i="10" s="1"/>
  <c r="F10" i="10"/>
  <c r="G10" i="10"/>
  <c r="H10" i="10" s="1"/>
  <c r="I10" i="10" s="1"/>
  <c r="J10" i="10" s="1"/>
  <c r="K10" i="10" s="1"/>
  <c r="L10" i="10" s="1"/>
  <c r="M10" i="10" s="1"/>
  <c r="E9" i="10"/>
  <c r="F9" i="10" s="1"/>
  <c r="G9" i="10" s="1"/>
  <c r="H9" i="10" s="1"/>
  <c r="I9" i="10" s="1"/>
  <c r="J9" i="10" s="1"/>
  <c r="K9" i="10" s="1"/>
  <c r="L9" i="10" s="1"/>
  <c r="M9" i="10" s="1"/>
  <c r="E7" i="10"/>
  <c r="F6" i="10"/>
  <c r="G6" i="10" s="1"/>
  <c r="H6" i="10" s="1"/>
  <c r="I6" i="10" s="1"/>
  <c r="J6" i="10" s="1"/>
  <c r="K6" i="10" s="1"/>
  <c r="L6" i="10" s="1"/>
  <c r="M6" i="10" s="1"/>
  <c r="Z3" i="4"/>
  <c r="E10" i="9"/>
  <c r="F10" i="9" s="1"/>
  <c r="G10" i="9" s="1"/>
  <c r="H10" i="9" s="1"/>
  <c r="I10" i="9" s="1"/>
  <c r="J10" i="9" s="1"/>
  <c r="K10" i="9" s="1"/>
  <c r="L10" i="9" s="1"/>
  <c r="E11" i="9"/>
  <c r="F11" i="9" s="1"/>
  <c r="G11" i="9" s="1"/>
  <c r="H11" i="9" s="1"/>
  <c r="I11" i="9" s="1"/>
  <c r="J11" i="9" s="1"/>
  <c r="K11" i="9" s="1"/>
  <c r="L11" i="9" s="1"/>
  <c r="E9" i="9"/>
  <c r="F9" i="9" s="1"/>
  <c r="G9" i="9" s="1"/>
  <c r="H9" i="9" s="1"/>
  <c r="I9" i="9" s="1"/>
  <c r="J9" i="9" s="1"/>
  <c r="K9" i="9" s="1"/>
  <c r="L9" i="9" s="1"/>
  <c r="D11" i="9"/>
  <c r="D10" i="9"/>
  <c r="X3" i="7"/>
  <c r="Y3" i="7" s="1"/>
  <c r="Z3" i="7" s="1"/>
  <c r="AA3" i="7" s="1"/>
  <c r="AB3" i="7" s="1"/>
  <c r="AC3" i="7" s="1"/>
  <c r="AD3" i="7" s="1"/>
  <c r="AE3" i="7" s="1"/>
  <c r="AF3" i="7" s="1"/>
  <c r="AG3" i="7" s="1"/>
  <c r="D6" i="7"/>
  <c r="E18" i="10" l="1"/>
  <c r="F17" i="10"/>
  <c r="G17" i="10" s="1"/>
  <c r="H17" i="10" s="1"/>
  <c r="I17" i="10" s="1"/>
  <c r="J17" i="10" s="1"/>
  <c r="K17" i="10" s="1"/>
  <c r="L17" i="10" s="1"/>
  <c r="M17" i="10" s="1"/>
  <c r="E12" i="10"/>
  <c r="F11" i="10"/>
  <c r="G11" i="10" s="1"/>
  <c r="H11" i="10" s="1"/>
  <c r="I11" i="10" s="1"/>
  <c r="J11" i="10" s="1"/>
  <c r="K11" i="10" s="1"/>
  <c r="L11" i="10" s="1"/>
  <c r="M11" i="10" s="1"/>
  <c r="E8" i="10"/>
  <c r="F8" i="10" s="1"/>
  <c r="G8" i="10" s="1"/>
  <c r="H8" i="10" s="1"/>
  <c r="I8" i="10" s="1"/>
  <c r="J8" i="10" s="1"/>
  <c r="K8" i="10" s="1"/>
  <c r="L8" i="10" s="1"/>
  <c r="M8" i="10" s="1"/>
  <c r="F7" i="10"/>
  <c r="G7" i="10" s="1"/>
  <c r="H7" i="10" s="1"/>
  <c r="I7" i="10" s="1"/>
  <c r="J7" i="10" s="1"/>
  <c r="K7" i="10" s="1"/>
  <c r="L7" i="10" s="1"/>
  <c r="M7" i="10" s="1"/>
  <c r="AA3" i="4"/>
  <c r="D25" i="7"/>
  <c r="D63" i="7"/>
  <c r="E6" i="7"/>
  <c r="AH3" i="7"/>
  <c r="AI3" i="7" s="1"/>
  <c r="AJ3" i="7" s="1"/>
  <c r="D7" i="7"/>
  <c r="F18" i="10" l="1"/>
  <c r="G18" i="10" s="1"/>
  <c r="H18" i="10" s="1"/>
  <c r="I18" i="10" s="1"/>
  <c r="J18" i="10" s="1"/>
  <c r="K18" i="10" s="1"/>
  <c r="L18" i="10" s="1"/>
  <c r="M18" i="10" s="1"/>
  <c r="E19" i="10"/>
  <c r="F19" i="10" s="1"/>
  <c r="G19" i="10" s="1"/>
  <c r="H19" i="10" s="1"/>
  <c r="I19" i="10" s="1"/>
  <c r="J19" i="10" s="1"/>
  <c r="K19" i="10" s="1"/>
  <c r="L19" i="10" s="1"/>
  <c r="M19" i="10" s="1"/>
  <c r="E13" i="10"/>
  <c r="F12" i="10"/>
  <c r="G12" i="10" s="1"/>
  <c r="H12" i="10" s="1"/>
  <c r="I12" i="10" s="1"/>
  <c r="J12" i="10" s="1"/>
  <c r="K12" i="10" s="1"/>
  <c r="L12" i="10" s="1"/>
  <c r="M12" i="10" s="1"/>
  <c r="AB3" i="4"/>
  <c r="E25" i="7"/>
  <c r="E63" i="7"/>
  <c r="D44" i="7"/>
  <c r="D101" i="7" s="1"/>
  <c r="D82" i="7"/>
  <c r="D26" i="7"/>
  <c r="D64" i="7"/>
  <c r="D8" i="7"/>
  <c r="F6" i="7"/>
  <c r="E7" i="7"/>
  <c r="E14" i="10" l="1"/>
  <c r="F13" i="10"/>
  <c r="G13" i="10" s="1"/>
  <c r="H13" i="10" s="1"/>
  <c r="I13" i="10" s="1"/>
  <c r="J13" i="10" s="1"/>
  <c r="K13" i="10" s="1"/>
  <c r="L13" i="10" s="1"/>
  <c r="M13" i="10" s="1"/>
  <c r="AC3" i="4"/>
  <c r="E82" i="7"/>
  <c r="E44" i="7"/>
  <c r="E101" i="7" s="1"/>
  <c r="F25" i="7"/>
  <c r="F63" i="7"/>
  <c r="E26" i="7"/>
  <c r="E64" i="7"/>
  <c r="D83" i="7"/>
  <c r="D45" i="7"/>
  <c r="D102" i="7" s="1"/>
  <c r="D27" i="7"/>
  <c r="D65" i="7"/>
  <c r="F7" i="7"/>
  <c r="D9" i="7"/>
  <c r="E8" i="7"/>
  <c r="G6" i="7"/>
  <c r="E15" i="10" l="1"/>
  <c r="F14" i="10"/>
  <c r="G14" i="10" s="1"/>
  <c r="H14" i="10" s="1"/>
  <c r="I14" i="10" s="1"/>
  <c r="J14" i="10" s="1"/>
  <c r="K14" i="10" s="1"/>
  <c r="L14" i="10" s="1"/>
  <c r="M14" i="10" s="1"/>
  <c r="AD3" i="4"/>
  <c r="F82" i="7"/>
  <c r="F44" i="7"/>
  <c r="F101" i="7" s="1"/>
  <c r="E83" i="7"/>
  <c r="E45" i="7"/>
  <c r="E102" i="7" s="1"/>
  <c r="F26" i="7"/>
  <c r="F64" i="7"/>
  <c r="E27" i="7"/>
  <c r="E65" i="7"/>
  <c r="G25" i="7"/>
  <c r="G63" i="7"/>
  <c r="D84" i="7"/>
  <c r="D46" i="7"/>
  <c r="D103" i="7" s="1"/>
  <c r="D28" i="7"/>
  <c r="D66" i="7"/>
  <c r="F8" i="7"/>
  <c r="G7" i="7"/>
  <c r="D10" i="7"/>
  <c r="E9" i="7"/>
  <c r="H6" i="7"/>
  <c r="E16" i="10" l="1"/>
  <c r="F16" i="10" s="1"/>
  <c r="G16" i="10" s="1"/>
  <c r="H16" i="10" s="1"/>
  <c r="I16" i="10" s="1"/>
  <c r="J16" i="10" s="1"/>
  <c r="K16" i="10" s="1"/>
  <c r="L16" i="10" s="1"/>
  <c r="M16" i="10" s="1"/>
  <c r="F15" i="10"/>
  <c r="G15" i="10" s="1"/>
  <c r="H15" i="10" s="1"/>
  <c r="I15" i="10" s="1"/>
  <c r="J15" i="10" s="1"/>
  <c r="K15" i="10" s="1"/>
  <c r="L15" i="10" s="1"/>
  <c r="M15" i="10" s="1"/>
  <c r="AE3" i="4"/>
  <c r="F83" i="7"/>
  <c r="F45" i="7"/>
  <c r="F102" i="7" s="1"/>
  <c r="E84" i="7"/>
  <c r="E46" i="7"/>
  <c r="E103" i="7" s="1"/>
  <c r="G82" i="7"/>
  <c r="G44" i="7"/>
  <c r="G101" i="7" s="1"/>
  <c r="F27" i="7"/>
  <c r="F65" i="7"/>
  <c r="G26" i="7"/>
  <c r="G64" i="7"/>
  <c r="E28" i="7"/>
  <c r="E66" i="7"/>
  <c r="H25" i="7"/>
  <c r="H63" i="7"/>
  <c r="D85" i="7"/>
  <c r="D47" i="7"/>
  <c r="D104" i="7" s="1"/>
  <c r="D29" i="7"/>
  <c r="D67" i="7"/>
  <c r="F9" i="7"/>
  <c r="G8" i="7"/>
  <c r="H7" i="7"/>
  <c r="D11" i="7"/>
  <c r="E10" i="7"/>
  <c r="I6" i="7"/>
  <c r="AF3" i="4" l="1"/>
  <c r="F84" i="7"/>
  <c r="F46" i="7"/>
  <c r="F103" i="7" s="1"/>
  <c r="G83" i="7"/>
  <c r="G45" i="7"/>
  <c r="G102" i="7" s="1"/>
  <c r="E85" i="7"/>
  <c r="E47" i="7"/>
  <c r="E104" i="7" s="1"/>
  <c r="H82" i="7"/>
  <c r="H44" i="7"/>
  <c r="H101" i="7" s="1"/>
  <c r="F28" i="7"/>
  <c r="F66" i="7"/>
  <c r="G27" i="7"/>
  <c r="G65" i="7"/>
  <c r="H26" i="7"/>
  <c r="H64" i="7"/>
  <c r="E29" i="7"/>
  <c r="E67" i="7"/>
  <c r="I25" i="7"/>
  <c r="I63" i="7"/>
  <c r="D86" i="7"/>
  <c r="D48" i="7"/>
  <c r="D105" i="7" s="1"/>
  <c r="D30" i="7"/>
  <c r="D68" i="7"/>
  <c r="F10" i="7"/>
  <c r="G9" i="7"/>
  <c r="H8" i="7"/>
  <c r="I7" i="7"/>
  <c r="D12" i="7"/>
  <c r="E11" i="7"/>
  <c r="J6" i="7"/>
  <c r="AG3" i="4" l="1"/>
  <c r="F85" i="7"/>
  <c r="F47" i="7"/>
  <c r="F104" i="7" s="1"/>
  <c r="G84" i="7"/>
  <c r="G46" i="7"/>
  <c r="G103" i="7" s="1"/>
  <c r="H83" i="7"/>
  <c r="H45" i="7"/>
  <c r="H102" i="7" s="1"/>
  <c r="E86" i="7"/>
  <c r="E48" i="7"/>
  <c r="E105" i="7" s="1"/>
  <c r="I82" i="7"/>
  <c r="I44" i="7"/>
  <c r="I101" i="7" s="1"/>
  <c r="F29" i="7"/>
  <c r="F67" i="7"/>
  <c r="G28" i="7"/>
  <c r="G66" i="7"/>
  <c r="H27" i="7"/>
  <c r="H65" i="7"/>
  <c r="I26" i="7"/>
  <c r="I64" i="7"/>
  <c r="E30" i="7"/>
  <c r="E68" i="7"/>
  <c r="J25" i="7"/>
  <c r="J63" i="7"/>
  <c r="D87" i="7"/>
  <c r="D49" i="7"/>
  <c r="D106" i="7" s="1"/>
  <c r="D31" i="7"/>
  <c r="D69" i="7"/>
  <c r="F11" i="7"/>
  <c r="G10" i="7"/>
  <c r="H9" i="7"/>
  <c r="I8" i="7"/>
  <c r="J7" i="7"/>
  <c r="D13" i="7"/>
  <c r="E12" i="7"/>
  <c r="K6" i="7"/>
  <c r="AH3" i="4" l="1"/>
  <c r="F86" i="7"/>
  <c r="F48" i="7"/>
  <c r="F105" i="7" s="1"/>
  <c r="G85" i="7"/>
  <c r="G47" i="7"/>
  <c r="G104" i="7" s="1"/>
  <c r="H84" i="7"/>
  <c r="H46" i="7"/>
  <c r="H103" i="7" s="1"/>
  <c r="I83" i="7"/>
  <c r="I45" i="7"/>
  <c r="I102" i="7" s="1"/>
  <c r="E87" i="7"/>
  <c r="E49" i="7"/>
  <c r="E106" i="7" s="1"/>
  <c r="J82" i="7"/>
  <c r="J44" i="7"/>
  <c r="J101" i="7" s="1"/>
  <c r="F30" i="7"/>
  <c r="F68" i="7"/>
  <c r="G29" i="7"/>
  <c r="G67" i="7"/>
  <c r="H28" i="7"/>
  <c r="H66" i="7"/>
  <c r="I27" i="7"/>
  <c r="I65" i="7"/>
  <c r="J26" i="7"/>
  <c r="J64" i="7"/>
  <c r="E31" i="7"/>
  <c r="E69" i="7"/>
  <c r="K25" i="7"/>
  <c r="K63" i="7"/>
  <c r="D88" i="7"/>
  <c r="D50" i="7"/>
  <c r="D107" i="7" s="1"/>
  <c r="D32" i="7"/>
  <c r="D70" i="7"/>
  <c r="F12" i="7"/>
  <c r="G11" i="7"/>
  <c r="H10" i="7"/>
  <c r="I9" i="7"/>
  <c r="J8" i="7"/>
  <c r="K7" i="7"/>
  <c r="D14" i="7"/>
  <c r="E13" i="7"/>
  <c r="L6" i="7"/>
  <c r="AI3" i="4" l="1"/>
  <c r="F87" i="7"/>
  <c r="F49" i="7"/>
  <c r="F106" i="7" s="1"/>
  <c r="G86" i="7"/>
  <c r="G48" i="7"/>
  <c r="G105" i="7" s="1"/>
  <c r="H85" i="7"/>
  <c r="H47" i="7"/>
  <c r="H104" i="7" s="1"/>
  <c r="I84" i="7"/>
  <c r="I46" i="7"/>
  <c r="I103" i="7" s="1"/>
  <c r="J83" i="7"/>
  <c r="J45" i="7"/>
  <c r="J102" i="7" s="1"/>
  <c r="E88" i="7"/>
  <c r="E50" i="7"/>
  <c r="E107" i="7" s="1"/>
  <c r="K82" i="7"/>
  <c r="K44" i="7"/>
  <c r="K101" i="7" s="1"/>
  <c r="F31" i="7"/>
  <c r="F69" i="7"/>
  <c r="G30" i="7"/>
  <c r="G68" i="7"/>
  <c r="H29" i="7"/>
  <c r="H67" i="7"/>
  <c r="I28" i="7"/>
  <c r="I66" i="7"/>
  <c r="J27" i="7"/>
  <c r="J65" i="7"/>
  <c r="K26" i="7"/>
  <c r="K64" i="7"/>
  <c r="E32" i="7"/>
  <c r="E70" i="7"/>
  <c r="L25" i="7"/>
  <c r="L63" i="7"/>
  <c r="D89" i="7"/>
  <c r="D51" i="7"/>
  <c r="D108" i="7" s="1"/>
  <c r="D33" i="7"/>
  <c r="D71" i="7"/>
  <c r="F13" i="7"/>
  <c r="G12" i="7"/>
  <c r="I10" i="7"/>
  <c r="H11" i="7"/>
  <c r="J9" i="7"/>
  <c r="K8" i="7"/>
  <c r="L7" i="7"/>
  <c r="D15" i="7"/>
  <c r="E14" i="7"/>
  <c r="M6" i="7"/>
  <c r="AJ3" i="4" l="1"/>
  <c r="F88" i="7"/>
  <c r="F50" i="7"/>
  <c r="F107" i="7" s="1"/>
  <c r="G87" i="7"/>
  <c r="G49" i="7"/>
  <c r="G106" i="7" s="1"/>
  <c r="H86" i="7"/>
  <c r="H48" i="7"/>
  <c r="H105" i="7" s="1"/>
  <c r="I85" i="7"/>
  <c r="I47" i="7"/>
  <c r="I104" i="7" s="1"/>
  <c r="J84" i="7"/>
  <c r="J46" i="7"/>
  <c r="J103" i="7" s="1"/>
  <c r="K83" i="7"/>
  <c r="K45" i="7"/>
  <c r="K102" i="7" s="1"/>
  <c r="E89" i="7"/>
  <c r="E51" i="7"/>
  <c r="E108" i="7" s="1"/>
  <c r="L82" i="7"/>
  <c r="L44" i="7"/>
  <c r="L101" i="7" s="1"/>
  <c r="F32" i="7"/>
  <c r="F70" i="7"/>
  <c r="G31" i="7"/>
  <c r="G69" i="7"/>
  <c r="I29" i="7"/>
  <c r="I67" i="7"/>
  <c r="H30" i="7"/>
  <c r="H68" i="7"/>
  <c r="J28" i="7"/>
  <c r="J66" i="7"/>
  <c r="K27" i="7"/>
  <c r="K65" i="7"/>
  <c r="L26" i="7"/>
  <c r="L64" i="7"/>
  <c r="E33" i="7"/>
  <c r="E71" i="7"/>
  <c r="M25" i="7"/>
  <c r="M63" i="7"/>
  <c r="D90" i="7"/>
  <c r="D52" i="7"/>
  <c r="D109" i="7" s="1"/>
  <c r="D34" i="7"/>
  <c r="D72" i="7"/>
  <c r="F14" i="7"/>
  <c r="G13" i="7"/>
  <c r="I11" i="7"/>
  <c r="H12" i="7"/>
  <c r="J10" i="7"/>
  <c r="K9" i="7"/>
  <c r="L8" i="7"/>
  <c r="M7" i="7"/>
  <c r="D16" i="7"/>
  <c r="E15" i="7"/>
  <c r="N6" i="7"/>
  <c r="AK3" i="4" l="1"/>
  <c r="F89" i="7"/>
  <c r="F51" i="7"/>
  <c r="F108" i="7" s="1"/>
  <c r="G88" i="7"/>
  <c r="G50" i="7"/>
  <c r="G107" i="7" s="1"/>
  <c r="I86" i="7"/>
  <c r="I48" i="7"/>
  <c r="I105" i="7" s="1"/>
  <c r="H87" i="7"/>
  <c r="H49" i="7"/>
  <c r="H106" i="7" s="1"/>
  <c r="J85" i="7"/>
  <c r="J47" i="7"/>
  <c r="J104" i="7" s="1"/>
  <c r="K84" i="7"/>
  <c r="K46" i="7"/>
  <c r="K103" i="7" s="1"/>
  <c r="L83" i="7"/>
  <c r="L45" i="7"/>
  <c r="L102" i="7" s="1"/>
  <c r="E90" i="7"/>
  <c r="E52" i="7"/>
  <c r="E109" i="7" s="1"/>
  <c r="M82" i="7"/>
  <c r="M44" i="7"/>
  <c r="M101" i="7" s="1"/>
  <c r="F33" i="7"/>
  <c r="F71" i="7"/>
  <c r="G32" i="7"/>
  <c r="G70" i="7"/>
  <c r="I30" i="7"/>
  <c r="I68" i="7"/>
  <c r="H31" i="7"/>
  <c r="H69" i="7"/>
  <c r="J29" i="7"/>
  <c r="J67" i="7"/>
  <c r="K28" i="7"/>
  <c r="K66" i="7"/>
  <c r="L27" i="7"/>
  <c r="L65" i="7"/>
  <c r="M26" i="7"/>
  <c r="M64" i="7"/>
  <c r="E34" i="7"/>
  <c r="E72" i="7"/>
  <c r="N25" i="7"/>
  <c r="N63" i="7"/>
  <c r="D91" i="7"/>
  <c r="D53" i="7"/>
  <c r="D110" i="7" s="1"/>
  <c r="D35" i="7"/>
  <c r="D73" i="7"/>
  <c r="F15" i="7"/>
  <c r="G14" i="7"/>
  <c r="I12" i="7"/>
  <c r="H13" i="7"/>
  <c r="K10" i="7"/>
  <c r="J11" i="7"/>
  <c r="L9" i="7"/>
  <c r="M8" i="7"/>
  <c r="N7" i="7"/>
  <c r="D17" i="7"/>
  <c r="E16" i="7"/>
  <c r="O6" i="7"/>
  <c r="AL3" i="4" l="1"/>
  <c r="F90" i="7"/>
  <c r="F52" i="7"/>
  <c r="F109" i="7" s="1"/>
  <c r="G89" i="7"/>
  <c r="G51" i="7"/>
  <c r="G108" i="7" s="1"/>
  <c r="I87" i="7"/>
  <c r="I49" i="7"/>
  <c r="I106" i="7" s="1"/>
  <c r="H88" i="7"/>
  <c r="H50" i="7"/>
  <c r="H107" i="7" s="1"/>
  <c r="J86" i="7"/>
  <c r="J48" i="7"/>
  <c r="J105" i="7" s="1"/>
  <c r="K85" i="7"/>
  <c r="K47" i="7"/>
  <c r="K104" i="7" s="1"/>
  <c r="L84" i="7"/>
  <c r="L46" i="7"/>
  <c r="L103" i="7" s="1"/>
  <c r="M83" i="7"/>
  <c r="M45" i="7"/>
  <c r="M102" i="7" s="1"/>
  <c r="E91" i="7"/>
  <c r="E53" i="7"/>
  <c r="E110" i="7" s="1"/>
  <c r="N82" i="7"/>
  <c r="N44" i="7"/>
  <c r="N101" i="7" s="1"/>
  <c r="F34" i="7"/>
  <c r="F72" i="7"/>
  <c r="G33" i="7"/>
  <c r="G71" i="7"/>
  <c r="I31" i="7"/>
  <c r="I69" i="7"/>
  <c r="H32" i="7"/>
  <c r="H70" i="7"/>
  <c r="K29" i="7"/>
  <c r="K67" i="7"/>
  <c r="J30" i="7"/>
  <c r="J68" i="7"/>
  <c r="L28" i="7"/>
  <c r="L66" i="7"/>
  <c r="M27" i="7"/>
  <c r="M65" i="7"/>
  <c r="N26" i="7"/>
  <c r="N64" i="7"/>
  <c r="E35" i="7"/>
  <c r="E73" i="7"/>
  <c r="O25" i="7"/>
  <c r="O63" i="7"/>
  <c r="D92" i="7"/>
  <c r="D54" i="7"/>
  <c r="D111" i="7" s="1"/>
  <c r="D36" i="7"/>
  <c r="D74" i="7"/>
  <c r="F16" i="7"/>
  <c r="G15" i="7"/>
  <c r="H14" i="7"/>
  <c r="I13" i="7"/>
  <c r="K11" i="7"/>
  <c r="J12" i="7"/>
  <c r="L10" i="7"/>
  <c r="M9" i="7"/>
  <c r="N8" i="7"/>
  <c r="O7" i="7"/>
  <c r="D18" i="7"/>
  <c r="E17" i="7"/>
  <c r="P6" i="7"/>
  <c r="F91" i="7" l="1"/>
  <c r="F53" i="7"/>
  <c r="F110" i="7" s="1"/>
  <c r="G90" i="7"/>
  <c r="G52" i="7"/>
  <c r="G109" i="7" s="1"/>
  <c r="I88" i="7"/>
  <c r="I50" i="7"/>
  <c r="I107" i="7" s="1"/>
  <c r="H89" i="7"/>
  <c r="H51" i="7"/>
  <c r="H108" i="7" s="1"/>
  <c r="K86" i="7"/>
  <c r="K48" i="7"/>
  <c r="K105" i="7" s="1"/>
  <c r="J87" i="7"/>
  <c r="J49" i="7"/>
  <c r="J106" i="7" s="1"/>
  <c r="L85" i="7"/>
  <c r="L47" i="7"/>
  <c r="L104" i="7" s="1"/>
  <c r="M84" i="7"/>
  <c r="M46" i="7"/>
  <c r="M103" i="7" s="1"/>
  <c r="N83" i="7"/>
  <c r="N45" i="7"/>
  <c r="N102" i="7" s="1"/>
  <c r="E92" i="7"/>
  <c r="E54" i="7"/>
  <c r="E111" i="7" s="1"/>
  <c r="O82" i="7"/>
  <c r="O44" i="7"/>
  <c r="O101" i="7" s="1"/>
  <c r="F35" i="7"/>
  <c r="F73" i="7"/>
  <c r="G34" i="7"/>
  <c r="G72" i="7"/>
  <c r="H33" i="7"/>
  <c r="H71" i="7"/>
  <c r="I32" i="7"/>
  <c r="I70" i="7"/>
  <c r="K30" i="7"/>
  <c r="K68" i="7"/>
  <c r="J31" i="7"/>
  <c r="J69" i="7"/>
  <c r="L29" i="7"/>
  <c r="L67" i="7"/>
  <c r="M28" i="7"/>
  <c r="M66" i="7"/>
  <c r="N27" i="7"/>
  <c r="N65" i="7"/>
  <c r="O26" i="7"/>
  <c r="O64" i="7"/>
  <c r="E36" i="7"/>
  <c r="E74" i="7"/>
  <c r="P25" i="7"/>
  <c r="P63" i="7"/>
  <c r="D93" i="7"/>
  <c r="D55" i="7"/>
  <c r="D112" i="7" s="1"/>
  <c r="D37" i="7"/>
  <c r="D75" i="7"/>
  <c r="F17" i="7"/>
  <c r="G16" i="7"/>
  <c r="H15" i="7"/>
  <c r="I14" i="7"/>
  <c r="K12" i="7"/>
  <c r="J13" i="7"/>
  <c r="L11" i="7"/>
  <c r="M10" i="7"/>
  <c r="N9" i="7"/>
  <c r="O8" i="7"/>
  <c r="P7" i="7"/>
  <c r="D19" i="7"/>
  <c r="E18" i="7"/>
  <c r="Q6" i="7"/>
  <c r="F92" i="7" l="1"/>
  <c r="F54" i="7"/>
  <c r="F111" i="7" s="1"/>
  <c r="G91" i="7"/>
  <c r="G53" i="7"/>
  <c r="G110" i="7" s="1"/>
  <c r="H90" i="7"/>
  <c r="H52" i="7"/>
  <c r="H109" i="7" s="1"/>
  <c r="I89" i="7"/>
  <c r="I51" i="7"/>
  <c r="I108" i="7" s="1"/>
  <c r="K87" i="7"/>
  <c r="K49" i="7"/>
  <c r="K106" i="7" s="1"/>
  <c r="J88" i="7"/>
  <c r="J50" i="7"/>
  <c r="J107" i="7" s="1"/>
  <c r="L86" i="7"/>
  <c r="L48" i="7"/>
  <c r="L105" i="7" s="1"/>
  <c r="M85" i="7"/>
  <c r="M47" i="7"/>
  <c r="M104" i="7" s="1"/>
  <c r="N84" i="7"/>
  <c r="N46" i="7"/>
  <c r="N103" i="7" s="1"/>
  <c r="O83" i="7"/>
  <c r="O45" i="7"/>
  <c r="O102" i="7" s="1"/>
  <c r="E93" i="7"/>
  <c r="E55" i="7"/>
  <c r="E112" i="7" s="1"/>
  <c r="P82" i="7"/>
  <c r="P44" i="7"/>
  <c r="P101" i="7" s="1"/>
  <c r="F36" i="7"/>
  <c r="F74" i="7"/>
  <c r="G35" i="7"/>
  <c r="G73" i="7"/>
  <c r="H34" i="7"/>
  <c r="H72" i="7"/>
  <c r="I33" i="7"/>
  <c r="I71" i="7"/>
  <c r="K31" i="7"/>
  <c r="K69" i="7"/>
  <c r="J32" i="7"/>
  <c r="J70" i="7"/>
  <c r="L30" i="7"/>
  <c r="L68" i="7"/>
  <c r="M29" i="7"/>
  <c r="M67" i="7"/>
  <c r="N28" i="7"/>
  <c r="N66" i="7"/>
  <c r="O27" i="7"/>
  <c r="O65" i="7"/>
  <c r="P26" i="7"/>
  <c r="P64" i="7"/>
  <c r="E37" i="7"/>
  <c r="E75" i="7"/>
  <c r="Q25" i="7"/>
  <c r="Q63" i="7"/>
  <c r="D94" i="7"/>
  <c r="D56" i="7"/>
  <c r="D113" i="7" s="1"/>
  <c r="D38" i="7"/>
  <c r="D76" i="7"/>
  <c r="F18" i="7"/>
  <c r="G17" i="7"/>
  <c r="H16" i="7"/>
  <c r="I15" i="7"/>
  <c r="K13" i="7"/>
  <c r="J14" i="7"/>
  <c r="L12" i="7"/>
  <c r="M11" i="7"/>
  <c r="N10" i="7"/>
  <c r="O9" i="7"/>
  <c r="P8" i="7"/>
  <c r="Q7" i="7"/>
  <c r="D20" i="7"/>
  <c r="E19" i="7"/>
  <c r="R6" i="7"/>
  <c r="F93" i="7" l="1"/>
  <c r="F55" i="7"/>
  <c r="F112" i="7" s="1"/>
  <c r="G92" i="7"/>
  <c r="G54" i="7"/>
  <c r="G111" i="7" s="1"/>
  <c r="H91" i="7"/>
  <c r="H53" i="7"/>
  <c r="H110" i="7" s="1"/>
  <c r="I90" i="7"/>
  <c r="I52" i="7"/>
  <c r="I109" i="7" s="1"/>
  <c r="K88" i="7"/>
  <c r="K50" i="7"/>
  <c r="K107" i="7" s="1"/>
  <c r="J89" i="7"/>
  <c r="J51" i="7"/>
  <c r="J108" i="7" s="1"/>
  <c r="L87" i="7"/>
  <c r="L49" i="7"/>
  <c r="L106" i="7" s="1"/>
  <c r="M86" i="7"/>
  <c r="M48" i="7"/>
  <c r="M105" i="7" s="1"/>
  <c r="N85" i="7"/>
  <c r="N47" i="7"/>
  <c r="N104" i="7" s="1"/>
  <c r="O84" i="7"/>
  <c r="O46" i="7"/>
  <c r="O103" i="7" s="1"/>
  <c r="P83" i="7"/>
  <c r="P45" i="7"/>
  <c r="P102" i="7" s="1"/>
  <c r="E94" i="7"/>
  <c r="E56" i="7"/>
  <c r="E113" i="7" s="1"/>
  <c r="Q82" i="7"/>
  <c r="Q44" i="7"/>
  <c r="Q101" i="7" s="1"/>
  <c r="F37" i="7"/>
  <c r="F75" i="7"/>
  <c r="G36" i="7"/>
  <c r="G74" i="7"/>
  <c r="H35" i="7"/>
  <c r="H73" i="7"/>
  <c r="I34" i="7"/>
  <c r="I72" i="7"/>
  <c r="K32" i="7"/>
  <c r="K70" i="7"/>
  <c r="J33" i="7"/>
  <c r="J71" i="7"/>
  <c r="L31" i="7"/>
  <c r="L69" i="7"/>
  <c r="M30" i="7"/>
  <c r="M68" i="7"/>
  <c r="N29" i="7"/>
  <c r="N67" i="7"/>
  <c r="O28" i="7"/>
  <c r="O66" i="7"/>
  <c r="P27" i="7"/>
  <c r="P65" i="7"/>
  <c r="Q26" i="7"/>
  <c r="Q64" i="7"/>
  <c r="E38" i="7"/>
  <c r="E76" i="7"/>
  <c r="R25" i="7"/>
  <c r="R63" i="7"/>
  <c r="D95" i="7"/>
  <c r="D57" i="7"/>
  <c r="D114" i="7" s="1"/>
  <c r="D39" i="7"/>
  <c r="D77" i="7"/>
  <c r="F19" i="7"/>
  <c r="G18" i="7"/>
  <c r="K14" i="7"/>
  <c r="H17" i="7"/>
  <c r="I16" i="7"/>
  <c r="J15" i="7"/>
  <c r="L13" i="7"/>
  <c r="M12" i="7"/>
  <c r="N11" i="7"/>
  <c r="O10" i="7"/>
  <c r="P9" i="7"/>
  <c r="Q8" i="7"/>
  <c r="R7" i="7"/>
  <c r="D21" i="7"/>
  <c r="E20" i="7"/>
  <c r="S6" i="7"/>
  <c r="F94" i="7" l="1"/>
  <c r="F56" i="7"/>
  <c r="F113" i="7" s="1"/>
  <c r="G93" i="7"/>
  <c r="G55" i="7"/>
  <c r="G112" i="7" s="1"/>
  <c r="H92" i="7"/>
  <c r="H54" i="7"/>
  <c r="H111" i="7" s="1"/>
  <c r="I91" i="7"/>
  <c r="I53" i="7"/>
  <c r="I110" i="7" s="1"/>
  <c r="K89" i="7"/>
  <c r="K51" i="7"/>
  <c r="K108" i="7" s="1"/>
  <c r="J90" i="7"/>
  <c r="J52" i="7"/>
  <c r="J109" i="7" s="1"/>
  <c r="L88" i="7"/>
  <c r="L50" i="7"/>
  <c r="L107" i="7" s="1"/>
  <c r="M87" i="7"/>
  <c r="M49" i="7"/>
  <c r="M106" i="7" s="1"/>
  <c r="N86" i="7"/>
  <c r="N48" i="7"/>
  <c r="N105" i="7" s="1"/>
  <c r="O85" i="7"/>
  <c r="O47" i="7"/>
  <c r="O104" i="7" s="1"/>
  <c r="P84" i="7"/>
  <c r="P46" i="7"/>
  <c r="P103" i="7" s="1"/>
  <c r="Q83" i="7"/>
  <c r="Q45" i="7"/>
  <c r="Q102" i="7" s="1"/>
  <c r="E95" i="7"/>
  <c r="E57" i="7"/>
  <c r="E114" i="7" s="1"/>
  <c r="R82" i="7"/>
  <c r="R44" i="7"/>
  <c r="R101" i="7" s="1"/>
  <c r="F38" i="7"/>
  <c r="F76" i="7"/>
  <c r="G37" i="7"/>
  <c r="G75" i="7"/>
  <c r="K33" i="7"/>
  <c r="K71" i="7"/>
  <c r="H36" i="7"/>
  <c r="H74" i="7"/>
  <c r="I35" i="7"/>
  <c r="I73" i="7"/>
  <c r="J34" i="7"/>
  <c r="J72" i="7"/>
  <c r="L32" i="7"/>
  <c r="L70" i="7"/>
  <c r="M31" i="7"/>
  <c r="M69" i="7"/>
  <c r="N30" i="7"/>
  <c r="N68" i="7"/>
  <c r="O29" i="7"/>
  <c r="O67" i="7"/>
  <c r="P28" i="7"/>
  <c r="P66" i="7"/>
  <c r="Q27" i="7"/>
  <c r="Q65" i="7"/>
  <c r="R26" i="7"/>
  <c r="R64" i="7"/>
  <c r="E39" i="7"/>
  <c r="E77" i="7"/>
  <c r="S25" i="7"/>
  <c r="S63" i="7"/>
  <c r="D96" i="7"/>
  <c r="D58" i="7"/>
  <c r="D115" i="7" s="1"/>
  <c r="D40" i="7"/>
  <c r="D78" i="7"/>
  <c r="F20" i="7"/>
  <c r="F77" i="7" s="1"/>
  <c r="G19" i="7"/>
  <c r="K15" i="7"/>
  <c r="H18" i="7"/>
  <c r="J16" i="7"/>
  <c r="I17" i="7"/>
  <c r="L14" i="7"/>
  <c r="M13" i="7"/>
  <c r="N12" i="7"/>
  <c r="O11" i="7"/>
  <c r="P10" i="7"/>
  <c r="Q9" i="7"/>
  <c r="R8" i="7"/>
  <c r="S7" i="7"/>
  <c r="D22" i="7"/>
  <c r="E21" i="7"/>
  <c r="T6" i="7"/>
  <c r="F95" i="7" l="1"/>
  <c r="F57" i="7"/>
  <c r="F114" i="7" s="1"/>
  <c r="G94" i="7"/>
  <c r="G56" i="7"/>
  <c r="G113" i="7" s="1"/>
  <c r="K90" i="7"/>
  <c r="K52" i="7"/>
  <c r="K109" i="7" s="1"/>
  <c r="H93" i="7"/>
  <c r="H55" i="7"/>
  <c r="H112" i="7" s="1"/>
  <c r="I92" i="7"/>
  <c r="I54" i="7"/>
  <c r="I111" i="7" s="1"/>
  <c r="J91" i="7"/>
  <c r="J53" i="7"/>
  <c r="J110" i="7" s="1"/>
  <c r="L89" i="7"/>
  <c r="L51" i="7"/>
  <c r="L108" i="7" s="1"/>
  <c r="M88" i="7"/>
  <c r="M50" i="7"/>
  <c r="M107" i="7" s="1"/>
  <c r="N87" i="7"/>
  <c r="N49" i="7"/>
  <c r="N106" i="7" s="1"/>
  <c r="O86" i="7"/>
  <c r="O48" i="7"/>
  <c r="O105" i="7" s="1"/>
  <c r="P85" i="7"/>
  <c r="P47" i="7"/>
  <c r="P104" i="7" s="1"/>
  <c r="Q84" i="7"/>
  <c r="Q46" i="7"/>
  <c r="Q103" i="7" s="1"/>
  <c r="R83" i="7"/>
  <c r="R45" i="7"/>
  <c r="R102" i="7" s="1"/>
  <c r="E96" i="7"/>
  <c r="E58" i="7"/>
  <c r="E115" i="7" s="1"/>
  <c r="S82" i="7"/>
  <c r="S44" i="7"/>
  <c r="S101" i="7" s="1"/>
  <c r="G38" i="7"/>
  <c r="G76" i="7"/>
  <c r="K34" i="7"/>
  <c r="K72" i="7"/>
  <c r="H37" i="7"/>
  <c r="H75" i="7"/>
  <c r="J35" i="7"/>
  <c r="J73" i="7"/>
  <c r="I36" i="7"/>
  <c r="I74" i="7"/>
  <c r="L33" i="7"/>
  <c r="L71" i="7"/>
  <c r="M32" i="7"/>
  <c r="M70" i="7"/>
  <c r="N31" i="7"/>
  <c r="N69" i="7"/>
  <c r="O30" i="7"/>
  <c r="O68" i="7"/>
  <c r="P29" i="7"/>
  <c r="P67" i="7"/>
  <c r="Q28" i="7"/>
  <c r="Q66" i="7"/>
  <c r="R27" i="7"/>
  <c r="R65" i="7"/>
  <c r="S26" i="7"/>
  <c r="S64" i="7"/>
  <c r="E40" i="7"/>
  <c r="E78" i="7"/>
  <c r="T25" i="7"/>
  <c r="T63" i="7"/>
  <c r="D97" i="7"/>
  <c r="D59" i="7"/>
  <c r="D116" i="7" s="1"/>
  <c r="D41" i="7"/>
  <c r="D79" i="7"/>
  <c r="F21" i="7"/>
  <c r="F78" i="7" s="1"/>
  <c r="F39" i="7"/>
  <c r="G20" i="7"/>
  <c r="K16" i="7"/>
  <c r="H19" i="7"/>
  <c r="J17" i="7"/>
  <c r="I18" i="7"/>
  <c r="L15" i="7"/>
  <c r="N13" i="7"/>
  <c r="O12" i="7"/>
  <c r="P11" i="7"/>
  <c r="Q10" i="7"/>
  <c r="S8" i="7"/>
  <c r="M14" i="7"/>
  <c r="R9" i="7"/>
  <c r="T7" i="7"/>
  <c r="D23" i="7"/>
  <c r="E22" i="7"/>
  <c r="U6" i="7"/>
  <c r="G95" i="7" l="1"/>
  <c r="G57" i="7"/>
  <c r="G114" i="7" s="1"/>
  <c r="K91" i="7"/>
  <c r="K53" i="7"/>
  <c r="K110" i="7" s="1"/>
  <c r="H94" i="7"/>
  <c r="H56" i="7"/>
  <c r="H113" i="7" s="1"/>
  <c r="J92" i="7"/>
  <c r="J54" i="7"/>
  <c r="J111" i="7" s="1"/>
  <c r="I93" i="7"/>
  <c r="I55" i="7"/>
  <c r="I112" i="7" s="1"/>
  <c r="L90" i="7"/>
  <c r="L52" i="7"/>
  <c r="L109" i="7" s="1"/>
  <c r="M89" i="7"/>
  <c r="M51" i="7"/>
  <c r="M108" i="7" s="1"/>
  <c r="N88" i="7"/>
  <c r="N50" i="7"/>
  <c r="N107" i="7" s="1"/>
  <c r="O87" i="7"/>
  <c r="O49" i="7"/>
  <c r="O106" i="7" s="1"/>
  <c r="P86" i="7"/>
  <c r="P48" i="7"/>
  <c r="P105" i="7" s="1"/>
  <c r="Q85" i="7"/>
  <c r="Q47" i="7"/>
  <c r="Q104" i="7" s="1"/>
  <c r="R84" i="7"/>
  <c r="R46" i="7"/>
  <c r="R103" i="7" s="1"/>
  <c r="S83" i="7"/>
  <c r="S45" i="7"/>
  <c r="S102" i="7" s="1"/>
  <c r="E97" i="7"/>
  <c r="E59" i="7"/>
  <c r="E116" i="7" s="1"/>
  <c r="T82" i="7"/>
  <c r="T44" i="7"/>
  <c r="T101" i="7" s="1"/>
  <c r="F58" i="7"/>
  <c r="F115" i="7" s="1"/>
  <c r="F96" i="7"/>
  <c r="G39" i="7"/>
  <c r="G77" i="7"/>
  <c r="K35" i="7"/>
  <c r="K73" i="7"/>
  <c r="H38" i="7"/>
  <c r="H76" i="7"/>
  <c r="J36" i="7"/>
  <c r="J74" i="7"/>
  <c r="I37" i="7"/>
  <c r="I75" i="7"/>
  <c r="L34" i="7"/>
  <c r="L72" i="7"/>
  <c r="N32" i="7"/>
  <c r="N70" i="7"/>
  <c r="O31" i="7"/>
  <c r="O69" i="7"/>
  <c r="P30" i="7"/>
  <c r="P68" i="7"/>
  <c r="Q29" i="7"/>
  <c r="Q67" i="7"/>
  <c r="S27" i="7"/>
  <c r="S65" i="7"/>
  <c r="M33" i="7"/>
  <c r="M71" i="7"/>
  <c r="R28" i="7"/>
  <c r="R66" i="7"/>
  <c r="T26" i="7"/>
  <c r="T64" i="7"/>
  <c r="E41" i="7"/>
  <c r="E79" i="7"/>
  <c r="U25" i="7"/>
  <c r="U63" i="7"/>
  <c r="D98" i="7"/>
  <c r="D60" i="7"/>
  <c r="D117" i="7" s="1"/>
  <c r="D42" i="7"/>
  <c r="D80" i="7"/>
  <c r="F40" i="7"/>
  <c r="F22" i="7"/>
  <c r="F79" i="7" s="1"/>
  <c r="G21" i="7"/>
  <c r="K17" i="7"/>
  <c r="H20" i="7"/>
  <c r="J18" i="7"/>
  <c r="I19" i="7"/>
  <c r="L16" i="7"/>
  <c r="N14" i="7"/>
  <c r="O13" i="7"/>
  <c r="P12" i="7"/>
  <c r="Q11" i="7"/>
  <c r="S9" i="7"/>
  <c r="R10" i="7"/>
  <c r="T8" i="7"/>
  <c r="M15" i="7"/>
  <c r="U7" i="7"/>
  <c r="D24" i="7"/>
  <c r="E23" i="7"/>
  <c r="V6" i="7"/>
  <c r="G96" i="7" l="1"/>
  <c r="G58" i="7"/>
  <c r="G115" i="7" s="1"/>
  <c r="K92" i="7"/>
  <c r="K54" i="7"/>
  <c r="K111" i="7" s="1"/>
  <c r="H95" i="7"/>
  <c r="H57" i="7"/>
  <c r="H114" i="7" s="1"/>
  <c r="J93" i="7"/>
  <c r="J55" i="7"/>
  <c r="J112" i="7" s="1"/>
  <c r="I94" i="7"/>
  <c r="I56" i="7"/>
  <c r="I113" i="7" s="1"/>
  <c r="L91" i="7"/>
  <c r="L53" i="7"/>
  <c r="L110" i="7" s="1"/>
  <c r="N89" i="7"/>
  <c r="N51" i="7"/>
  <c r="N108" i="7" s="1"/>
  <c r="O88" i="7"/>
  <c r="O50" i="7"/>
  <c r="O107" i="7" s="1"/>
  <c r="P87" i="7"/>
  <c r="P49" i="7"/>
  <c r="P106" i="7" s="1"/>
  <c r="Q86" i="7"/>
  <c r="Q48" i="7"/>
  <c r="Q105" i="7" s="1"/>
  <c r="S84" i="7"/>
  <c r="S46" i="7"/>
  <c r="S103" i="7" s="1"/>
  <c r="M90" i="7"/>
  <c r="M52" i="7"/>
  <c r="M109" i="7" s="1"/>
  <c r="R85" i="7"/>
  <c r="R47" i="7"/>
  <c r="R104" i="7" s="1"/>
  <c r="T83" i="7"/>
  <c r="T45" i="7"/>
  <c r="T102" i="7" s="1"/>
  <c r="E98" i="7"/>
  <c r="E60" i="7"/>
  <c r="E117" i="7" s="1"/>
  <c r="U82" i="7"/>
  <c r="U44" i="7"/>
  <c r="U101" i="7" s="1"/>
  <c r="F59" i="7"/>
  <c r="F116" i="7" s="1"/>
  <c r="F97" i="7"/>
  <c r="G40" i="7"/>
  <c r="G78" i="7"/>
  <c r="K36" i="7"/>
  <c r="K74" i="7"/>
  <c r="H39" i="7"/>
  <c r="H77" i="7"/>
  <c r="J37" i="7"/>
  <c r="J75" i="7"/>
  <c r="I38" i="7"/>
  <c r="I76" i="7"/>
  <c r="L35" i="7"/>
  <c r="L73" i="7"/>
  <c r="N33" i="7"/>
  <c r="N71" i="7"/>
  <c r="O32" i="7"/>
  <c r="O70" i="7"/>
  <c r="P31" i="7"/>
  <c r="P69" i="7"/>
  <c r="Q30" i="7"/>
  <c r="Q68" i="7"/>
  <c r="S28" i="7"/>
  <c r="S66" i="7"/>
  <c r="R29" i="7"/>
  <c r="R67" i="7"/>
  <c r="T27" i="7"/>
  <c r="T65" i="7"/>
  <c r="M34" i="7"/>
  <c r="M72" i="7"/>
  <c r="U26" i="7"/>
  <c r="U64" i="7"/>
  <c r="E42" i="7"/>
  <c r="E80" i="7"/>
  <c r="V25" i="7"/>
  <c r="V63" i="7"/>
  <c r="D99" i="7"/>
  <c r="D61" i="7"/>
  <c r="D118" i="7" s="1"/>
  <c r="D43" i="7"/>
  <c r="D81" i="7"/>
  <c r="F41" i="7"/>
  <c r="F23" i="7"/>
  <c r="F80" i="7" s="1"/>
  <c r="G22" i="7"/>
  <c r="K18" i="7"/>
  <c r="H21" i="7"/>
  <c r="J19" i="7"/>
  <c r="I20" i="7"/>
  <c r="R11" i="7"/>
  <c r="T9" i="7"/>
  <c r="M16" i="7"/>
  <c r="L17" i="7"/>
  <c r="P13" i="7"/>
  <c r="Q12" i="7"/>
  <c r="S10" i="7"/>
  <c r="N15" i="7"/>
  <c r="O14" i="7"/>
  <c r="U8" i="7"/>
  <c r="V7" i="7"/>
  <c r="E24" i="7"/>
  <c r="W6" i="7"/>
  <c r="G97" i="7" l="1"/>
  <c r="G59" i="7"/>
  <c r="G116" i="7" s="1"/>
  <c r="K93" i="7"/>
  <c r="K55" i="7"/>
  <c r="K112" i="7" s="1"/>
  <c r="H96" i="7"/>
  <c r="H58" i="7"/>
  <c r="H115" i="7" s="1"/>
  <c r="J94" i="7"/>
  <c r="J56" i="7"/>
  <c r="J113" i="7" s="1"/>
  <c r="I95" i="7"/>
  <c r="I57" i="7"/>
  <c r="I114" i="7" s="1"/>
  <c r="L92" i="7"/>
  <c r="L54" i="7"/>
  <c r="L111" i="7" s="1"/>
  <c r="N90" i="7"/>
  <c r="N52" i="7"/>
  <c r="N109" i="7" s="1"/>
  <c r="O89" i="7"/>
  <c r="O51" i="7"/>
  <c r="O108" i="7" s="1"/>
  <c r="P88" i="7"/>
  <c r="P50" i="7"/>
  <c r="P107" i="7" s="1"/>
  <c r="Q87" i="7"/>
  <c r="Q49" i="7"/>
  <c r="Q106" i="7" s="1"/>
  <c r="S85" i="7"/>
  <c r="S47" i="7"/>
  <c r="S104" i="7" s="1"/>
  <c r="R86" i="7"/>
  <c r="R48" i="7"/>
  <c r="R105" i="7" s="1"/>
  <c r="T84" i="7"/>
  <c r="T46" i="7"/>
  <c r="T103" i="7" s="1"/>
  <c r="M91" i="7"/>
  <c r="M53" i="7"/>
  <c r="M110" i="7" s="1"/>
  <c r="U83" i="7"/>
  <c r="U45" i="7"/>
  <c r="U102" i="7" s="1"/>
  <c r="E99" i="7"/>
  <c r="E61" i="7"/>
  <c r="E118" i="7" s="1"/>
  <c r="V82" i="7"/>
  <c r="V44" i="7"/>
  <c r="V101" i="7" s="1"/>
  <c r="F60" i="7"/>
  <c r="F117" i="7" s="1"/>
  <c r="F98" i="7"/>
  <c r="G41" i="7"/>
  <c r="G79" i="7"/>
  <c r="K37" i="7"/>
  <c r="K75" i="7"/>
  <c r="H40" i="7"/>
  <c r="H78" i="7"/>
  <c r="J38" i="7"/>
  <c r="J76" i="7"/>
  <c r="I39" i="7"/>
  <c r="I77" i="7"/>
  <c r="R30" i="7"/>
  <c r="R68" i="7"/>
  <c r="T28" i="7"/>
  <c r="T66" i="7"/>
  <c r="M35" i="7"/>
  <c r="M73" i="7"/>
  <c r="L36" i="7"/>
  <c r="L74" i="7"/>
  <c r="P32" i="7"/>
  <c r="P70" i="7"/>
  <c r="Q31" i="7"/>
  <c r="Q69" i="7"/>
  <c r="S29" i="7"/>
  <c r="S67" i="7"/>
  <c r="N34" i="7"/>
  <c r="N72" i="7"/>
  <c r="O33" i="7"/>
  <c r="O71" i="7"/>
  <c r="U27" i="7"/>
  <c r="U65" i="7"/>
  <c r="V26" i="7"/>
  <c r="V64" i="7"/>
  <c r="E43" i="7"/>
  <c r="E81" i="7"/>
  <c r="W25" i="7"/>
  <c r="W63" i="7"/>
  <c r="D100" i="7"/>
  <c r="D62" i="7"/>
  <c r="D119" i="7" s="1"/>
  <c r="F42" i="7"/>
  <c r="F24" i="7"/>
  <c r="G23" i="7"/>
  <c r="K19" i="7"/>
  <c r="H22" i="7"/>
  <c r="J20" i="7"/>
  <c r="I21" i="7"/>
  <c r="I78" i="7" s="1"/>
  <c r="S11" i="7"/>
  <c r="M17" i="7"/>
  <c r="R12" i="7"/>
  <c r="T10" i="7"/>
  <c r="L18" i="7"/>
  <c r="P14" i="7"/>
  <c r="Q13" i="7"/>
  <c r="O15" i="7"/>
  <c r="U9" i="7"/>
  <c r="N16" i="7"/>
  <c r="V8" i="7"/>
  <c r="W7" i="7"/>
  <c r="X6" i="7"/>
  <c r="G98" i="7" l="1"/>
  <c r="G60" i="7"/>
  <c r="G117" i="7" s="1"/>
  <c r="K94" i="7"/>
  <c r="K56" i="7"/>
  <c r="K113" i="7" s="1"/>
  <c r="H97" i="7"/>
  <c r="H59" i="7"/>
  <c r="H116" i="7" s="1"/>
  <c r="J95" i="7"/>
  <c r="J57" i="7"/>
  <c r="J114" i="7" s="1"/>
  <c r="I96" i="7"/>
  <c r="I58" i="7"/>
  <c r="I115" i="7" s="1"/>
  <c r="R87" i="7"/>
  <c r="R49" i="7"/>
  <c r="R106" i="7" s="1"/>
  <c r="T85" i="7"/>
  <c r="T47" i="7"/>
  <c r="T104" i="7" s="1"/>
  <c r="M92" i="7"/>
  <c r="M54" i="7"/>
  <c r="M111" i="7" s="1"/>
  <c r="L93" i="7"/>
  <c r="L55" i="7"/>
  <c r="L112" i="7" s="1"/>
  <c r="P89" i="7"/>
  <c r="P51" i="7"/>
  <c r="P108" i="7" s="1"/>
  <c r="Q88" i="7"/>
  <c r="Q50" i="7"/>
  <c r="Q107" i="7" s="1"/>
  <c r="S86" i="7"/>
  <c r="S48" i="7"/>
  <c r="S105" i="7" s="1"/>
  <c r="N91" i="7"/>
  <c r="N53" i="7"/>
  <c r="N110" i="7" s="1"/>
  <c r="O90" i="7"/>
  <c r="O52" i="7"/>
  <c r="O109" i="7" s="1"/>
  <c r="U84" i="7"/>
  <c r="U46" i="7"/>
  <c r="U103" i="7" s="1"/>
  <c r="V83" i="7"/>
  <c r="V45" i="7"/>
  <c r="V102" i="7" s="1"/>
  <c r="E100" i="7"/>
  <c r="E62" i="7"/>
  <c r="E119" i="7" s="1"/>
  <c r="W82" i="7"/>
  <c r="W44" i="7"/>
  <c r="W101" i="7" s="1"/>
  <c r="F61" i="7"/>
  <c r="F118" i="7" s="1"/>
  <c r="F99" i="7"/>
  <c r="F43" i="7"/>
  <c r="F81" i="7"/>
  <c r="G42" i="7"/>
  <c r="G80" i="7"/>
  <c r="K38" i="7"/>
  <c r="K76" i="7"/>
  <c r="H41" i="7"/>
  <c r="H79" i="7"/>
  <c r="J39" i="7"/>
  <c r="J77" i="7"/>
  <c r="S30" i="7"/>
  <c r="S68" i="7"/>
  <c r="M36" i="7"/>
  <c r="M74" i="7"/>
  <c r="R31" i="7"/>
  <c r="R69" i="7"/>
  <c r="T29" i="7"/>
  <c r="T67" i="7"/>
  <c r="L37" i="7"/>
  <c r="L75" i="7"/>
  <c r="P33" i="7"/>
  <c r="P71" i="7"/>
  <c r="Q32" i="7"/>
  <c r="Q70" i="7"/>
  <c r="O34" i="7"/>
  <c r="O72" i="7"/>
  <c r="U28" i="7"/>
  <c r="U66" i="7"/>
  <c r="N35" i="7"/>
  <c r="N73" i="7"/>
  <c r="V27" i="7"/>
  <c r="V65" i="7"/>
  <c r="W26" i="7"/>
  <c r="W64" i="7"/>
  <c r="X25" i="7"/>
  <c r="X63" i="7"/>
  <c r="I22" i="7"/>
  <c r="I79" i="7" s="1"/>
  <c r="I40" i="7"/>
  <c r="G24" i="7"/>
  <c r="H23" i="7"/>
  <c r="H80" i="7" s="1"/>
  <c r="J21" i="7"/>
  <c r="K20" i="7"/>
  <c r="S12" i="7"/>
  <c r="M18" i="7"/>
  <c r="R13" i="7"/>
  <c r="T11" i="7"/>
  <c r="L19" i="7"/>
  <c r="P15" i="7"/>
  <c r="Q14" i="7"/>
  <c r="O16" i="7"/>
  <c r="U10" i="7"/>
  <c r="N17" i="7"/>
  <c r="V9" i="7"/>
  <c r="W8" i="7"/>
  <c r="X7" i="7"/>
  <c r="Y6" i="7"/>
  <c r="F100" i="7" l="1"/>
  <c r="F62" i="7"/>
  <c r="F119" i="7" s="1"/>
  <c r="G99" i="7"/>
  <c r="G61" i="7"/>
  <c r="G118" i="7" s="1"/>
  <c r="K95" i="7"/>
  <c r="K57" i="7"/>
  <c r="K114" i="7" s="1"/>
  <c r="H98" i="7"/>
  <c r="H60" i="7"/>
  <c r="H117" i="7" s="1"/>
  <c r="J96" i="7"/>
  <c r="J58" i="7"/>
  <c r="J115" i="7" s="1"/>
  <c r="S87" i="7"/>
  <c r="S49" i="7"/>
  <c r="S106" i="7" s="1"/>
  <c r="M93" i="7"/>
  <c r="M55" i="7"/>
  <c r="M112" i="7" s="1"/>
  <c r="R88" i="7"/>
  <c r="R50" i="7"/>
  <c r="R107" i="7" s="1"/>
  <c r="T86" i="7"/>
  <c r="T48" i="7"/>
  <c r="T105" i="7" s="1"/>
  <c r="L94" i="7"/>
  <c r="L56" i="7"/>
  <c r="L113" i="7" s="1"/>
  <c r="P90" i="7"/>
  <c r="P52" i="7"/>
  <c r="P109" i="7" s="1"/>
  <c r="Q89" i="7"/>
  <c r="Q51" i="7"/>
  <c r="Q108" i="7" s="1"/>
  <c r="O91" i="7"/>
  <c r="O53" i="7"/>
  <c r="O110" i="7" s="1"/>
  <c r="U85" i="7"/>
  <c r="U47" i="7"/>
  <c r="U104" i="7" s="1"/>
  <c r="N92" i="7"/>
  <c r="N54" i="7"/>
  <c r="N111" i="7" s="1"/>
  <c r="V84" i="7"/>
  <c r="V46" i="7"/>
  <c r="V103" i="7" s="1"/>
  <c r="W83" i="7"/>
  <c r="W45" i="7"/>
  <c r="W102" i="7" s="1"/>
  <c r="X82" i="7"/>
  <c r="X44" i="7"/>
  <c r="X101" i="7" s="1"/>
  <c r="I59" i="7"/>
  <c r="I116" i="7" s="1"/>
  <c r="I97" i="7"/>
  <c r="G43" i="7"/>
  <c r="G81" i="7"/>
  <c r="J40" i="7"/>
  <c r="J78" i="7"/>
  <c r="K39" i="7"/>
  <c r="K77" i="7"/>
  <c r="S31" i="7"/>
  <c r="S69" i="7"/>
  <c r="M37" i="7"/>
  <c r="M75" i="7"/>
  <c r="R32" i="7"/>
  <c r="R70" i="7"/>
  <c r="T30" i="7"/>
  <c r="T68" i="7"/>
  <c r="L38" i="7"/>
  <c r="L76" i="7"/>
  <c r="P34" i="7"/>
  <c r="P72" i="7"/>
  <c r="Q33" i="7"/>
  <c r="Q71" i="7"/>
  <c r="O35" i="7"/>
  <c r="O73" i="7"/>
  <c r="U29" i="7"/>
  <c r="U67" i="7"/>
  <c r="N36" i="7"/>
  <c r="N74" i="7"/>
  <c r="V28" i="7"/>
  <c r="V66" i="7"/>
  <c r="W27" i="7"/>
  <c r="W65" i="7"/>
  <c r="X26" i="7"/>
  <c r="X64" i="7"/>
  <c r="Y25" i="7"/>
  <c r="Y63" i="7"/>
  <c r="I41" i="7"/>
  <c r="I23" i="7"/>
  <c r="I80" i="7" s="1"/>
  <c r="H24" i="7"/>
  <c r="H42" i="7"/>
  <c r="J22" i="7"/>
  <c r="K21" i="7"/>
  <c r="S13" i="7"/>
  <c r="M19" i="7"/>
  <c r="L20" i="7"/>
  <c r="R14" i="7"/>
  <c r="T12" i="7"/>
  <c r="Q15" i="7"/>
  <c r="O17" i="7"/>
  <c r="U11" i="7"/>
  <c r="P16" i="7"/>
  <c r="N18" i="7"/>
  <c r="V10" i="7"/>
  <c r="W9" i="7"/>
  <c r="X8" i="7"/>
  <c r="Y7" i="7"/>
  <c r="Z6" i="7"/>
  <c r="G100" i="7" l="1"/>
  <c r="G62" i="7"/>
  <c r="G119" i="7" s="1"/>
  <c r="J97" i="7"/>
  <c r="J59" i="7"/>
  <c r="J116" i="7" s="1"/>
  <c r="K96" i="7"/>
  <c r="K58" i="7"/>
  <c r="K115" i="7" s="1"/>
  <c r="S88" i="7"/>
  <c r="S50" i="7"/>
  <c r="S107" i="7" s="1"/>
  <c r="M94" i="7"/>
  <c r="M56" i="7"/>
  <c r="M113" i="7" s="1"/>
  <c r="R89" i="7"/>
  <c r="R51" i="7"/>
  <c r="R108" i="7" s="1"/>
  <c r="T87" i="7"/>
  <c r="T49" i="7"/>
  <c r="T106" i="7" s="1"/>
  <c r="L95" i="7"/>
  <c r="L57" i="7"/>
  <c r="L114" i="7" s="1"/>
  <c r="P91" i="7"/>
  <c r="P53" i="7"/>
  <c r="P110" i="7" s="1"/>
  <c r="Q90" i="7"/>
  <c r="Q52" i="7"/>
  <c r="Q109" i="7" s="1"/>
  <c r="O92" i="7"/>
  <c r="O54" i="7"/>
  <c r="O111" i="7" s="1"/>
  <c r="U86" i="7"/>
  <c r="U48" i="7"/>
  <c r="U105" i="7" s="1"/>
  <c r="N93" i="7"/>
  <c r="N55" i="7"/>
  <c r="N112" i="7" s="1"/>
  <c r="V85" i="7"/>
  <c r="V47" i="7"/>
  <c r="V104" i="7" s="1"/>
  <c r="W84" i="7"/>
  <c r="W46" i="7"/>
  <c r="W103" i="7" s="1"/>
  <c r="X83" i="7"/>
  <c r="X45" i="7"/>
  <c r="X102" i="7" s="1"/>
  <c r="Y82" i="7"/>
  <c r="Y44" i="7"/>
  <c r="Y101" i="7" s="1"/>
  <c r="I60" i="7"/>
  <c r="I117" i="7" s="1"/>
  <c r="I98" i="7"/>
  <c r="H43" i="7"/>
  <c r="H81" i="7"/>
  <c r="H61" i="7"/>
  <c r="H118" i="7" s="1"/>
  <c r="H99" i="7"/>
  <c r="J41" i="7"/>
  <c r="J79" i="7"/>
  <c r="K40" i="7"/>
  <c r="K78" i="7"/>
  <c r="S32" i="7"/>
  <c r="S70" i="7"/>
  <c r="M38" i="7"/>
  <c r="M76" i="7"/>
  <c r="L39" i="7"/>
  <c r="L77" i="7"/>
  <c r="R33" i="7"/>
  <c r="R71" i="7"/>
  <c r="T31" i="7"/>
  <c r="T69" i="7"/>
  <c r="Q34" i="7"/>
  <c r="Q72" i="7"/>
  <c r="O36" i="7"/>
  <c r="O74" i="7"/>
  <c r="U30" i="7"/>
  <c r="U68" i="7"/>
  <c r="P35" i="7"/>
  <c r="P73" i="7"/>
  <c r="N37" i="7"/>
  <c r="N75" i="7"/>
  <c r="V29" i="7"/>
  <c r="V67" i="7"/>
  <c r="W28" i="7"/>
  <c r="W66" i="7"/>
  <c r="X27" i="7"/>
  <c r="X65" i="7"/>
  <c r="Y26" i="7"/>
  <c r="Y64" i="7"/>
  <c r="Z25" i="7"/>
  <c r="Z63" i="7"/>
  <c r="I42" i="7"/>
  <c r="I24" i="7"/>
  <c r="J23" i="7"/>
  <c r="J80" i="7" s="1"/>
  <c r="K22" i="7"/>
  <c r="K79" i="7" s="1"/>
  <c r="L21" i="7"/>
  <c r="L78" i="7" s="1"/>
  <c r="M20" i="7"/>
  <c r="M77" i="7" s="1"/>
  <c r="Q16" i="7"/>
  <c r="O18" i="7"/>
  <c r="S14" i="7"/>
  <c r="R15" i="7"/>
  <c r="U12" i="7"/>
  <c r="P17" i="7"/>
  <c r="V11" i="7"/>
  <c r="T13" i="7"/>
  <c r="N19" i="7"/>
  <c r="W10" i="7"/>
  <c r="X9" i="7"/>
  <c r="Y8" i="7"/>
  <c r="Z7" i="7"/>
  <c r="AA6" i="7"/>
  <c r="H100" i="7" l="1"/>
  <c r="H62" i="7"/>
  <c r="H119" i="7" s="1"/>
  <c r="J98" i="7"/>
  <c r="J60" i="7"/>
  <c r="J117" i="7" s="1"/>
  <c r="K97" i="7"/>
  <c r="K59" i="7"/>
  <c r="K116" i="7" s="1"/>
  <c r="S89" i="7"/>
  <c r="S51" i="7"/>
  <c r="S108" i="7" s="1"/>
  <c r="M95" i="7"/>
  <c r="M57" i="7"/>
  <c r="M114" i="7" s="1"/>
  <c r="L96" i="7"/>
  <c r="L58" i="7"/>
  <c r="L115" i="7" s="1"/>
  <c r="R90" i="7"/>
  <c r="R52" i="7"/>
  <c r="R109" i="7" s="1"/>
  <c r="T88" i="7"/>
  <c r="T50" i="7"/>
  <c r="T107" i="7" s="1"/>
  <c r="Q91" i="7"/>
  <c r="Q53" i="7"/>
  <c r="Q110" i="7" s="1"/>
  <c r="O93" i="7"/>
  <c r="O55" i="7"/>
  <c r="O112" i="7" s="1"/>
  <c r="U87" i="7"/>
  <c r="U49" i="7"/>
  <c r="U106" i="7" s="1"/>
  <c r="P92" i="7"/>
  <c r="P54" i="7"/>
  <c r="P111" i="7" s="1"/>
  <c r="N94" i="7"/>
  <c r="N56" i="7"/>
  <c r="N113" i="7" s="1"/>
  <c r="V86" i="7"/>
  <c r="V48" i="7"/>
  <c r="V105" i="7" s="1"/>
  <c r="W85" i="7"/>
  <c r="W47" i="7"/>
  <c r="W104" i="7" s="1"/>
  <c r="X84" i="7"/>
  <c r="X46" i="7"/>
  <c r="X103" i="7" s="1"/>
  <c r="Y83" i="7"/>
  <c r="Y45" i="7"/>
  <c r="Y102" i="7" s="1"/>
  <c r="Z82" i="7"/>
  <c r="Z44" i="7"/>
  <c r="Z101" i="7" s="1"/>
  <c r="I61" i="7"/>
  <c r="I118" i="7" s="1"/>
  <c r="I99" i="7"/>
  <c r="I43" i="7"/>
  <c r="I81" i="7"/>
  <c r="Q35" i="7"/>
  <c r="Q73" i="7"/>
  <c r="O37" i="7"/>
  <c r="O75" i="7"/>
  <c r="S33" i="7"/>
  <c r="S71" i="7"/>
  <c r="R34" i="7"/>
  <c r="R72" i="7"/>
  <c r="U31" i="7"/>
  <c r="U69" i="7"/>
  <c r="P36" i="7"/>
  <c r="P74" i="7"/>
  <c r="V30" i="7"/>
  <c r="V68" i="7"/>
  <c r="T32" i="7"/>
  <c r="T70" i="7"/>
  <c r="N38" i="7"/>
  <c r="N76" i="7"/>
  <c r="W29" i="7"/>
  <c r="W67" i="7"/>
  <c r="X28" i="7"/>
  <c r="X66" i="7"/>
  <c r="Y27" i="7"/>
  <c r="Y65" i="7"/>
  <c r="Z26" i="7"/>
  <c r="Z64" i="7"/>
  <c r="AA25" i="7"/>
  <c r="AA63" i="7"/>
  <c r="J42" i="7"/>
  <c r="J24" i="7"/>
  <c r="K41" i="7"/>
  <c r="K23" i="7"/>
  <c r="K80" i="7" s="1"/>
  <c r="L40" i="7"/>
  <c r="L22" i="7"/>
  <c r="L79" i="7" s="1"/>
  <c r="M39" i="7"/>
  <c r="M21" i="7"/>
  <c r="M78" i="7" s="1"/>
  <c r="O19" i="7"/>
  <c r="P18" i="7"/>
  <c r="Q17" i="7"/>
  <c r="S15" i="7"/>
  <c r="R16" i="7"/>
  <c r="U13" i="7"/>
  <c r="V12" i="7"/>
  <c r="T14" i="7"/>
  <c r="N20" i="7"/>
  <c r="W11" i="7"/>
  <c r="X10" i="7"/>
  <c r="Y9" i="7"/>
  <c r="Z8" i="7"/>
  <c r="AA7" i="7"/>
  <c r="AB6" i="7"/>
  <c r="AB25" i="7" l="1"/>
  <c r="AB63" i="7"/>
  <c r="I100" i="7"/>
  <c r="I62" i="7"/>
  <c r="I119" i="7" s="1"/>
  <c r="Q92" i="7"/>
  <c r="Q54" i="7"/>
  <c r="Q111" i="7" s="1"/>
  <c r="O94" i="7"/>
  <c r="O56" i="7"/>
  <c r="O113" i="7" s="1"/>
  <c r="S90" i="7"/>
  <c r="S52" i="7"/>
  <c r="S109" i="7" s="1"/>
  <c r="R91" i="7"/>
  <c r="R53" i="7"/>
  <c r="R110" i="7" s="1"/>
  <c r="U88" i="7"/>
  <c r="U50" i="7"/>
  <c r="U107" i="7" s="1"/>
  <c r="P93" i="7"/>
  <c r="P55" i="7"/>
  <c r="P112" i="7" s="1"/>
  <c r="V87" i="7"/>
  <c r="V49" i="7"/>
  <c r="V106" i="7" s="1"/>
  <c r="T89" i="7"/>
  <c r="T51" i="7"/>
  <c r="T108" i="7" s="1"/>
  <c r="N95" i="7"/>
  <c r="N57" i="7"/>
  <c r="N114" i="7" s="1"/>
  <c r="W86" i="7"/>
  <c r="W48" i="7"/>
  <c r="W105" i="7" s="1"/>
  <c r="X85" i="7"/>
  <c r="X47" i="7"/>
  <c r="X104" i="7" s="1"/>
  <c r="Y84" i="7"/>
  <c r="Y46" i="7"/>
  <c r="Y103" i="7" s="1"/>
  <c r="Z83" i="7"/>
  <c r="Z45" i="7"/>
  <c r="Z102" i="7" s="1"/>
  <c r="AA82" i="7"/>
  <c r="AA44" i="7"/>
  <c r="AA101" i="7" s="1"/>
  <c r="J61" i="7"/>
  <c r="J118" i="7" s="1"/>
  <c r="J99" i="7"/>
  <c r="J43" i="7"/>
  <c r="J81" i="7"/>
  <c r="K60" i="7"/>
  <c r="K117" i="7" s="1"/>
  <c r="K98" i="7"/>
  <c r="L59" i="7"/>
  <c r="L116" i="7" s="1"/>
  <c r="L97" i="7"/>
  <c r="M58" i="7"/>
  <c r="M115" i="7" s="1"/>
  <c r="M96" i="7"/>
  <c r="O38" i="7"/>
  <c r="O76" i="7"/>
  <c r="P37" i="7"/>
  <c r="P75" i="7"/>
  <c r="Q36" i="7"/>
  <c r="Q74" i="7"/>
  <c r="S34" i="7"/>
  <c r="S72" i="7"/>
  <c r="R35" i="7"/>
  <c r="R73" i="7"/>
  <c r="U32" i="7"/>
  <c r="U70" i="7"/>
  <c r="V31" i="7"/>
  <c r="V69" i="7"/>
  <c r="T33" i="7"/>
  <c r="T71" i="7"/>
  <c r="N39" i="7"/>
  <c r="N77" i="7"/>
  <c r="W30" i="7"/>
  <c r="W68" i="7"/>
  <c r="X29" i="7"/>
  <c r="X67" i="7"/>
  <c r="Y28" i="7"/>
  <c r="Y66" i="7"/>
  <c r="Z27" i="7"/>
  <c r="Z65" i="7"/>
  <c r="AA26" i="7"/>
  <c r="AA64" i="7"/>
  <c r="K42" i="7"/>
  <c r="K24" i="7"/>
  <c r="L41" i="7"/>
  <c r="L23" i="7"/>
  <c r="L80" i="7" s="1"/>
  <c r="M40" i="7"/>
  <c r="M22" i="7"/>
  <c r="M79" i="7" s="1"/>
  <c r="O20" i="7"/>
  <c r="P19" i="7"/>
  <c r="Q18" i="7"/>
  <c r="S16" i="7"/>
  <c r="R17" i="7"/>
  <c r="U14" i="7"/>
  <c r="V13" i="7"/>
  <c r="T15" i="7"/>
  <c r="N21" i="7"/>
  <c r="W12" i="7"/>
  <c r="X11" i="7"/>
  <c r="Y10" i="7"/>
  <c r="Z9" i="7"/>
  <c r="AA8" i="7"/>
  <c r="AB7" i="7"/>
  <c r="AC6" i="7"/>
  <c r="AB82" i="7" l="1"/>
  <c r="AB44" i="7"/>
  <c r="AB101" i="7" s="1"/>
  <c r="AB26" i="7"/>
  <c r="AB64" i="7"/>
  <c r="AC25" i="7"/>
  <c r="AC63" i="7"/>
  <c r="J100" i="7"/>
  <c r="J62" i="7"/>
  <c r="J119" i="7" s="1"/>
  <c r="O95" i="7"/>
  <c r="O57" i="7"/>
  <c r="O114" i="7" s="1"/>
  <c r="P94" i="7"/>
  <c r="P56" i="7"/>
  <c r="P113" i="7" s="1"/>
  <c r="Q93" i="7"/>
  <c r="Q55" i="7"/>
  <c r="Q112" i="7" s="1"/>
  <c r="S91" i="7"/>
  <c r="S53" i="7"/>
  <c r="S110" i="7" s="1"/>
  <c r="R92" i="7"/>
  <c r="R54" i="7"/>
  <c r="R111" i="7" s="1"/>
  <c r="U89" i="7"/>
  <c r="U51" i="7"/>
  <c r="U108" i="7" s="1"/>
  <c r="V88" i="7"/>
  <c r="V50" i="7"/>
  <c r="V107" i="7" s="1"/>
  <c r="T90" i="7"/>
  <c r="T52" i="7"/>
  <c r="T109" i="7" s="1"/>
  <c r="N96" i="7"/>
  <c r="N58" i="7"/>
  <c r="N115" i="7" s="1"/>
  <c r="W87" i="7"/>
  <c r="W49" i="7"/>
  <c r="W106" i="7" s="1"/>
  <c r="X86" i="7"/>
  <c r="X48" i="7"/>
  <c r="X105" i="7" s="1"/>
  <c r="Y85" i="7"/>
  <c r="Y47" i="7"/>
  <c r="Y104" i="7" s="1"/>
  <c r="Z84" i="7"/>
  <c r="Z46" i="7"/>
  <c r="Z103" i="7" s="1"/>
  <c r="AA83" i="7"/>
  <c r="AA45" i="7"/>
  <c r="AA102" i="7" s="1"/>
  <c r="K61" i="7"/>
  <c r="K118" i="7" s="1"/>
  <c r="K99" i="7"/>
  <c r="K43" i="7"/>
  <c r="K81" i="7"/>
  <c r="L60" i="7"/>
  <c r="L117" i="7" s="1"/>
  <c r="L98" i="7"/>
  <c r="M59" i="7"/>
  <c r="M116" i="7" s="1"/>
  <c r="M97" i="7"/>
  <c r="O39" i="7"/>
  <c r="O77" i="7"/>
  <c r="P38" i="7"/>
  <c r="P76" i="7"/>
  <c r="Q37" i="7"/>
  <c r="Q75" i="7"/>
  <c r="S35" i="7"/>
  <c r="S73" i="7"/>
  <c r="R36" i="7"/>
  <c r="R74" i="7"/>
  <c r="U33" i="7"/>
  <c r="U71" i="7"/>
  <c r="V32" i="7"/>
  <c r="V70" i="7"/>
  <c r="T34" i="7"/>
  <c r="T72" i="7"/>
  <c r="N40" i="7"/>
  <c r="N78" i="7"/>
  <c r="W31" i="7"/>
  <c r="W69" i="7"/>
  <c r="X30" i="7"/>
  <c r="X68" i="7"/>
  <c r="Y29" i="7"/>
  <c r="Y67" i="7"/>
  <c r="Z28" i="7"/>
  <c r="Z66" i="7"/>
  <c r="AA27" i="7"/>
  <c r="AA65" i="7"/>
  <c r="M41" i="7"/>
  <c r="M23" i="7"/>
  <c r="M80" i="7" s="1"/>
  <c r="L42" i="7"/>
  <c r="L24" i="7"/>
  <c r="O21" i="7"/>
  <c r="P20" i="7"/>
  <c r="Q19" i="7"/>
  <c r="S17" i="7"/>
  <c r="R18" i="7"/>
  <c r="U15" i="7"/>
  <c r="V14" i="7"/>
  <c r="T16" i="7"/>
  <c r="AB8" i="7"/>
  <c r="N22" i="7"/>
  <c r="AA9" i="7"/>
  <c r="W13" i="7"/>
  <c r="X12" i="7"/>
  <c r="Y11" i="7"/>
  <c r="Z10" i="7"/>
  <c r="AC7" i="7"/>
  <c r="AD6" i="7"/>
  <c r="AB83" i="7" l="1"/>
  <c r="AB45" i="7"/>
  <c r="AB102" i="7" s="1"/>
  <c r="AC82" i="7"/>
  <c r="AC44" i="7"/>
  <c r="AC101" i="7" s="1"/>
  <c r="AB27" i="7"/>
  <c r="AB65" i="7"/>
  <c r="AC26" i="7"/>
  <c r="AC64" i="7"/>
  <c r="AD25" i="7"/>
  <c r="AD63" i="7"/>
  <c r="K100" i="7"/>
  <c r="K62" i="7"/>
  <c r="K119" i="7" s="1"/>
  <c r="O96" i="7"/>
  <c r="O58" i="7"/>
  <c r="O115" i="7" s="1"/>
  <c r="P95" i="7"/>
  <c r="P57" i="7"/>
  <c r="P114" i="7" s="1"/>
  <c r="Q94" i="7"/>
  <c r="Q56" i="7"/>
  <c r="Q113" i="7" s="1"/>
  <c r="S92" i="7"/>
  <c r="S54" i="7"/>
  <c r="S111" i="7" s="1"/>
  <c r="R93" i="7"/>
  <c r="R55" i="7"/>
  <c r="R112" i="7" s="1"/>
  <c r="U90" i="7"/>
  <c r="U52" i="7"/>
  <c r="U109" i="7" s="1"/>
  <c r="V89" i="7"/>
  <c r="V51" i="7"/>
  <c r="V108" i="7" s="1"/>
  <c r="T91" i="7"/>
  <c r="T53" i="7"/>
  <c r="T110" i="7" s="1"/>
  <c r="N97" i="7"/>
  <c r="N59" i="7"/>
  <c r="N116" i="7" s="1"/>
  <c r="W88" i="7"/>
  <c r="W50" i="7"/>
  <c r="W107" i="7" s="1"/>
  <c r="X87" i="7"/>
  <c r="X49" i="7"/>
  <c r="X106" i="7" s="1"/>
  <c r="Y86" i="7"/>
  <c r="Y48" i="7"/>
  <c r="Y105" i="7" s="1"/>
  <c r="Z85" i="7"/>
  <c r="Z47" i="7"/>
  <c r="Z104" i="7" s="1"/>
  <c r="AA84" i="7"/>
  <c r="AA46" i="7"/>
  <c r="AA103" i="7" s="1"/>
  <c r="M60" i="7"/>
  <c r="M117" i="7" s="1"/>
  <c r="M98" i="7"/>
  <c r="L61" i="7"/>
  <c r="L118" i="7" s="1"/>
  <c r="L99" i="7"/>
  <c r="L43" i="7"/>
  <c r="L81" i="7"/>
  <c r="O40" i="7"/>
  <c r="O78" i="7"/>
  <c r="P39" i="7"/>
  <c r="P77" i="7"/>
  <c r="Q38" i="7"/>
  <c r="Q76" i="7"/>
  <c r="S36" i="7"/>
  <c r="S74" i="7"/>
  <c r="R37" i="7"/>
  <c r="R75" i="7"/>
  <c r="U34" i="7"/>
  <c r="U72" i="7"/>
  <c r="V33" i="7"/>
  <c r="V71" i="7"/>
  <c r="T35" i="7"/>
  <c r="T73" i="7"/>
  <c r="N41" i="7"/>
  <c r="N79" i="7"/>
  <c r="AA28" i="7"/>
  <c r="AA66" i="7"/>
  <c r="W32" i="7"/>
  <c r="W70" i="7"/>
  <c r="X31" i="7"/>
  <c r="X69" i="7"/>
  <c r="Y30" i="7"/>
  <c r="Y68" i="7"/>
  <c r="Z29" i="7"/>
  <c r="Z67" i="7"/>
  <c r="M42" i="7"/>
  <c r="M24" i="7"/>
  <c r="O22" i="7"/>
  <c r="P21" i="7"/>
  <c r="Q20" i="7"/>
  <c r="R19" i="7"/>
  <c r="S18" i="7"/>
  <c r="U16" i="7"/>
  <c r="V15" i="7"/>
  <c r="T17" i="7"/>
  <c r="AC8" i="7"/>
  <c r="AB9" i="7"/>
  <c r="AA10" i="7"/>
  <c r="N23" i="7"/>
  <c r="W14" i="7"/>
  <c r="X13" i="7"/>
  <c r="Y12" i="7"/>
  <c r="Z11" i="7"/>
  <c r="AD7" i="7"/>
  <c r="AE6" i="7"/>
  <c r="AB84" i="7" l="1"/>
  <c r="AB46" i="7"/>
  <c r="AB103" i="7" s="1"/>
  <c r="AC83" i="7"/>
  <c r="AC45" i="7"/>
  <c r="AC102" i="7" s="1"/>
  <c r="AD82" i="7"/>
  <c r="AD44" i="7"/>
  <c r="AD101" i="7" s="1"/>
  <c r="AC27" i="7"/>
  <c r="AC65" i="7"/>
  <c r="AB28" i="7"/>
  <c r="AB66" i="7"/>
  <c r="AD26" i="7"/>
  <c r="AD64" i="7"/>
  <c r="AE25" i="7"/>
  <c r="AE63" i="7"/>
  <c r="L100" i="7"/>
  <c r="L62" i="7"/>
  <c r="L119" i="7" s="1"/>
  <c r="O97" i="7"/>
  <c r="O59" i="7"/>
  <c r="O116" i="7" s="1"/>
  <c r="P96" i="7"/>
  <c r="P58" i="7"/>
  <c r="P115" i="7" s="1"/>
  <c r="Q95" i="7"/>
  <c r="Q57" i="7"/>
  <c r="Q114" i="7" s="1"/>
  <c r="S93" i="7"/>
  <c r="S55" i="7"/>
  <c r="S112" i="7" s="1"/>
  <c r="R94" i="7"/>
  <c r="R56" i="7"/>
  <c r="R113" i="7" s="1"/>
  <c r="U91" i="7"/>
  <c r="U53" i="7"/>
  <c r="U110" i="7" s="1"/>
  <c r="V90" i="7"/>
  <c r="V52" i="7"/>
  <c r="V109" i="7" s="1"/>
  <c r="T92" i="7"/>
  <c r="T54" i="7"/>
  <c r="T111" i="7" s="1"/>
  <c r="N98" i="7"/>
  <c r="N60" i="7"/>
  <c r="N117" i="7" s="1"/>
  <c r="AA85" i="7"/>
  <c r="AA47" i="7"/>
  <c r="AA104" i="7" s="1"/>
  <c r="W89" i="7"/>
  <c r="W51" i="7"/>
  <c r="W108" i="7" s="1"/>
  <c r="X88" i="7"/>
  <c r="X50" i="7"/>
  <c r="X107" i="7" s="1"/>
  <c r="Y87" i="7"/>
  <c r="Y49" i="7"/>
  <c r="Y106" i="7" s="1"/>
  <c r="Z86" i="7"/>
  <c r="Z48" i="7"/>
  <c r="Z105" i="7" s="1"/>
  <c r="M61" i="7"/>
  <c r="M118" i="7" s="1"/>
  <c r="M99" i="7"/>
  <c r="M43" i="7"/>
  <c r="M81" i="7"/>
  <c r="O41" i="7"/>
  <c r="O79" i="7"/>
  <c r="P40" i="7"/>
  <c r="P78" i="7"/>
  <c r="Q39" i="7"/>
  <c r="Q77" i="7"/>
  <c r="R38" i="7"/>
  <c r="R76" i="7"/>
  <c r="S37" i="7"/>
  <c r="S75" i="7"/>
  <c r="U35" i="7"/>
  <c r="U73" i="7"/>
  <c r="V34" i="7"/>
  <c r="V72" i="7"/>
  <c r="T36" i="7"/>
  <c r="T74" i="7"/>
  <c r="AA29" i="7"/>
  <c r="AA67" i="7"/>
  <c r="N42" i="7"/>
  <c r="N80" i="7"/>
  <c r="W33" i="7"/>
  <c r="W71" i="7"/>
  <c r="X32" i="7"/>
  <c r="X70" i="7"/>
  <c r="Y31" i="7"/>
  <c r="Y69" i="7"/>
  <c r="Z30" i="7"/>
  <c r="Z68" i="7"/>
  <c r="O23" i="7"/>
  <c r="P22" i="7"/>
  <c r="P79" i="7" s="1"/>
  <c r="Q21" i="7"/>
  <c r="R20" i="7"/>
  <c r="U17" i="7"/>
  <c r="T18" i="7"/>
  <c r="S19" i="7"/>
  <c r="V16" i="7"/>
  <c r="AC9" i="7"/>
  <c r="AB10" i="7"/>
  <c r="AA11" i="7"/>
  <c r="N24" i="7"/>
  <c r="W15" i="7"/>
  <c r="X14" i="7"/>
  <c r="Y13" i="7"/>
  <c r="Z12" i="7"/>
  <c r="AD8" i="7"/>
  <c r="AE7" i="7"/>
  <c r="AF6" i="7"/>
  <c r="AC84" i="7" l="1"/>
  <c r="AC46" i="7"/>
  <c r="AC103" i="7" s="1"/>
  <c r="AB85" i="7"/>
  <c r="AB47" i="7"/>
  <c r="AB104" i="7" s="1"/>
  <c r="AD83" i="7"/>
  <c r="AD45" i="7"/>
  <c r="AD102" i="7" s="1"/>
  <c r="AE82" i="7"/>
  <c r="AE44" i="7"/>
  <c r="AE101" i="7" s="1"/>
  <c r="AC28" i="7"/>
  <c r="AC66" i="7"/>
  <c r="AB29" i="7"/>
  <c r="AB67" i="7"/>
  <c r="AD27" i="7"/>
  <c r="AD65" i="7"/>
  <c r="AE26" i="7"/>
  <c r="AE64" i="7"/>
  <c r="AF25" i="7"/>
  <c r="AF63" i="7"/>
  <c r="M100" i="7"/>
  <c r="M62" i="7"/>
  <c r="M119" i="7" s="1"/>
  <c r="O98" i="7"/>
  <c r="O60" i="7"/>
  <c r="O117" i="7" s="1"/>
  <c r="P97" i="7"/>
  <c r="P59" i="7"/>
  <c r="P116" i="7" s="1"/>
  <c r="Q96" i="7"/>
  <c r="Q58" i="7"/>
  <c r="Q115" i="7" s="1"/>
  <c r="R95" i="7"/>
  <c r="R57" i="7"/>
  <c r="R114" i="7" s="1"/>
  <c r="S94" i="7"/>
  <c r="S56" i="7"/>
  <c r="S113" i="7" s="1"/>
  <c r="U92" i="7"/>
  <c r="U54" i="7"/>
  <c r="U111" i="7" s="1"/>
  <c r="V91" i="7"/>
  <c r="V53" i="7"/>
  <c r="V110" i="7" s="1"/>
  <c r="T93" i="7"/>
  <c r="T55" i="7"/>
  <c r="T112" i="7" s="1"/>
  <c r="AA86" i="7"/>
  <c r="AA48" i="7"/>
  <c r="AA105" i="7" s="1"/>
  <c r="N99" i="7"/>
  <c r="N61" i="7"/>
  <c r="N118" i="7" s="1"/>
  <c r="W90" i="7"/>
  <c r="W52" i="7"/>
  <c r="W109" i="7" s="1"/>
  <c r="X89" i="7"/>
  <c r="X51" i="7"/>
  <c r="X108" i="7" s="1"/>
  <c r="Y88" i="7"/>
  <c r="Y50" i="7"/>
  <c r="Y107" i="7" s="1"/>
  <c r="Z87" i="7"/>
  <c r="Z49" i="7"/>
  <c r="Z106" i="7" s="1"/>
  <c r="O42" i="7"/>
  <c r="O80" i="7"/>
  <c r="Q40" i="7"/>
  <c r="Q78" i="7"/>
  <c r="R39" i="7"/>
  <c r="R77" i="7"/>
  <c r="U36" i="7"/>
  <c r="U74" i="7"/>
  <c r="T37" i="7"/>
  <c r="T75" i="7"/>
  <c r="S38" i="7"/>
  <c r="S76" i="7"/>
  <c r="V35" i="7"/>
  <c r="V73" i="7"/>
  <c r="AA30" i="7"/>
  <c r="AA68" i="7"/>
  <c r="N43" i="7"/>
  <c r="N81" i="7"/>
  <c r="W34" i="7"/>
  <c r="W72" i="7"/>
  <c r="X33" i="7"/>
  <c r="X71" i="7"/>
  <c r="Y32" i="7"/>
  <c r="Y70" i="7"/>
  <c r="Z31" i="7"/>
  <c r="Z69" i="7"/>
  <c r="P23" i="7"/>
  <c r="P80" i="7" s="1"/>
  <c r="P41" i="7"/>
  <c r="O24" i="7"/>
  <c r="Q22" i="7"/>
  <c r="R21" i="7"/>
  <c r="T19" i="7"/>
  <c r="U18" i="7"/>
  <c r="V17" i="7"/>
  <c r="S20" i="7"/>
  <c r="S77" i="7" s="1"/>
  <c r="AB11" i="7"/>
  <c r="AC10" i="7"/>
  <c r="AA12" i="7"/>
  <c r="W16" i="7"/>
  <c r="X15" i="7"/>
  <c r="Y14" i="7"/>
  <c r="Z13" i="7"/>
  <c r="AD9" i="7"/>
  <c r="AE8" i="7"/>
  <c r="AF7" i="7"/>
  <c r="AG6" i="7"/>
  <c r="AC85" i="7" l="1"/>
  <c r="AC47" i="7"/>
  <c r="AC104" i="7" s="1"/>
  <c r="AB86" i="7"/>
  <c r="AB48" i="7"/>
  <c r="AB105" i="7" s="1"/>
  <c r="AD84" i="7"/>
  <c r="AD46" i="7"/>
  <c r="AD103" i="7" s="1"/>
  <c r="AE83" i="7"/>
  <c r="AE45" i="7"/>
  <c r="AE102" i="7" s="1"/>
  <c r="AF82" i="7"/>
  <c r="AF44" i="7"/>
  <c r="AF101" i="7" s="1"/>
  <c r="AB30" i="7"/>
  <c r="AB68" i="7"/>
  <c r="AC29" i="7"/>
  <c r="AC67" i="7"/>
  <c r="AD28" i="7"/>
  <c r="AD66" i="7"/>
  <c r="AE27" i="7"/>
  <c r="AE65" i="7"/>
  <c r="AF26" i="7"/>
  <c r="AF64" i="7"/>
  <c r="AG25" i="7"/>
  <c r="AG63" i="7"/>
  <c r="O99" i="7"/>
  <c r="O61" i="7"/>
  <c r="O118" i="7" s="1"/>
  <c r="Q97" i="7"/>
  <c r="Q59" i="7"/>
  <c r="Q116" i="7" s="1"/>
  <c r="R96" i="7"/>
  <c r="R58" i="7"/>
  <c r="R115" i="7" s="1"/>
  <c r="U93" i="7"/>
  <c r="U55" i="7"/>
  <c r="U112" i="7" s="1"/>
  <c r="T94" i="7"/>
  <c r="T56" i="7"/>
  <c r="T113" i="7" s="1"/>
  <c r="S95" i="7"/>
  <c r="S57" i="7"/>
  <c r="S114" i="7" s="1"/>
  <c r="V92" i="7"/>
  <c r="V54" i="7"/>
  <c r="V111" i="7" s="1"/>
  <c r="AA87" i="7"/>
  <c r="AA49" i="7"/>
  <c r="AA106" i="7" s="1"/>
  <c r="N100" i="7"/>
  <c r="N62" i="7"/>
  <c r="N119" i="7" s="1"/>
  <c r="W91" i="7"/>
  <c r="W53" i="7"/>
  <c r="W110" i="7" s="1"/>
  <c r="X90" i="7"/>
  <c r="X52" i="7"/>
  <c r="X109" i="7" s="1"/>
  <c r="Y89" i="7"/>
  <c r="Y51" i="7"/>
  <c r="Y108" i="7" s="1"/>
  <c r="Z88" i="7"/>
  <c r="Z50" i="7"/>
  <c r="Z107" i="7" s="1"/>
  <c r="P60" i="7"/>
  <c r="P117" i="7" s="1"/>
  <c r="P98" i="7"/>
  <c r="O43" i="7"/>
  <c r="O81" i="7"/>
  <c r="Q41" i="7"/>
  <c r="Q79" i="7"/>
  <c r="R40" i="7"/>
  <c r="R78" i="7"/>
  <c r="T38" i="7"/>
  <c r="T76" i="7"/>
  <c r="U37" i="7"/>
  <c r="U75" i="7"/>
  <c r="V36" i="7"/>
  <c r="V74" i="7"/>
  <c r="AA31" i="7"/>
  <c r="AA69" i="7"/>
  <c r="W35" i="7"/>
  <c r="W73" i="7"/>
  <c r="X34" i="7"/>
  <c r="X72" i="7"/>
  <c r="Y33" i="7"/>
  <c r="Y71" i="7"/>
  <c r="Z32" i="7"/>
  <c r="Z70" i="7"/>
  <c r="S39" i="7"/>
  <c r="S21" i="7"/>
  <c r="S78" i="7" s="1"/>
  <c r="P42" i="7"/>
  <c r="P24" i="7"/>
  <c r="V18" i="7"/>
  <c r="Q23" i="7"/>
  <c r="R22" i="7"/>
  <c r="T20" i="7"/>
  <c r="U19" i="7"/>
  <c r="AB12" i="7"/>
  <c r="AC11" i="7"/>
  <c r="AA13" i="7"/>
  <c r="AF8" i="7"/>
  <c r="W17" i="7"/>
  <c r="X16" i="7"/>
  <c r="Y15" i="7"/>
  <c r="Z14" i="7"/>
  <c r="AD10" i="7"/>
  <c r="AE9" i="7"/>
  <c r="AG7" i="7"/>
  <c r="AH6" i="7"/>
  <c r="AB87" i="7" l="1"/>
  <c r="AB49" i="7"/>
  <c r="AB106" i="7" s="1"/>
  <c r="AC86" i="7"/>
  <c r="AC48" i="7"/>
  <c r="AC105" i="7" s="1"/>
  <c r="AD85" i="7"/>
  <c r="AD47" i="7"/>
  <c r="AD104" i="7" s="1"/>
  <c r="AE84" i="7"/>
  <c r="AE46" i="7"/>
  <c r="AE103" i="7" s="1"/>
  <c r="AF83" i="7"/>
  <c r="AF45" i="7"/>
  <c r="AF102" i="7" s="1"/>
  <c r="AG82" i="7"/>
  <c r="AG44" i="7"/>
  <c r="AG101" i="7" s="1"/>
  <c r="AB31" i="7"/>
  <c r="AB69" i="7"/>
  <c r="AC30" i="7"/>
  <c r="AC68" i="7"/>
  <c r="AF27" i="7"/>
  <c r="AF65" i="7"/>
  <c r="AD29" i="7"/>
  <c r="AD67" i="7"/>
  <c r="AE28" i="7"/>
  <c r="AE66" i="7"/>
  <c r="AG26" i="7"/>
  <c r="AG64" i="7"/>
  <c r="AH25" i="7"/>
  <c r="AH63" i="7"/>
  <c r="O100" i="7"/>
  <c r="O62" i="7"/>
  <c r="O119" i="7" s="1"/>
  <c r="Q98" i="7"/>
  <c r="Q60" i="7"/>
  <c r="Q117" i="7" s="1"/>
  <c r="R97" i="7"/>
  <c r="R59" i="7"/>
  <c r="R116" i="7" s="1"/>
  <c r="T95" i="7"/>
  <c r="T57" i="7"/>
  <c r="T114" i="7" s="1"/>
  <c r="U94" i="7"/>
  <c r="U56" i="7"/>
  <c r="U113" i="7" s="1"/>
  <c r="V93" i="7"/>
  <c r="V55" i="7"/>
  <c r="V112" i="7" s="1"/>
  <c r="AA88" i="7"/>
  <c r="AA50" i="7"/>
  <c r="AA107" i="7" s="1"/>
  <c r="W92" i="7"/>
  <c r="W54" i="7"/>
  <c r="W111" i="7" s="1"/>
  <c r="X91" i="7"/>
  <c r="X53" i="7"/>
  <c r="X110" i="7" s="1"/>
  <c r="Y90" i="7"/>
  <c r="Y52" i="7"/>
  <c r="Y109" i="7" s="1"/>
  <c r="Z89" i="7"/>
  <c r="Z51" i="7"/>
  <c r="Z108" i="7" s="1"/>
  <c r="S58" i="7"/>
  <c r="S115" i="7" s="1"/>
  <c r="S96" i="7"/>
  <c r="P61" i="7"/>
  <c r="P118" i="7" s="1"/>
  <c r="P99" i="7"/>
  <c r="P43" i="7"/>
  <c r="P81" i="7"/>
  <c r="V37" i="7"/>
  <c r="V75" i="7"/>
  <c r="Q42" i="7"/>
  <c r="Q80" i="7"/>
  <c r="R41" i="7"/>
  <c r="R79" i="7"/>
  <c r="T39" i="7"/>
  <c r="T77" i="7"/>
  <c r="U38" i="7"/>
  <c r="U76" i="7"/>
  <c r="AA32" i="7"/>
  <c r="AA70" i="7"/>
  <c r="W36" i="7"/>
  <c r="W74" i="7"/>
  <c r="X35" i="7"/>
  <c r="X73" i="7"/>
  <c r="Y34" i="7"/>
  <c r="Y72" i="7"/>
  <c r="Z33" i="7"/>
  <c r="Z71" i="7"/>
  <c r="S40" i="7"/>
  <c r="S22" i="7"/>
  <c r="S79" i="7" s="1"/>
  <c r="V19" i="7"/>
  <c r="R23" i="7"/>
  <c r="R80" i="7" s="1"/>
  <c r="T21" i="7"/>
  <c r="T78" i="7" s="1"/>
  <c r="U20" i="7"/>
  <c r="U77" i="7" s="1"/>
  <c r="Q24" i="7"/>
  <c r="AB13" i="7"/>
  <c r="AC12" i="7"/>
  <c r="AA14" i="7"/>
  <c r="AF9" i="7"/>
  <c r="W18" i="7"/>
  <c r="X17" i="7"/>
  <c r="Y16" i="7"/>
  <c r="Z15" i="7"/>
  <c r="AD11" i="7"/>
  <c r="AE10" i="7"/>
  <c r="AG8" i="7"/>
  <c r="AH7" i="7"/>
  <c r="AI6" i="7"/>
  <c r="AB88" i="7" l="1"/>
  <c r="AB50" i="7"/>
  <c r="AB107" i="7" s="1"/>
  <c r="AC87" i="7"/>
  <c r="AC49" i="7"/>
  <c r="AC106" i="7" s="1"/>
  <c r="AF84" i="7"/>
  <c r="AF46" i="7"/>
  <c r="AF103" i="7" s="1"/>
  <c r="AD86" i="7"/>
  <c r="AD48" i="7"/>
  <c r="AD105" i="7" s="1"/>
  <c r="AE85" i="7"/>
  <c r="AE47" i="7"/>
  <c r="AE104" i="7" s="1"/>
  <c r="AG83" i="7"/>
  <c r="AG45" i="7"/>
  <c r="AG102" i="7" s="1"/>
  <c r="AH82" i="7"/>
  <c r="AH44" i="7"/>
  <c r="AH101" i="7" s="1"/>
  <c r="AB32" i="7"/>
  <c r="AB70" i="7"/>
  <c r="AC31" i="7"/>
  <c r="AC69" i="7"/>
  <c r="AF28" i="7"/>
  <c r="AF66" i="7"/>
  <c r="AD30" i="7"/>
  <c r="AD68" i="7"/>
  <c r="AE29" i="7"/>
  <c r="AE67" i="7"/>
  <c r="AG27" i="7"/>
  <c r="AG65" i="7"/>
  <c r="AH26" i="7"/>
  <c r="AH64" i="7"/>
  <c r="AI25" i="7"/>
  <c r="AI63" i="7"/>
  <c r="P100" i="7"/>
  <c r="P62" i="7"/>
  <c r="P119" i="7" s="1"/>
  <c r="V94" i="7"/>
  <c r="V56" i="7"/>
  <c r="V113" i="7" s="1"/>
  <c r="Q99" i="7"/>
  <c r="Q61" i="7"/>
  <c r="Q118" i="7" s="1"/>
  <c r="R98" i="7"/>
  <c r="R60" i="7"/>
  <c r="R117" i="7" s="1"/>
  <c r="T96" i="7"/>
  <c r="T58" i="7"/>
  <c r="T115" i="7" s="1"/>
  <c r="U95" i="7"/>
  <c r="U57" i="7"/>
  <c r="U114" i="7" s="1"/>
  <c r="AA89" i="7"/>
  <c r="AA51" i="7"/>
  <c r="AA108" i="7" s="1"/>
  <c r="W93" i="7"/>
  <c r="W55" i="7"/>
  <c r="W112" i="7" s="1"/>
  <c r="X92" i="7"/>
  <c r="X54" i="7"/>
  <c r="X111" i="7" s="1"/>
  <c r="Y91" i="7"/>
  <c r="Y53" i="7"/>
  <c r="Y110" i="7" s="1"/>
  <c r="Z90" i="7"/>
  <c r="Z52" i="7"/>
  <c r="Z109" i="7" s="1"/>
  <c r="S59" i="7"/>
  <c r="S116" i="7" s="1"/>
  <c r="S97" i="7"/>
  <c r="V38" i="7"/>
  <c r="V76" i="7"/>
  <c r="Q43" i="7"/>
  <c r="Q81" i="7"/>
  <c r="AA33" i="7"/>
  <c r="AA71" i="7"/>
  <c r="W37" i="7"/>
  <c r="W75" i="7"/>
  <c r="X36" i="7"/>
  <c r="X74" i="7"/>
  <c r="Y35" i="7"/>
  <c r="Y73" i="7"/>
  <c r="Z34" i="7"/>
  <c r="Z72" i="7"/>
  <c r="S41" i="7"/>
  <c r="S23" i="7"/>
  <c r="S80" i="7" s="1"/>
  <c r="R42" i="7"/>
  <c r="R24" i="7"/>
  <c r="T40" i="7"/>
  <c r="T22" i="7"/>
  <c r="T79" i="7" s="1"/>
  <c r="U39" i="7"/>
  <c r="U21" i="7"/>
  <c r="U78" i="7" s="1"/>
  <c r="V20" i="7"/>
  <c r="AA15" i="7"/>
  <c r="AA72" i="7" s="1"/>
  <c r="AB14" i="7"/>
  <c r="AC13" i="7"/>
  <c r="AF10" i="7"/>
  <c r="W19" i="7"/>
  <c r="X18" i="7"/>
  <c r="Y17" i="7"/>
  <c r="Z16" i="7"/>
  <c r="AD12" i="7"/>
  <c r="AE11" i="7"/>
  <c r="AG9" i="7"/>
  <c r="AH8" i="7"/>
  <c r="AI7" i="7"/>
  <c r="AJ6" i="7"/>
  <c r="AB89" i="7" l="1"/>
  <c r="AB51" i="7"/>
  <c r="AB108" i="7" s="1"/>
  <c r="AC88" i="7"/>
  <c r="AC50" i="7"/>
  <c r="AC107" i="7" s="1"/>
  <c r="AF85" i="7"/>
  <c r="AF47" i="7"/>
  <c r="AF104" i="7" s="1"/>
  <c r="AD87" i="7"/>
  <c r="AD49" i="7"/>
  <c r="AD106" i="7" s="1"/>
  <c r="AE86" i="7"/>
  <c r="AE48" i="7"/>
  <c r="AE105" i="7" s="1"/>
  <c r="AG84" i="7"/>
  <c r="AG46" i="7"/>
  <c r="AG103" i="7" s="1"/>
  <c r="AH83" i="7"/>
  <c r="AH45" i="7"/>
  <c r="AH102" i="7" s="1"/>
  <c r="AI82" i="7"/>
  <c r="AI44" i="7"/>
  <c r="AI101" i="7" s="1"/>
  <c r="AB33" i="7"/>
  <c r="AB71" i="7"/>
  <c r="AC32" i="7"/>
  <c r="AC70" i="7"/>
  <c r="AF29" i="7"/>
  <c r="AF67" i="7"/>
  <c r="AD31" i="7"/>
  <c r="AD69" i="7"/>
  <c r="AE30" i="7"/>
  <c r="AE68" i="7"/>
  <c r="AG28" i="7"/>
  <c r="AG66" i="7"/>
  <c r="AH27" i="7"/>
  <c r="AH65" i="7"/>
  <c r="AI26" i="7"/>
  <c r="AI64" i="7"/>
  <c r="AJ25" i="7"/>
  <c r="AJ63" i="7"/>
  <c r="V95" i="7"/>
  <c r="V57" i="7"/>
  <c r="V114" i="7" s="1"/>
  <c r="Q100" i="7"/>
  <c r="Q62" i="7"/>
  <c r="Q119" i="7" s="1"/>
  <c r="AA90" i="7"/>
  <c r="AA52" i="7"/>
  <c r="AA109" i="7" s="1"/>
  <c r="W94" i="7"/>
  <c r="W56" i="7"/>
  <c r="W113" i="7" s="1"/>
  <c r="X93" i="7"/>
  <c r="X55" i="7"/>
  <c r="X112" i="7" s="1"/>
  <c r="Y92" i="7"/>
  <c r="Y54" i="7"/>
  <c r="Y111" i="7" s="1"/>
  <c r="Z91" i="7"/>
  <c r="Z53" i="7"/>
  <c r="Z110" i="7" s="1"/>
  <c r="S60" i="7"/>
  <c r="S117" i="7" s="1"/>
  <c r="S98" i="7"/>
  <c r="R61" i="7"/>
  <c r="R118" i="7" s="1"/>
  <c r="R99" i="7"/>
  <c r="R43" i="7"/>
  <c r="R81" i="7"/>
  <c r="T59" i="7"/>
  <c r="T116" i="7" s="1"/>
  <c r="T97" i="7"/>
  <c r="U58" i="7"/>
  <c r="U115" i="7" s="1"/>
  <c r="U96" i="7"/>
  <c r="V39" i="7"/>
  <c r="V77" i="7"/>
  <c r="W38" i="7"/>
  <c r="W76" i="7"/>
  <c r="X37" i="7"/>
  <c r="X75" i="7"/>
  <c r="Y36" i="7"/>
  <c r="Y74" i="7"/>
  <c r="Z35" i="7"/>
  <c r="Z73" i="7"/>
  <c r="S42" i="7"/>
  <c r="S24" i="7"/>
  <c r="T41" i="7"/>
  <c r="T23" i="7"/>
  <c r="T80" i="7" s="1"/>
  <c r="U40" i="7"/>
  <c r="U22" i="7"/>
  <c r="U79" i="7" s="1"/>
  <c r="AA34" i="7"/>
  <c r="AA16" i="7"/>
  <c r="AA73" i="7" s="1"/>
  <c r="V21" i="7"/>
  <c r="AC14" i="7"/>
  <c r="AB15" i="7"/>
  <c r="AF11" i="7"/>
  <c r="AI8" i="7"/>
  <c r="AD13" i="7"/>
  <c r="AG10" i="7"/>
  <c r="AH9" i="7"/>
  <c r="W20" i="7"/>
  <c r="X19" i="7"/>
  <c r="Y18" i="7"/>
  <c r="Z17" i="7"/>
  <c r="AE12" i="7"/>
  <c r="AJ7" i="7"/>
  <c r="AB90" i="7" l="1"/>
  <c r="AB52" i="7"/>
  <c r="AB109" i="7" s="1"/>
  <c r="AC89" i="7"/>
  <c r="AC51" i="7"/>
  <c r="AC108" i="7" s="1"/>
  <c r="AF86" i="7"/>
  <c r="AF48" i="7"/>
  <c r="AF105" i="7" s="1"/>
  <c r="AD88" i="7"/>
  <c r="AD50" i="7"/>
  <c r="AD107" i="7" s="1"/>
  <c r="AE87" i="7"/>
  <c r="AE49" i="7"/>
  <c r="AE106" i="7" s="1"/>
  <c r="AG85" i="7"/>
  <c r="AG47" i="7"/>
  <c r="AG104" i="7" s="1"/>
  <c r="AH84" i="7"/>
  <c r="AH46" i="7"/>
  <c r="AH103" i="7" s="1"/>
  <c r="AI83" i="7"/>
  <c r="AI45" i="7"/>
  <c r="AI102" i="7" s="1"/>
  <c r="AJ82" i="7"/>
  <c r="AJ44" i="7"/>
  <c r="AJ101" i="7" s="1"/>
  <c r="AC33" i="7"/>
  <c r="AC71" i="7"/>
  <c r="AB34" i="7"/>
  <c r="AB72" i="7"/>
  <c r="AF30" i="7"/>
  <c r="AF68" i="7"/>
  <c r="AI27" i="7"/>
  <c r="AI65" i="7"/>
  <c r="AD32" i="7"/>
  <c r="AD70" i="7"/>
  <c r="AG29" i="7"/>
  <c r="AG67" i="7"/>
  <c r="AH28" i="7"/>
  <c r="AH66" i="7"/>
  <c r="AE31" i="7"/>
  <c r="AE69" i="7"/>
  <c r="AJ26" i="7"/>
  <c r="AJ64" i="7"/>
  <c r="R100" i="7"/>
  <c r="R62" i="7"/>
  <c r="R119" i="7" s="1"/>
  <c r="V96" i="7"/>
  <c r="V58" i="7"/>
  <c r="V115" i="7" s="1"/>
  <c r="W95" i="7"/>
  <c r="W57" i="7"/>
  <c r="W114" i="7" s="1"/>
  <c r="X94" i="7"/>
  <c r="X56" i="7"/>
  <c r="X113" i="7" s="1"/>
  <c r="Y93" i="7"/>
  <c r="Y55" i="7"/>
  <c r="Y112" i="7" s="1"/>
  <c r="Z92" i="7"/>
  <c r="Z54" i="7"/>
  <c r="Z111" i="7" s="1"/>
  <c r="S61" i="7"/>
  <c r="S118" i="7" s="1"/>
  <c r="S99" i="7"/>
  <c r="S43" i="7"/>
  <c r="S81" i="7"/>
  <c r="T60" i="7"/>
  <c r="T117" i="7" s="1"/>
  <c r="T98" i="7"/>
  <c r="U59" i="7"/>
  <c r="U116" i="7" s="1"/>
  <c r="U97" i="7"/>
  <c r="AA53" i="7"/>
  <c r="AA110" i="7" s="1"/>
  <c r="AA91" i="7"/>
  <c r="V40" i="7"/>
  <c r="V78" i="7"/>
  <c r="W39" i="7"/>
  <c r="W77" i="7"/>
  <c r="X38" i="7"/>
  <c r="X76" i="7"/>
  <c r="Y37" i="7"/>
  <c r="Y75" i="7"/>
  <c r="Z36" i="7"/>
  <c r="Z74" i="7"/>
  <c r="T42" i="7"/>
  <c r="T24" i="7"/>
  <c r="U41" i="7"/>
  <c r="U23" i="7"/>
  <c r="U80" i="7" s="1"/>
  <c r="AA35" i="7"/>
  <c r="AA17" i="7"/>
  <c r="AA74" i="7" s="1"/>
  <c r="V22" i="7"/>
  <c r="V79" i="7" s="1"/>
  <c r="AC15" i="7"/>
  <c r="AC72" i="7" s="1"/>
  <c r="AB16" i="7"/>
  <c r="AD14" i="7"/>
  <c r="AF12" i="7"/>
  <c r="AH10" i="7"/>
  <c r="AE13" i="7"/>
  <c r="AI9" i="7"/>
  <c r="AG11" i="7"/>
  <c r="W21" i="7"/>
  <c r="X20" i="7"/>
  <c r="Y19" i="7"/>
  <c r="Z18" i="7"/>
  <c r="AJ8" i="7"/>
  <c r="AC90" i="7" l="1"/>
  <c r="AC52" i="7"/>
  <c r="AC109" i="7" s="1"/>
  <c r="AB91" i="7"/>
  <c r="AB53" i="7"/>
  <c r="AB110" i="7" s="1"/>
  <c r="AF87" i="7"/>
  <c r="AF49" i="7"/>
  <c r="AF106" i="7" s="1"/>
  <c r="AI84" i="7"/>
  <c r="AI46" i="7"/>
  <c r="AI103" i="7" s="1"/>
  <c r="AD89" i="7"/>
  <c r="AD51" i="7"/>
  <c r="AD108" i="7" s="1"/>
  <c r="AG86" i="7"/>
  <c r="AG48" i="7"/>
  <c r="AG105" i="7" s="1"/>
  <c r="AH85" i="7"/>
  <c r="AH47" i="7"/>
  <c r="AH104" i="7" s="1"/>
  <c r="AE88" i="7"/>
  <c r="AE50" i="7"/>
  <c r="AE107" i="7" s="1"/>
  <c r="AJ83" i="7"/>
  <c r="AJ45" i="7"/>
  <c r="AJ102" i="7" s="1"/>
  <c r="AB35" i="7"/>
  <c r="AB73" i="7"/>
  <c r="AD33" i="7"/>
  <c r="AD71" i="7"/>
  <c r="AF31" i="7"/>
  <c r="AF69" i="7"/>
  <c r="AH29" i="7"/>
  <c r="AH67" i="7"/>
  <c r="AE32" i="7"/>
  <c r="AE70" i="7"/>
  <c r="AI28" i="7"/>
  <c r="AI66" i="7"/>
  <c r="AG30" i="7"/>
  <c r="AG68" i="7"/>
  <c r="AJ27" i="7"/>
  <c r="AJ65" i="7"/>
  <c r="S100" i="7"/>
  <c r="S62" i="7"/>
  <c r="S119" i="7" s="1"/>
  <c r="V97" i="7"/>
  <c r="V59" i="7"/>
  <c r="V116" i="7" s="1"/>
  <c r="W96" i="7"/>
  <c r="W58" i="7"/>
  <c r="W115" i="7" s="1"/>
  <c r="X95" i="7"/>
  <c r="X57" i="7"/>
  <c r="X114" i="7" s="1"/>
  <c r="Y94" i="7"/>
  <c r="Y56" i="7"/>
  <c r="Y113" i="7" s="1"/>
  <c r="Z93" i="7"/>
  <c r="Z55" i="7"/>
  <c r="Z112" i="7" s="1"/>
  <c r="T61" i="7"/>
  <c r="T118" i="7" s="1"/>
  <c r="T99" i="7"/>
  <c r="T43" i="7"/>
  <c r="T81" i="7"/>
  <c r="U60" i="7"/>
  <c r="U117" i="7" s="1"/>
  <c r="U98" i="7"/>
  <c r="AA54" i="7"/>
  <c r="AA111" i="7" s="1"/>
  <c r="AA92" i="7"/>
  <c r="W40" i="7"/>
  <c r="W78" i="7"/>
  <c r="X39" i="7"/>
  <c r="X77" i="7"/>
  <c r="Y38" i="7"/>
  <c r="Y76" i="7"/>
  <c r="Z37" i="7"/>
  <c r="Z75" i="7"/>
  <c r="U42" i="7"/>
  <c r="U24" i="7"/>
  <c r="AA36" i="7"/>
  <c r="AA18" i="7"/>
  <c r="AA75" i="7" s="1"/>
  <c r="V23" i="7"/>
  <c r="V80" i="7" s="1"/>
  <c r="V41" i="7"/>
  <c r="AC16" i="7"/>
  <c r="AC73" i="7" s="1"/>
  <c r="AC34" i="7"/>
  <c r="AB17" i="7"/>
  <c r="AD15" i="7"/>
  <c r="AH11" i="7"/>
  <c r="AF13" i="7"/>
  <c r="AE14" i="7"/>
  <c r="AI10" i="7"/>
  <c r="AG12" i="7"/>
  <c r="W22" i="7"/>
  <c r="X21" i="7"/>
  <c r="Y20" i="7"/>
  <c r="Z19" i="7"/>
  <c r="AJ9" i="7"/>
  <c r="AB92" i="7" l="1"/>
  <c r="AB54" i="7"/>
  <c r="AB111" i="7" s="1"/>
  <c r="AD90" i="7"/>
  <c r="AD52" i="7"/>
  <c r="AD109" i="7" s="1"/>
  <c r="AF88" i="7"/>
  <c r="AF50" i="7"/>
  <c r="AF107" i="7" s="1"/>
  <c r="AH86" i="7"/>
  <c r="AH48" i="7"/>
  <c r="AH105" i="7" s="1"/>
  <c r="AE89" i="7"/>
  <c r="AE51" i="7"/>
  <c r="AE108" i="7" s="1"/>
  <c r="AI85" i="7"/>
  <c r="AI47" i="7"/>
  <c r="AI104" i="7" s="1"/>
  <c r="AG87" i="7"/>
  <c r="AG49" i="7"/>
  <c r="AG106" i="7" s="1"/>
  <c r="AJ84" i="7"/>
  <c r="AJ46" i="7"/>
  <c r="AJ103" i="7" s="1"/>
  <c r="AC53" i="7"/>
  <c r="AC110" i="7" s="1"/>
  <c r="AC91" i="7"/>
  <c r="AB36" i="7"/>
  <c r="AB74" i="7"/>
  <c r="AD34" i="7"/>
  <c r="AD72" i="7"/>
  <c r="AH30" i="7"/>
  <c r="AH68" i="7"/>
  <c r="AF32" i="7"/>
  <c r="AF70" i="7"/>
  <c r="AE33" i="7"/>
  <c r="AE71" i="7"/>
  <c r="AI29" i="7"/>
  <c r="AI67" i="7"/>
  <c r="AG31" i="7"/>
  <c r="AG69" i="7"/>
  <c r="AJ28" i="7"/>
  <c r="AJ66" i="7"/>
  <c r="T100" i="7"/>
  <c r="T62" i="7"/>
  <c r="T119" i="7" s="1"/>
  <c r="W97" i="7"/>
  <c r="W59" i="7"/>
  <c r="W116" i="7" s="1"/>
  <c r="X96" i="7"/>
  <c r="X58" i="7"/>
  <c r="X115" i="7" s="1"/>
  <c r="Y95" i="7"/>
  <c r="Y57" i="7"/>
  <c r="Y114" i="7" s="1"/>
  <c r="Z94" i="7"/>
  <c r="Z56" i="7"/>
  <c r="Z113" i="7" s="1"/>
  <c r="U61" i="7"/>
  <c r="U118" i="7" s="1"/>
  <c r="U99" i="7"/>
  <c r="U43" i="7"/>
  <c r="U81" i="7"/>
  <c r="AA55" i="7"/>
  <c r="AA112" i="7" s="1"/>
  <c r="AA93" i="7"/>
  <c r="V60" i="7"/>
  <c r="V117" i="7" s="1"/>
  <c r="V98" i="7"/>
  <c r="W41" i="7"/>
  <c r="W79" i="7"/>
  <c r="X40" i="7"/>
  <c r="X78" i="7"/>
  <c r="Y39" i="7"/>
  <c r="Y77" i="7"/>
  <c r="Z38" i="7"/>
  <c r="Z76" i="7"/>
  <c r="AA37" i="7"/>
  <c r="AA19" i="7"/>
  <c r="AA76" i="7" s="1"/>
  <c r="V42" i="7"/>
  <c r="V24" i="7"/>
  <c r="AC35" i="7"/>
  <c r="AC17" i="7"/>
  <c r="AC74" i="7" s="1"/>
  <c r="AB18" i="7"/>
  <c r="AE15" i="7"/>
  <c r="AD16" i="7"/>
  <c r="AH12" i="7"/>
  <c r="AF14" i="7"/>
  <c r="AI11" i="7"/>
  <c r="AG13" i="7"/>
  <c r="W23" i="7"/>
  <c r="X22" i="7"/>
  <c r="Y21" i="7"/>
  <c r="Z20" i="7"/>
  <c r="AJ10" i="7"/>
  <c r="AB93" i="7" l="1"/>
  <c r="AB55" i="7"/>
  <c r="AB112" i="7" s="1"/>
  <c r="AD91" i="7"/>
  <c r="AD53" i="7"/>
  <c r="AD110" i="7" s="1"/>
  <c r="AH87" i="7"/>
  <c r="AH49" i="7"/>
  <c r="AH106" i="7" s="1"/>
  <c r="AF89" i="7"/>
  <c r="AF51" i="7"/>
  <c r="AF108" i="7" s="1"/>
  <c r="AE90" i="7"/>
  <c r="AE52" i="7"/>
  <c r="AE109" i="7" s="1"/>
  <c r="AI86" i="7"/>
  <c r="AI48" i="7"/>
  <c r="AI105" i="7" s="1"/>
  <c r="AG88" i="7"/>
  <c r="AG50" i="7"/>
  <c r="AG107" i="7" s="1"/>
  <c r="AJ85" i="7"/>
  <c r="AJ47" i="7"/>
  <c r="AJ104" i="7" s="1"/>
  <c r="AC54" i="7"/>
  <c r="AC111" i="7" s="1"/>
  <c r="AC92" i="7"/>
  <c r="AB37" i="7"/>
  <c r="AB75" i="7"/>
  <c r="AE34" i="7"/>
  <c r="AE72" i="7"/>
  <c r="AD35" i="7"/>
  <c r="AD73" i="7"/>
  <c r="AH31" i="7"/>
  <c r="AH69" i="7"/>
  <c r="AF33" i="7"/>
  <c r="AF71" i="7"/>
  <c r="AI30" i="7"/>
  <c r="AI68" i="7"/>
  <c r="AG32" i="7"/>
  <c r="AG70" i="7"/>
  <c r="AJ29" i="7"/>
  <c r="AJ67" i="7"/>
  <c r="U100" i="7"/>
  <c r="U62" i="7"/>
  <c r="U119" i="7" s="1"/>
  <c r="W98" i="7"/>
  <c r="W60" i="7"/>
  <c r="W117" i="7" s="1"/>
  <c r="X97" i="7"/>
  <c r="X59" i="7"/>
  <c r="X116" i="7" s="1"/>
  <c r="Y96" i="7"/>
  <c r="Y58" i="7"/>
  <c r="Y115" i="7" s="1"/>
  <c r="Z95" i="7"/>
  <c r="Z57" i="7"/>
  <c r="Z114" i="7" s="1"/>
  <c r="AA56" i="7"/>
  <c r="AA113" i="7" s="1"/>
  <c r="AA94" i="7"/>
  <c r="V61" i="7"/>
  <c r="V118" i="7" s="1"/>
  <c r="V99" i="7"/>
  <c r="V43" i="7"/>
  <c r="V81" i="7"/>
  <c r="W42" i="7"/>
  <c r="W80" i="7"/>
  <c r="X41" i="7"/>
  <c r="X79" i="7"/>
  <c r="Y40" i="7"/>
  <c r="Y78" i="7"/>
  <c r="Z39" i="7"/>
  <c r="Z77" i="7"/>
  <c r="AA38" i="7"/>
  <c r="AA20" i="7"/>
  <c r="AA77" i="7" s="1"/>
  <c r="AC36" i="7"/>
  <c r="AC18" i="7"/>
  <c r="AC75" i="7" s="1"/>
  <c r="AB19" i="7"/>
  <c r="AE16" i="7"/>
  <c r="AD17" i="7"/>
  <c r="AH13" i="7"/>
  <c r="AF15" i="7"/>
  <c r="AI12" i="7"/>
  <c r="Y22" i="7"/>
  <c r="AG14" i="7"/>
  <c r="Z21" i="7"/>
  <c r="W24" i="7"/>
  <c r="X23" i="7"/>
  <c r="AJ11" i="7"/>
  <c r="AB94" i="7" l="1"/>
  <c r="AB56" i="7"/>
  <c r="AB113" i="7" s="1"/>
  <c r="AE91" i="7"/>
  <c r="AE53" i="7"/>
  <c r="AE110" i="7" s="1"/>
  <c r="AD92" i="7"/>
  <c r="AD54" i="7"/>
  <c r="AD111" i="7" s="1"/>
  <c r="AH88" i="7"/>
  <c r="AH50" i="7"/>
  <c r="AH107" i="7" s="1"/>
  <c r="AF90" i="7"/>
  <c r="AF52" i="7"/>
  <c r="AF109" i="7" s="1"/>
  <c r="AI87" i="7"/>
  <c r="AI49" i="7"/>
  <c r="AI106" i="7" s="1"/>
  <c r="AG89" i="7"/>
  <c r="AG51" i="7"/>
  <c r="AG108" i="7" s="1"/>
  <c r="AJ86" i="7"/>
  <c r="AJ48" i="7"/>
  <c r="AJ105" i="7" s="1"/>
  <c r="AC55" i="7"/>
  <c r="AC112" i="7" s="1"/>
  <c r="AC93" i="7"/>
  <c r="AB38" i="7"/>
  <c r="AB76" i="7"/>
  <c r="AE35" i="7"/>
  <c r="AE73" i="7"/>
  <c r="AD36" i="7"/>
  <c r="AD74" i="7"/>
  <c r="AH32" i="7"/>
  <c r="AH70" i="7"/>
  <c r="AF34" i="7"/>
  <c r="AF72" i="7"/>
  <c r="AI31" i="7"/>
  <c r="AI69" i="7"/>
  <c r="AG33" i="7"/>
  <c r="AG71" i="7"/>
  <c r="AJ30" i="7"/>
  <c r="AJ68" i="7"/>
  <c r="V100" i="7"/>
  <c r="V62" i="7"/>
  <c r="V119" i="7" s="1"/>
  <c r="W99" i="7"/>
  <c r="W61" i="7"/>
  <c r="W118" i="7" s="1"/>
  <c r="X98" i="7"/>
  <c r="X60" i="7"/>
  <c r="X117" i="7" s="1"/>
  <c r="Y97" i="7"/>
  <c r="Y59" i="7"/>
  <c r="Y116" i="7" s="1"/>
  <c r="Z96" i="7"/>
  <c r="Z58" i="7"/>
  <c r="Z115" i="7" s="1"/>
  <c r="AA57" i="7"/>
  <c r="AA114" i="7" s="1"/>
  <c r="AA95" i="7"/>
  <c r="Y41" i="7"/>
  <c r="Y79" i="7"/>
  <c r="Z40" i="7"/>
  <c r="Z78" i="7"/>
  <c r="W43" i="7"/>
  <c r="W81" i="7"/>
  <c r="X42" i="7"/>
  <c r="X80" i="7"/>
  <c r="AA39" i="7"/>
  <c r="AA21" i="7"/>
  <c r="AA78" i="7" s="1"/>
  <c r="AC37" i="7"/>
  <c r="AC19" i="7"/>
  <c r="AC76" i="7" s="1"/>
  <c r="AB20" i="7"/>
  <c r="AB77" i="7" s="1"/>
  <c r="AE17" i="7"/>
  <c r="AE74" i="7" s="1"/>
  <c r="AD18" i="7"/>
  <c r="AH14" i="7"/>
  <c r="AF16" i="7"/>
  <c r="AI13" i="7"/>
  <c r="Y23" i="7"/>
  <c r="Z22" i="7"/>
  <c r="AG15" i="7"/>
  <c r="X24" i="7"/>
  <c r="AJ12" i="7"/>
  <c r="AB95" i="7" l="1"/>
  <c r="AB57" i="7"/>
  <c r="AB114" i="7" s="1"/>
  <c r="AE92" i="7"/>
  <c r="AE54" i="7"/>
  <c r="AE111" i="7" s="1"/>
  <c r="AD93" i="7"/>
  <c r="AD55" i="7"/>
  <c r="AD112" i="7" s="1"/>
  <c r="AH89" i="7"/>
  <c r="AH51" i="7"/>
  <c r="AH108" i="7" s="1"/>
  <c r="AF91" i="7"/>
  <c r="AF53" i="7"/>
  <c r="AF110" i="7" s="1"/>
  <c r="AI88" i="7"/>
  <c r="AI50" i="7"/>
  <c r="AI107" i="7" s="1"/>
  <c r="AG90" i="7"/>
  <c r="AG52" i="7"/>
  <c r="AG109" i="7" s="1"/>
  <c r="AJ87" i="7"/>
  <c r="AJ49" i="7"/>
  <c r="AJ106" i="7" s="1"/>
  <c r="AC56" i="7"/>
  <c r="AC113" i="7" s="1"/>
  <c r="AC94" i="7"/>
  <c r="AD37" i="7"/>
  <c r="AD75" i="7"/>
  <c r="AH33" i="7"/>
  <c r="AH71" i="7"/>
  <c r="AF35" i="7"/>
  <c r="AF73" i="7"/>
  <c r="AI32" i="7"/>
  <c r="AI70" i="7"/>
  <c r="AG34" i="7"/>
  <c r="AG72" i="7"/>
  <c r="AJ31" i="7"/>
  <c r="AJ69" i="7"/>
  <c r="Y98" i="7"/>
  <c r="Y60" i="7"/>
  <c r="Y117" i="7" s="1"/>
  <c r="Z97" i="7"/>
  <c r="Z59" i="7"/>
  <c r="Z116" i="7" s="1"/>
  <c r="W100" i="7"/>
  <c r="W62" i="7"/>
  <c r="W119" i="7" s="1"/>
  <c r="X99" i="7"/>
  <c r="X61" i="7"/>
  <c r="X118" i="7" s="1"/>
  <c r="AA58" i="7"/>
  <c r="AA115" i="7" s="1"/>
  <c r="AA96" i="7"/>
  <c r="Y42" i="7"/>
  <c r="Y80" i="7"/>
  <c r="Z41" i="7"/>
  <c r="Z79" i="7"/>
  <c r="X43" i="7"/>
  <c r="X81" i="7"/>
  <c r="AA40" i="7"/>
  <c r="AA22" i="7"/>
  <c r="AA79" i="7" s="1"/>
  <c r="AC38" i="7"/>
  <c r="AC20" i="7"/>
  <c r="AC77" i="7" s="1"/>
  <c r="AB21" i="7"/>
  <c r="AB78" i="7" s="1"/>
  <c r="AB39" i="7"/>
  <c r="AE18" i="7"/>
  <c r="AE75" i="7" s="1"/>
  <c r="AE36" i="7"/>
  <c r="AD19" i="7"/>
  <c r="AF17" i="7"/>
  <c r="AI14" i="7"/>
  <c r="Y24" i="7"/>
  <c r="AH15" i="7"/>
  <c r="Z23" i="7"/>
  <c r="AG16" i="7"/>
  <c r="AJ13" i="7"/>
  <c r="AD94" i="7" l="1"/>
  <c r="AD56" i="7"/>
  <c r="AD113" i="7" s="1"/>
  <c r="AH90" i="7"/>
  <c r="AH52" i="7"/>
  <c r="AH109" i="7" s="1"/>
  <c r="AF92" i="7"/>
  <c r="AF54" i="7"/>
  <c r="AF111" i="7" s="1"/>
  <c r="AI89" i="7"/>
  <c r="AI51" i="7"/>
  <c r="AI108" i="7" s="1"/>
  <c r="AG91" i="7"/>
  <c r="AG53" i="7"/>
  <c r="AG110" i="7" s="1"/>
  <c r="AJ88" i="7"/>
  <c r="AJ50" i="7"/>
  <c r="AJ107" i="7" s="1"/>
  <c r="AC57" i="7"/>
  <c r="AC114" i="7" s="1"/>
  <c r="AC95" i="7"/>
  <c r="AB58" i="7"/>
  <c r="AB115" i="7" s="1"/>
  <c r="AB96" i="7"/>
  <c r="AE55" i="7"/>
  <c r="AE112" i="7" s="1"/>
  <c r="AE93" i="7"/>
  <c r="AD38" i="7"/>
  <c r="AD76" i="7"/>
  <c r="AF36" i="7"/>
  <c r="AF74" i="7"/>
  <c r="AI33" i="7"/>
  <c r="AI71" i="7"/>
  <c r="AH34" i="7"/>
  <c r="AH72" i="7"/>
  <c r="AG35" i="7"/>
  <c r="AG73" i="7"/>
  <c r="AJ32" i="7"/>
  <c r="AJ70" i="7"/>
  <c r="Y99" i="7"/>
  <c r="Y61" i="7"/>
  <c r="Y118" i="7" s="1"/>
  <c r="Z98" i="7"/>
  <c r="Z60" i="7"/>
  <c r="Z117" i="7" s="1"/>
  <c r="X100" i="7"/>
  <c r="X62" i="7"/>
  <c r="X119" i="7" s="1"/>
  <c r="AA59" i="7"/>
  <c r="AA116" i="7" s="1"/>
  <c r="AA97" i="7"/>
  <c r="Y43" i="7"/>
  <c r="Y81" i="7"/>
  <c r="Z42" i="7"/>
  <c r="Z80" i="7"/>
  <c r="AA41" i="7"/>
  <c r="AA23" i="7"/>
  <c r="AA80" i="7" s="1"/>
  <c r="AC39" i="7"/>
  <c r="AC21" i="7"/>
  <c r="AC78" i="7" s="1"/>
  <c r="AB40" i="7"/>
  <c r="AB22" i="7"/>
  <c r="AB79" i="7" s="1"/>
  <c r="AE37" i="7"/>
  <c r="AE19" i="7"/>
  <c r="AE76" i="7" s="1"/>
  <c r="AD20" i="7"/>
  <c r="AD77" i="7" s="1"/>
  <c r="AF18" i="7"/>
  <c r="AF75" i="7" s="1"/>
  <c r="AG17" i="7"/>
  <c r="AG74" i="7" s="1"/>
  <c r="AI15" i="7"/>
  <c r="AH16" i="7"/>
  <c r="Z24" i="7"/>
  <c r="AJ14" i="7"/>
  <c r="AD95" i="7" l="1"/>
  <c r="AD57" i="7"/>
  <c r="AD114" i="7" s="1"/>
  <c r="AF93" i="7"/>
  <c r="AF55" i="7"/>
  <c r="AF112" i="7" s="1"/>
  <c r="AI90" i="7"/>
  <c r="AI52" i="7"/>
  <c r="AI109" i="7" s="1"/>
  <c r="AH91" i="7"/>
  <c r="AH53" i="7"/>
  <c r="AH110" i="7" s="1"/>
  <c r="AG92" i="7"/>
  <c r="AG54" i="7"/>
  <c r="AG111" i="7" s="1"/>
  <c r="AJ89" i="7"/>
  <c r="AJ51" i="7"/>
  <c r="AJ108" i="7" s="1"/>
  <c r="AC58" i="7"/>
  <c r="AC115" i="7" s="1"/>
  <c r="AC96" i="7"/>
  <c r="AB59" i="7"/>
  <c r="AB116" i="7" s="1"/>
  <c r="AB97" i="7"/>
  <c r="AE56" i="7"/>
  <c r="AE113" i="7" s="1"/>
  <c r="AE94" i="7"/>
  <c r="AI34" i="7"/>
  <c r="AI72" i="7"/>
  <c r="AH35" i="7"/>
  <c r="AH73" i="7"/>
  <c r="AJ33" i="7"/>
  <c r="AJ71" i="7"/>
  <c r="Y100" i="7"/>
  <c r="Y62" i="7"/>
  <c r="Y119" i="7" s="1"/>
  <c r="Z99" i="7"/>
  <c r="Z61" i="7"/>
  <c r="Z118" i="7" s="1"/>
  <c r="AA60" i="7"/>
  <c r="AA117" i="7" s="1"/>
  <c r="AA98" i="7"/>
  <c r="Z43" i="7"/>
  <c r="Z81" i="7"/>
  <c r="AA42" i="7"/>
  <c r="AA24" i="7"/>
  <c r="AC40" i="7"/>
  <c r="AC22" i="7"/>
  <c r="AC79" i="7" s="1"/>
  <c r="AB41" i="7"/>
  <c r="AB23" i="7"/>
  <c r="AB80" i="7" s="1"/>
  <c r="AG36" i="7"/>
  <c r="AG18" i="7"/>
  <c r="AG75" i="7" s="1"/>
  <c r="AE38" i="7"/>
  <c r="AE20" i="7"/>
  <c r="AE77" i="7" s="1"/>
  <c r="AD21" i="7"/>
  <c r="AD78" i="7" s="1"/>
  <c r="AD39" i="7"/>
  <c r="AF19" i="7"/>
  <c r="AF76" i="7" s="1"/>
  <c r="AF37" i="7"/>
  <c r="AI16" i="7"/>
  <c r="AH17" i="7"/>
  <c r="AJ15" i="7"/>
  <c r="AI91" i="7" l="1"/>
  <c r="AI53" i="7"/>
  <c r="AI110" i="7" s="1"/>
  <c r="AH92" i="7"/>
  <c r="AH54" i="7"/>
  <c r="AH111" i="7" s="1"/>
  <c r="AJ90" i="7"/>
  <c r="AJ52" i="7"/>
  <c r="AJ109" i="7" s="1"/>
  <c r="AC59" i="7"/>
  <c r="AC116" i="7" s="1"/>
  <c r="AC97" i="7"/>
  <c r="AB60" i="7"/>
  <c r="AB117" i="7" s="1"/>
  <c r="AB98" i="7"/>
  <c r="AG55" i="7"/>
  <c r="AG112" i="7" s="1"/>
  <c r="AG93" i="7"/>
  <c r="AE57" i="7"/>
  <c r="AE114" i="7" s="1"/>
  <c r="AE95" i="7"/>
  <c r="AD58" i="7"/>
  <c r="AD115" i="7" s="1"/>
  <c r="AD96" i="7"/>
  <c r="AF56" i="7"/>
  <c r="AF113" i="7" s="1"/>
  <c r="AF94" i="7"/>
  <c r="AI35" i="7"/>
  <c r="AI73" i="7"/>
  <c r="AH36" i="7"/>
  <c r="AH74" i="7"/>
  <c r="AJ34" i="7"/>
  <c r="AJ72" i="7"/>
  <c r="Z100" i="7"/>
  <c r="Z62" i="7"/>
  <c r="Z119" i="7" s="1"/>
  <c r="AA61" i="7"/>
  <c r="AA118" i="7" s="1"/>
  <c r="AA99" i="7"/>
  <c r="AA43" i="7"/>
  <c r="AA81" i="7"/>
  <c r="AB42" i="7"/>
  <c r="AB24" i="7"/>
  <c r="AG37" i="7"/>
  <c r="AG19" i="7"/>
  <c r="AG76" i="7" s="1"/>
  <c r="AC41" i="7"/>
  <c r="AC23" i="7"/>
  <c r="AC80" i="7" s="1"/>
  <c r="AE39" i="7"/>
  <c r="AE21" i="7"/>
  <c r="AE78" i="7" s="1"/>
  <c r="AD40" i="7"/>
  <c r="AD22" i="7"/>
  <c r="AD79" i="7" s="1"/>
  <c r="AF38" i="7"/>
  <c r="AF20" i="7"/>
  <c r="AF77" i="7" s="1"/>
  <c r="AI17" i="7"/>
  <c r="AH18" i="7"/>
  <c r="AJ16" i="7"/>
  <c r="AI92" i="7" l="1"/>
  <c r="AI54" i="7"/>
  <c r="AI111" i="7" s="1"/>
  <c r="AH93" i="7"/>
  <c r="AH55" i="7"/>
  <c r="AH112" i="7" s="1"/>
  <c r="AJ91" i="7"/>
  <c r="AJ53" i="7"/>
  <c r="AJ110" i="7" s="1"/>
  <c r="AB61" i="7"/>
  <c r="AB118" i="7" s="1"/>
  <c r="AB99" i="7"/>
  <c r="AB43" i="7"/>
  <c r="AB81" i="7"/>
  <c r="AG56" i="7"/>
  <c r="AG113" i="7" s="1"/>
  <c r="AG94" i="7"/>
  <c r="AC60" i="7"/>
  <c r="AC117" i="7" s="1"/>
  <c r="AC98" i="7"/>
  <c r="AE58" i="7"/>
  <c r="AE115" i="7" s="1"/>
  <c r="AE96" i="7"/>
  <c r="AD59" i="7"/>
  <c r="AD116" i="7" s="1"/>
  <c r="AD97" i="7"/>
  <c r="AF57" i="7"/>
  <c r="AF114" i="7" s="1"/>
  <c r="AF95" i="7"/>
  <c r="AI36" i="7"/>
  <c r="AI74" i="7"/>
  <c r="AH37" i="7"/>
  <c r="AH75" i="7"/>
  <c r="AJ35" i="7"/>
  <c r="AJ73" i="7"/>
  <c r="AA100" i="7"/>
  <c r="AA62" i="7"/>
  <c r="AA119" i="7" s="1"/>
  <c r="AG38" i="7"/>
  <c r="AG20" i="7"/>
  <c r="AG77" i="7" s="1"/>
  <c r="AC42" i="7"/>
  <c r="AC24" i="7"/>
  <c r="AE40" i="7"/>
  <c r="AE22" i="7"/>
  <c r="AE79" i="7" s="1"/>
  <c r="AD41" i="7"/>
  <c r="AD23" i="7"/>
  <c r="AD80" i="7" s="1"/>
  <c r="AF39" i="7"/>
  <c r="AF21" i="7"/>
  <c r="AF78" i="7" s="1"/>
  <c r="AI18" i="7"/>
  <c r="AH19" i="7"/>
  <c r="AJ17" i="7"/>
  <c r="AB100" i="7" l="1"/>
  <c r="AB62" i="7"/>
  <c r="AB119" i="7" s="1"/>
  <c r="AI93" i="7"/>
  <c r="AI55" i="7"/>
  <c r="AI112" i="7" s="1"/>
  <c r="AH94" i="7"/>
  <c r="AH56" i="7"/>
  <c r="AH113" i="7" s="1"/>
  <c r="AJ92" i="7"/>
  <c r="AJ54" i="7"/>
  <c r="AJ111" i="7" s="1"/>
  <c r="AG57" i="7"/>
  <c r="AG114" i="7" s="1"/>
  <c r="AG95" i="7"/>
  <c r="AC61" i="7"/>
  <c r="AC118" i="7" s="1"/>
  <c r="AC99" i="7"/>
  <c r="AC43" i="7"/>
  <c r="AC81" i="7"/>
  <c r="AE59" i="7"/>
  <c r="AE116" i="7" s="1"/>
  <c r="AE97" i="7"/>
  <c r="AD60" i="7"/>
  <c r="AD117" i="7" s="1"/>
  <c r="AD98" i="7"/>
  <c r="AF58" i="7"/>
  <c r="AF115" i="7" s="1"/>
  <c r="AF96" i="7"/>
  <c r="AI37" i="7"/>
  <c r="AI75" i="7"/>
  <c r="AH38" i="7"/>
  <c r="AH76" i="7"/>
  <c r="AJ36" i="7"/>
  <c r="AJ74" i="7"/>
  <c r="AG39" i="7"/>
  <c r="AG21" i="7"/>
  <c r="AG78" i="7" s="1"/>
  <c r="AE41" i="7"/>
  <c r="AE23" i="7"/>
  <c r="AE80" i="7" s="1"/>
  <c r="AD42" i="7"/>
  <c r="AD24" i="7"/>
  <c r="AF40" i="7"/>
  <c r="AF22" i="7"/>
  <c r="AF79" i="7" s="1"/>
  <c r="AI19" i="7"/>
  <c r="AH20" i="7"/>
  <c r="AJ18" i="7"/>
  <c r="AC100" i="7" l="1"/>
  <c r="AC62" i="7"/>
  <c r="AC119" i="7" s="1"/>
  <c r="AI94" i="7"/>
  <c r="AI56" i="7"/>
  <c r="AI113" i="7" s="1"/>
  <c r="AH95" i="7"/>
  <c r="AH57" i="7"/>
  <c r="AH114" i="7" s="1"/>
  <c r="AJ93" i="7"/>
  <c r="AJ55" i="7"/>
  <c r="AJ112" i="7" s="1"/>
  <c r="AG58" i="7"/>
  <c r="AG115" i="7" s="1"/>
  <c r="AG96" i="7"/>
  <c r="AE60" i="7"/>
  <c r="AE117" i="7" s="1"/>
  <c r="AE98" i="7"/>
  <c r="AD61" i="7"/>
  <c r="AD118" i="7" s="1"/>
  <c r="AD99" i="7"/>
  <c r="AD43" i="7"/>
  <c r="AD81" i="7"/>
  <c r="AF59" i="7"/>
  <c r="AF116" i="7" s="1"/>
  <c r="AF97" i="7"/>
  <c r="AI38" i="7"/>
  <c r="AI76" i="7"/>
  <c r="AH39" i="7"/>
  <c r="AH77" i="7"/>
  <c r="AJ37" i="7"/>
  <c r="AJ75" i="7"/>
  <c r="AG40" i="7"/>
  <c r="AG22" i="7"/>
  <c r="AG79" i="7" s="1"/>
  <c r="AE42" i="7"/>
  <c r="AE24" i="7"/>
  <c r="AF41" i="7"/>
  <c r="AF23" i="7"/>
  <c r="AF80" i="7" s="1"/>
  <c r="AI20" i="7"/>
  <c r="AH21" i="7"/>
  <c r="AJ19" i="7"/>
  <c r="AD100" i="7" l="1"/>
  <c r="AD62" i="7"/>
  <c r="AD119" i="7" s="1"/>
  <c r="AI95" i="7"/>
  <c r="AI57" i="7"/>
  <c r="AI114" i="7" s="1"/>
  <c r="AH96" i="7"/>
  <c r="AH58" i="7"/>
  <c r="AH115" i="7" s="1"/>
  <c r="AJ94" i="7"/>
  <c r="AJ56" i="7"/>
  <c r="AJ113" i="7" s="1"/>
  <c r="AG59" i="7"/>
  <c r="AG116" i="7" s="1"/>
  <c r="AG97" i="7"/>
  <c r="AE61" i="7"/>
  <c r="AE118" i="7" s="1"/>
  <c r="AE99" i="7"/>
  <c r="AE43" i="7"/>
  <c r="AE81" i="7"/>
  <c r="AF60" i="7"/>
  <c r="AF117" i="7" s="1"/>
  <c r="AF98" i="7"/>
  <c r="AI39" i="7"/>
  <c r="AI77" i="7"/>
  <c r="AH40" i="7"/>
  <c r="AH78" i="7"/>
  <c r="AJ38" i="7"/>
  <c r="AJ76" i="7"/>
  <c r="AG41" i="7"/>
  <c r="AG23" i="7"/>
  <c r="AG80" i="7" s="1"/>
  <c r="AF42" i="7"/>
  <c r="AF24" i="7"/>
  <c r="AI21" i="7"/>
  <c r="AH22" i="7"/>
  <c r="AH79" i="7" s="1"/>
  <c r="AJ20" i="7"/>
  <c r="AE100" i="7" l="1"/>
  <c r="AE62" i="7"/>
  <c r="AE119" i="7" s="1"/>
  <c r="AI96" i="7"/>
  <c r="AI58" i="7"/>
  <c r="AI115" i="7" s="1"/>
  <c r="AH97" i="7"/>
  <c r="AH59" i="7"/>
  <c r="AH116" i="7" s="1"/>
  <c r="AJ95" i="7"/>
  <c r="AJ57" i="7"/>
  <c r="AJ114" i="7" s="1"/>
  <c r="AG60" i="7"/>
  <c r="AG117" i="7" s="1"/>
  <c r="AG98" i="7"/>
  <c r="AF61" i="7"/>
  <c r="AF118" i="7" s="1"/>
  <c r="AF99" i="7"/>
  <c r="AF43" i="7"/>
  <c r="AF81" i="7"/>
  <c r="AI40" i="7"/>
  <c r="AI78" i="7"/>
  <c r="AJ39" i="7"/>
  <c r="AJ77" i="7"/>
  <c r="AG42" i="7"/>
  <c r="AG24" i="7"/>
  <c r="AH23" i="7"/>
  <c r="AH80" i="7" s="1"/>
  <c r="AH41" i="7"/>
  <c r="AI22" i="7"/>
  <c r="AI79" i="7" s="1"/>
  <c r="AJ21" i="7"/>
  <c r="AF100" i="7" l="1"/>
  <c r="AF62" i="7"/>
  <c r="AF119" i="7" s="1"/>
  <c r="AI97" i="7"/>
  <c r="AI59" i="7"/>
  <c r="AI116" i="7" s="1"/>
  <c r="AJ96" i="7"/>
  <c r="AJ58" i="7"/>
  <c r="AJ115" i="7" s="1"/>
  <c r="AG61" i="7"/>
  <c r="AG118" i="7" s="1"/>
  <c r="AG99" i="7"/>
  <c r="AG43" i="7"/>
  <c r="AG81" i="7"/>
  <c r="AH60" i="7"/>
  <c r="AH117" i="7" s="1"/>
  <c r="AH98" i="7"/>
  <c r="AJ40" i="7"/>
  <c r="AJ78" i="7"/>
  <c r="AH42" i="7"/>
  <c r="AH24" i="7"/>
  <c r="AI23" i="7"/>
  <c r="AI80" i="7" s="1"/>
  <c r="AI41" i="7"/>
  <c r="AJ22" i="7"/>
  <c r="AG100" i="7" l="1"/>
  <c r="AG62" i="7"/>
  <c r="AG119" i="7" s="1"/>
  <c r="AJ97" i="7"/>
  <c r="AJ59" i="7"/>
  <c r="AJ116" i="7" s="1"/>
  <c r="AH61" i="7"/>
  <c r="AH118" i="7" s="1"/>
  <c r="AH99" i="7"/>
  <c r="AH43" i="7"/>
  <c r="AH81" i="7"/>
  <c r="AI60" i="7"/>
  <c r="AI117" i="7" s="1"/>
  <c r="AI98" i="7"/>
  <c r="AJ41" i="7"/>
  <c r="AJ79" i="7"/>
  <c r="AI42" i="7"/>
  <c r="AI24" i="7"/>
  <c r="AJ23" i="7"/>
  <c r="AH100" i="7" l="1"/>
  <c r="AH62" i="7"/>
  <c r="AH119" i="7" s="1"/>
  <c r="AJ98" i="7"/>
  <c r="AJ60" i="7"/>
  <c r="AJ117" i="7" s="1"/>
  <c r="AI61" i="7"/>
  <c r="AI118" i="7" s="1"/>
  <c r="AI99" i="7"/>
  <c r="AI43" i="7"/>
  <c r="AI81" i="7"/>
  <c r="AJ42" i="7"/>
  <c r="AJ80" i="7"/>
  <c r="AJ24" i="7"/>
  <c r="AI100" i="7" l="1"/>
  <c r="AI62" i="7"/>
  <c r="AI119" i="7" s="1"/>
  <c r="AJ99" i="7"/>
  <c r="AJ61" i="7"/>
  <c r="AJ118" i="7" s="1"/>
  <c r="AJ43" i="7"/>
  <c r="AJ81" i="7"/>
  <c r="AJ100" i="7" l="1"/>
  <c r="AJ62" i="7"/>
  <c r="AJ119" i="7" s="1"/>
</calcChain>
</file>

<file path=xl/sharedStrings.xml><?xml version="1.0" encoding="utf-8"?>
<sst xmlns="http://schemas.openxmlformats.org/spreadsheetml/2006/main" count="944" uniqueCount="220">
  <si>
    <t>Obligor_RCT</t>
  </si>
  <si>
    <t>Rating_origination_obligor_FC</t>
  </si>
  <si>
    <t>Rating_origination_obligor_LC</t>
  </si>
  <si>
    <t>Rating_obligor_FC</t>
  </si>
  <si>
    <t>Rating_obligor_LC</t>
  </si>
  <si>
    <t>Contract_id</t>
  </si>
  <si>
    <t>Operation_id</t>
  </si>
  <si>
    <t>Tranch_bearer_RCT</t>
  </si>
  <si>
    <t>Tranche_type</t>
  </si>
  <si>
    <t>IFRS9_Stage</t>
  </si>
  <si>
    <t>Origin_bucket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</si>
  <si>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</si>
  <si>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</si>
  <si>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</si>
  <si>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</si>
  <si>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</si>
  <si>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</si>
  <si>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</si>
  <si>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</si>
  <si>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</si>
  <si>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</si>
  <si>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</si>
  <si>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</si>
  <si>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</si>
  <si>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CCF</t>
  </si>
  <si>
    <t>SEGMENT</t>
  </si>
  <si>
    <t>SCENARIO</t>
  </si>
  <si>
    <t>RATING</t>
  </si>
  <si>
    <t>TIME_STEP_1</t>
  </si>
  <si>
    <t>TIME_STEP_2</t>
  </si>
  <si>
    <t>TIME_STEP_3</t>
  </si>
  <si>
    <t>TIME_STEP_4</t>
  </si>
  <si>
    <t>TIME_STEP_5</t>
  </si>
  <si>
    <t>TIME_STEP_6</t>
  </si>
  <si>
    <t>TIME_STEP_7</t>
  </si>
  <si>
    <t>TIME_STEP_8</t>
  </si>
  <si>
    <t>TIME_STEP_9</t>
  </si>
  <si>
    <t>TIME_STEP_10</t>
  </si>
  <si>
    <t>TIME_STEP_11</t>
  </si>
  <si>
    <t>TIME_STEP_12</t>
  </si>
  <si>
    <t>TIME_STEP_13</t>
  </si>
  <si>
    <t>TIME_STEP_14</t>
  </si>
  <si>
    <t>TIME_STEP_15</t>
  </si>
  <si>
    <t>TIME_STEP_16</t>
  </si>
  <si>
    <t>TIME_STEP_17</t>
  </si>
  <si>
    <t>TIME_STEP_18</t>
  </si>
  <si>
    <t>TIME_STEP_19</t>
  </si>
  <si>
    <t>TIME_STEP_20</t>
  </si>
  <si>
    <t>TIME_STEP_21</t>
  </si>
  <si>
    <t>TIME_STEP_22</t>
  </si>
  <si>
    <t>TIME_STEP_23</t>
  </si>
  <si>
    <t>TIME_STEP_24</t>
  </si>
  <si>
    <t>TIME_STEP_25</t>
  </si>
  <si>
    <t>TIME_STEP_26</t>
  </si>
  <si>
    <t>TIME_STEP_27</t>
  </si>
  <si>
    <t>TIME_STEP_28</t>
  </si>
  <si>
    <t>TIME_STEP_29</t>
  </si>
  <si>
    <t>TIME_STEP_30</t>
  </si>
  <si>
    <t>TIME_STEP_31</t>
  </si>
  <si>
    <t>TIME_STEP_32</t>
  </si>
  <si>
    <t>TIME_STEP_33</t>
  </si>
  <si>
    <t>CENTRAL</t>
  </si>
  <si>
    <t>STRESS</t>
  </si>
  <si>
    <t>A3B</t>
  </si>
  <si>
    <t>2+</t>
  </si>
  <si>
    <t>2-</t>
  </si>
  <si>
    <t>3+</t>
  </si>
  <si>
    <t>3-</t>
  </si>
  <si>
    <t>4+</t>
  </si>
  <si>
    <t>4-</t>
  </si>
  <si>
    <t>5+</t>
  </si>
  <si>
    <t>5-</t>
  </si>
  <si>
    <t>6+</t>
  </si>
  <si>
    <t>6-</t>
  </si>
  <si>
    <t>7+</t>
  </si>
  <si>
    <t>7-</t>
  </si>
  <si>
    <t>OPTIMISTE</t>
  </si>
  <si>
    <t>A4B</t>
  </si>
  <si>
    <t>IFRS9_MODEL_CODE</t>
  </si>
  <si>
    <t>LGD_RATE_WITHOUT_TIME</t>
  </si>
  <si>
    <t>MA9</t>
  </si>
  <si>
    <t>QA0</t>
  </si>
  <si>
    <t>OBLIGOR_RCT</t>
  </si>
  <si>
    <t>RATING_ORIGINATION_OBLIGOR_FOREIGN_CURRENCY</t>
  </si>
  <si>
    <t>RATING_ORIGINATION_OBLIGOR_LOCAL_CURRENCY</t>
  </si>
  <si>
    <t>RATING_OBLIGOR_FC</t>
  </si>
  <si>
    <t>RATING_OBLIGOR_LC</t>
  </si>
  <si>
    <t>CALCULATION_RATING</t>
  </si>
  <si>
    <t>CONTRACT_ID</t>
  </si>
  <si>
    <t>OPERATION_ID</t>
  </si>
  <si>
    <t>TRANCH_BEARER_RCT</t>
  </si>
  <si>
    <t>TRANCHE_TYPE</t>
  </si>
  <si>
    <t>IFRS9_BUCKET</t>
  </si>
  <si>
    <t>IFRS9_BUCKET_REASON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</si>
  <si>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</si>
  <si>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</si>
  <si>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</si>
  <si>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</si>
  <si>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</si>
  <si>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</si>
  <si>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</si>
  <si>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</si>
  <si>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</si>
  <si>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</si>
  <si>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</si>
  <si>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</si>
  <si>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</si>
  <si>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Description, how to</t>
  </si>
  <si>
    <t>Column name</t>
  </si>
  <si>
    <t>Example</t>
  </si>
  <si>
    <t>A1B</t>
  </si>
  <si>
    <t>A1A, A1B</t>
  </si>
  <si>
    <t>A2B</t>
  </si>
  <si>
    <t>A2A, A2B</t>
  </si>
  <si>
    <t>A3A, A3B</t>
  </si>
  <si>
    <t>A5A, A4B</t>
  </si>
  <si>
    <t>A5B</t>
  </si>
  <si>
    <t>A4A, A5B</t>
  </si>
  <si>
    <t>A6B</t>
  </si>
  <si>
    <t>A6A, A6B</t>
  </si>
  <si>
    <t>A7B</t>
  </si>
  <si>
    <t>A6A, A7B</t>
  </si>
  <si>
    <t>START_DATE_VALIDITY</t>
  </si>
  <si>
    <t>END_DATE_VALIDITY</t>
  </si>
  <si>
    <t>A3A</t>
  </si>
  <si>
    <t>Multi</t>
  </si>
  <si>
    <t>A5A</t>
  </si>
  <si>
    <t>A4A</t>
  </si>
  <si>
    <t>A6A</t>
  </si>
  <si>
    <t>Calculation_Rating</t>
  </si>
  <si>
    <t>CCF_WITHOUT_TIME</t>
  </si>
  <si>
    <t>NB_MONTHS</t>
  </si>
  <si>
    <t>STEP</t>
  </si>
  <si>
    <t>CALCULATOR_COLUMN_NAME</t>
  </si>
  <si>
    <t>SIMULATION_DATA_COLUMN_NAME</t>
  </si>
  <si>
    <t>MEANING</t>
  </si>
  <si>
    <t>FORMAT</t>
  </si>
  <si>
    <t>SEGMENT_REPORTING</t>
  </si>
  <si>
    <t>SEGMENT_ORIGINATION</t>
  </si>
  <si>
    <t>RATING_CALCULATION</t>
  </si>
  <si>
    <t>IFRS9_PD_MODEL_CODE</t>
  </si>
  <si>
    <t>PD_1</t>
  </si>
  <si>
    <t>PD_2</t>
  </si>
  <si>
    <t>PD_3</t>
  </si>
  <si>
    <t>PD_4</t>
  </si>
  <si>
    <t>PD_5</t>
  </si>
  <si>
    <t>PD_6</t>
  </si>
  <si>
    <t>PD_7</t>
  </si>
  <si>
    <t>PD_8</t>
  </si>
  <si>
    <t>PD_9</t>
  </si>
  <si>
    <t>PD_10</t>
  </si>
  <si>
    <t>PD_11</t>
  </si>
  <si>
    <t>PD_12</t>
  </si>
  <si>
    <t>PD_13</t>
  </si>
  <si>
    <t>PD_14</t>
  </si>
  <si>
    <t>PD_15</t>
  </si>
  <si>
    <t>PD_16</t>
  </si>
  <si>
    <t>PD_17</t>
  </si>
  <si>
    <t>PD_18</t>
  </si>
  <si>
    <t>PD_19</t>
  </si>
  <si>
    <t>PD_20</t>
  </si>
  <si>
    <t>PD_21</t>
  </si>
  <si>
    <t>PD_22</t>
  </si>
  <si>
    <t>PD_23</t>
  </si>
  <si>
    <t>PD_24</t>
  </si>
  <si>
    <t>PD_25</t>
  </si>
  <si>
    <t>PD_26</t>
  </si>
  <si>
    <t>PD_27</t>
  </si>
  <si>
    <t>PD_28</t>
  </si>
  <si>
    <t>PD_29</t>
  </si>
  <si>
    <t>PD_30</t>
  </si>
  <si>
    <t>PD_31</t>
  </si>
  <si>
    <t>PD_32</t>
  </si>
  <si>
    <t>PD_33</t>
  </si>
  <si>
    <t>LGD_1</t>
  </si>
  <si>
    <t>LGD_2</t>
  </si>
  <si>
    <t>LGD_3</t>
  </si>
  <si>
    <t>LGD_4</t>
  </si>
  <si>
    <t>LGD_5</t>
  </si>
  <si>
    <t>LGD_6</t>
  </si>
  <si>
    <t>LGD_7</t>
  </si>
  <si>
    <t>LGD_8</t>
  </si>
  <si>
    <t>LGD_9</t>
  </si>
  <si>
    <t>LGD_10</t>
  </si>
  <si>
    <t>LGD_11</t>
  </si>
  <si>
    <t>LGD_12</t>
  </si>
  <si>
    <t>LGD_13</t>
  </si>
  <si>
    <t>LGD_14</t>
  </si>
  <si>
    <t>LGD_15</t>
  </si>
  <si>
    <t>LGD_16</t>
  </si>
  <si>
    <t>LGD_17</t>
  </si>
  <si>
    <t>LGD_18</t>
  </si>
  <si>
    <t>LGD_19</t>
  </si>
  <si>
    <t>LGD_20</t>
  </si>
  <si>
    <t>LGD_21</t>
  </si>
  <si>
    <t>LGD_22</t>
  </si>
  <si>
    <t>LGD_23</t>
  </si>
  <si>
    <t>LGD_24</t>
  </si>
  <si>
    <t>LGD_25</t>
  </si>
  <si>
    <t>LGD_26</t>
  </si>
  <si>
    <t>LGD_27</t>
  </si>
  <si>
    <t>LGD_28</t>
  </si>
  <si>
    <t>LGD_29</t>
  </si>
  <si>
    <t>LGD_30</t>
  </si>
  <si>
    <t>LGD_31</t>
  </si>
  <si>
    <t>LGD_32</t>
  </si>
  <si>
    <t>LGD_33</t>
  </si>
  <si>
    <t>IFRS9_LGD_MODEL_CODE</t>
  </si>
  <si>
    <t>PRODUCT</t>
  </si>
  <si>
    <t>MATURITY_MAX</t>
  </si>
  <si>
    <t>PRI_CRELOG</t>
  </si>
  <si>
    <t>SCI_PPI</t>
  </si>
  <si>
    <t>PRI_CAV</t>
  </si>
  <si>
    <t>MODEL_CODE</t>
  </si>
  <si>
    <t>Basel_portfolio_after_CRM</t>
  </si>
  <si>
    <t>*</t>
  </si>
  <si>
    <t>LGD_SME</t>
  </si>
  <si>
    <t>LGD_LC</t>
  </si>
  <si>
    <t>IN (MA9, NA0, NA1)</t>
  </si>
  <si>
    <t>NOT IN (BV7, EA3)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</si>
</sst>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1" applyFont="1"/>
    <xf numFmtId="14" fontId="0" fillId="0" borderId="0" xfId="0" applyNumberForma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6285D-6D44-4E02-BCE2-F5370F6241A5}">
  <dimension ref="A1"/>
  <sheetViews>
    <sheetView workbookViewId="0">
      <selection activeCell="L15" sqref="L15"/>
    </sheetView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49E1-0FC5-41C0-B397-C40A773797BF}">
  <sheetPr>
    <tabColor theme="4"/>
  </sheetPr>
  <dimension ref="A1:D30"/>
  <sheetViews>
    <sheetView topLeftCell="A5" zoomScale="85" zoomScaleNormal="85" workbookViewId="0">
      <selection activeCell="A23" sqref="A23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139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/>
      <c r="B28" s="1"/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9076-857F-40CF-B87B-B4284B7D0024}">
  <sheetPr>
    <tabColor theme="4"/>
  </sheetPr>
  <dimension ref="A1:D30"/>
  <sheetViews>
    <sheetView topLeftCell="A11" zoomScale="85" zoomScaleNormal="85" workbookViewId="0">
      <selection activeCell="A31" sqref="A31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 t="s">
        <v>22</v>
      </c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686DF-1A67-4137-83F8-AC49BF7AB317}">
  <sheetPr>
    <tabColor theme="4"/>
  </sheetPr>
  <dimension ref="A1:D30"/>
  <sheetViews>
    <sheetView topLeftCell="A13" zoomScale="85" zoomScaleNormal="85" workbookViewId="0">
      <selection activeCell="D30" sqref="D30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/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5E5D-1297-4E68-85CF-67EEE28A6AE9}">
  <sheetPr>
    <tabColor theme="4"/>
  </sheetPr>
  <dimension ref="A1:B37"/>
  <sheetViews>
    <sheetView zoomScale="85" zoomScaleNormal="85" workbookViewId="0">
      <selection activeCell="I19" sqref="I19"/>
    </sheetView>
  </sheetViews>
  <sheetFormatPr baseColWidth="10" defaultRowHeight="14.5" x14ac:dyDescent="0.35"/>
  <cols>
    <col min="1" max="1" width="16.453125" bestFit="1" customWidth="1"/>
    <col min="2" max="2" width="17.72656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132</v>
      </c>
      <c r="B4" s="2" t="s">
        <v>131</v>
      </c>
    </row>
    <row r="5" spans="1:2" x14ac:dyDescent="0.35">
      <c r="A5">
        <v>1</v>
      </c>
      <c r="B5">
        <v>3</v>
      </c>
    </row>
    <row r="6" spans="1:2" x14ac:dyDescent="0.35">
      <c r="A6">
        <v>2</v>
      </c>
      <c r="B6">
        <v>6</v>
      </c>
    </row>
    <row r="7" spans="1:2" x14ac:dyDescent="0.35">
      <c r="A7">
        <v>3</v>
      </c>
      <c r="B7">
        <v>9</v>
      </c>
    </row>
    <row r="8" spans="1:2" x14ac:dyDescent="0.35">
      <c r="A8">
        <v>4</v>
      </c>
      <c r="B8">
        <v>12</v>
      </c>
    </row>
    <row r="9" spans="1:2" x14ac:dyDescent="0.35">
      <c r="A9">
        <v>5</v>
      </c>
      <c r="B9">
        <v>15</v>
      </c>
    </row>
    <row r="10" spans="1:2" x14ac:dyDescent="0.35">
      <c r="A10">
        <v>6</v>
      </c>
      <c r="B10">
        <v>18</v>
      </c>
    </row>
    <row r="11" spans="1:2" x14ac:dyDescent="0.35">
      <c r="A11">
        <v>7</v>
      </c>
      <c r="B11">
        <v>21</v>
      </c>
    </row>
    <row r="12" spans="1:2" x14ac:dyDescent="0.35">
      <c r="A12">
        <v>8</v>
      </c>
      <c r="B12">
        <v>24</v>
      </c>
    </row>
    <row r="13" spans="1:2" x14ac:dyDescent="0.35">
      <c r="A13">
        <v>9</v>
      </c>
      <c r="B13">
        <v>27</v>
      </c>
    </row>
    <row r="14" spans="1:2" x14ac:dyDescent="0.35">
      <c r="A14">
        <v>10</v>
      </c>
      <c r="B14">
        <v>30</v>
      </c>
    </row>
    <row r="15" spans="1:2" x14ac:dyDescent="0.35">
      <c r="A15">
        <v>11</v>
      </c>
      <c r="B15">
        <v>33</v>
      </c>
    </row>
    <row r="16" spans="1:2" x14ac:dyDescent="0.35">
      <c r="A16">
        <v>12</v>
      </c>
      <c r="B16">
        <v>36</v>
      </c>
    </row>
    <row r="17" spans="1:2" x14ac:dyDescent="0.35">
      <c r="A17">
        <v>13</v>
      </c>
      <c r="B17">
        <v>39</v>
      </c>
    </row>
    <row r="18" spans="1:2" x14ac:dyDescent="0.35">
      <c r="A18">
        <v>14</v>
      </c>
      <c r="B18">
        <v>42</v>
      </c>
    </row>
    <row r="19" spans="1:2" x14ac:dyDescent="0.35">
      <c r="A19">
        <v>15</v>
      </c>
      <c r="B19">
        <v>45</v>
      </c>
    </row>
    <row r="20" spans="1:2" x14ac:dyDescent="0.35">
      <c r="A20">
        <v>16</v>
      </c>
      <c r="B20">
        <v>48</v>
      </c>
    </row>
    <row r="21" spans="1:2" x14ac:dyDescent="0.35">
      <c r="A21">
        <v>17</v>
      </c>
      <c r="B21">
        <v>51</v>
      </c>
    </row>
    <row r="22" spans="1:2" x14ac:dyDescent="0.35">
      <c r="A22">
        <v>18</v>
      </c>
      <c r="B22">
        <v>54</v>
      </c>
    </row>
    <row r="23" spans="1:2" x14ac:dyDescent="0.35">
      <c r="A23">
        <v>19</v>
      </c>
      <c r="B23">
        <v>57</v>
      </c>
    </row>
    <row r="24" spans="1:2" x14ac:dyDescent="0.35">
      <c r="A24">
        <v>20</v>
      </c>
      <c r="B24">
        <v>60</v>
      </c>
    </row>
    <row r="25" spans="1:2" x14ac:dyDescent="0.35">
      <c r="A25">
        <v>21</v>
      </c>
      <c r="B25">
        <v>72</v>
      </c>
    </row>
    <row r="26" spans="1:2" x14ac:dyDescent="0.35">
      <c r="A26">
        <v>22</v>
      </c>
      <c r="B26">
        <v>84</v>
      </c>
    </row>
    <row r="27" spans="1:2" x14ac:dyDescent="0.35">
      <c r="A27">
        <v>23</v>
      </c>
      <c r="B27">
        <v>96</v>
      </c>
    </row>
    <row r="28" spans="1:2" x14ac:dyDescent="0.35">
      <c r="A28">
        <v>24</v>
      </c>
      <c r="B28">
        <v>108</v>
      </c>
    </row>
    <row r="29" spans="1:2" x14ac:dyDescent="0.35">
      <c r="A29">
        <v>25</v>
      </c>
      <c r="B29">
        <v>120</v>
      </c>
    </row>
    <row r="30" spans="1:2" x14ac:dyDescent="0.35">
      <c r="A30">
        <v>26</v>
      </c>
      <c r="B30">
        <v>132</v>
      </c>
    </row>
    <row r="31" spans="1:2" x14ac:dyDescent="0.35">
      <c r="A31">
        <v>27</v>
      </c>
      <c r="B31">
        <v>144</v>
      </c>
    </row>
    <row r="32" spans="1:2" x14ac:dyDescent="0.35">
      <c r="A32">
        <v>28</v>
      </c>
      <c r="B32">
        <v>156</v>
      </c>
    </row>
    <row r="33" spans="1:2" x14ac:dyDescent="0.35">
      <c r="A33">
        <v>29</v>
      </c>
      <c r="B33">
        <v>168</v>
      </c>
    </row>
    <row r="34" spans="1:2" x14ac:dyDescent="0.35">
      <c r="A34">
        <v>30</v>
      </c>
      <c r="B34">
        <v>180</v>
      </c>
    </row>
    <row r="35" spans="1:2" x14ac:dyDescent="0.35">
      <c r="A35">
        <v>31</v>
      </c>
      <c r="B35">
        <v>240</v>
      </c>
    </row>
    <row r="36" spans="1:2" x14ac:dyDescent="0.35">
      <c r="A36">
        <v>32</v>
      </c>
      <c r="B36">
        <v>300</v>
      </c>
    </row>
    <row r="37" spans="1:2" x14ac:dyDescent="0.35">
      <c r="A37">
        <v>33</v>
      </c>
      <c r="B37">
        <v>360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9B9B-0962-4DD2-BFB0-C7E90BB49F89}">
  <sheetPr>
    <tabColor theme="4"/>
  </sheetPr>
  <dimension ref="A1:B11"/>
  <sheetViews>
    <sheetView zoomScale="83" workbookViewId="0">
      <selection activeCell="I14" sqref="I14"/>
    </sheetView>
  </sheetViews>
  <sheetFormatPr baseColWidth="10" defaultRowHeight="14.5" x14ac:dyDescent="0.35"/>
  <cols>
    <col min="1" max="1" width="19.453125" bestFit="1" customWidth="1"/>
    <col min="2" max="2" width="21.269531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137</v>
      </c>
      <c r="B4" s="2" t="s">
        <v>138</v>
      </c>
    </row>
    <row r="5" spans="1:2" x14ac:dyDescent="0.35">
      <c r="A5" t="s">
        <v>110</v>
      </c>
      <c r="B5" t="s">
        <v>111</v>
      </c>
    </row>
    <row r="6" spans="1:2" x14ac:dyDescent="0.35">
      <c r="A6" t="s">
        <v>112</v>
      </c>
      <c r="B6" t="s">
        <v>113</v>
      </c>
    </row>
    <row r="7" spans="1:2" x14ac:dyDescent="0.35">
      <c r="A7" t="s">
        <v>63</v>
      </c>
      <c r="B7" t="s">
        <v>114</v>
      </c>
    </row>
    <row r="8" spans="1:2" x14ac:dyDescent="0.35">
      <c r="A8" t="s">
        <v>77</v>
      </c>
      <c r="B8" t="s">
        <v>115</v>
      </c>
    </row>
    <row r="9" spans="1:2" x14ac:dyDescent="0.35">
      <c r="A9" t="s">
        <v>116</v>
      </c>
      <c r="B9" t="s">
        <v>117</v>
      </c>
    </row>
    <row r="10" spans="1:2" x14ac:dyDescent="0.35">
      <c r="A10" t="s">
        <v>118</v>
      </c>
      <c r="B10" t="s">
        <v>119</v>
      </c>
    </row>
    <row r="11" spans="1:2" x14ac:dyDescent="0.35">
      <c r="A11" t="s">
        <v>120</v>
      </c>
      <c r="B11" t="s">
        <v>121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F258-023F-432F-92B8-CB6B5D2308B2}">
  <sheetPr>
    <tabColor theme="4"/>
  </sheetPr>
  <dimension ref="A1:AL81"/>
  <sheetViews>
    <sheetView zoomScale="70" zoomScaleNormal="70" workbookViewId="0">
      <selection activeCell="K27" sqref="K27"/>
    </sheetView>
  </sheetViews>
  <sheetFormatPr baseColWidth="10" defaultRowHeight="14.5" x14ac:dyDescent="0.35"/>
  <cols>
    <col min="1" max="1" width="19" bestFit="1" customWidth="1"/>
    <col min="2" max="2" width="17.54296875" bestFit="1" customWidth="1"/>
    <col min="6" max="14" width="11.453125" bestFit="1" customWidth="1"/>
    <col min="15" max="38" width="12.453125" bestFit="1" customWidth="1"/>
  </cols>
  <sheetData>
    <row r="1" spans="1:38" x14ac:dyDescent="0.35">
      <c r="A1" t="s">
        <v>107</v>
      </c>
      <c r="B1" t="s">
        <v>107</v>
      </c>
    </row>
    <row r="2" spans="1:38" x14ac:dyDescent="0.35">
      <c r="A2" t="s">
        <v>108</v>
      </c>
      <c r="B2" t="s">
        <v>108</v>
      </c>
    </row>
    <row r="3" spans="1:38" x14ac:dyDescent="0.35">
      <c r="B3" t="s">
        <v>109</v>
      </c>
      <c r="E3">
        <v>8.9999999999999998E-4</v>
      </c>
      <c r="F3">
        <v>1E-3</v>
      </c>
      <c r="G3">
        <v>3.0000000000000001E-3</v>
      </c>
      <c r="H3">
        <v>5.0000000000000001E-3</v>
      </c>
      <c r="I3">
        <v>7.0000000000000001E-3</v>
      </c>
      <c r="J3">
        <v>8.9999999999999993E-3</v>
      </c>
      <c r="K3">
        <v>1.0999999999999999E-2</v>
      </c>
      <c r="L3">
        <v>1.2999999999999999E-2</v>
      </c>
      <c r="M3">
        <v>1.4999999999999999E-2</v>
      </c>
      <c r="N3">
        <v>1.7000000000000001E-2</v>
      </c>
      <c r="O3">
        <v>1.9E-2</v>
      </c>
      <c r="P3">
        <v>2.1000000000000001E-2</v>
      </c>
      <c r="Q3">
        <v>2.3E-2</v>
      </c>
      <c r="R3">
        <v>2.5000000000000001E-2</v>
      </c>
      <c r="S3">
        <v>2.7E-2</v>
      </c>
      <c r="T3">
        <v>2.9000000000000001E-2</v>
      </c>
      <c r="U3">
        <v>3.1E-2</v>
      </c>
      <c r="V3">
        <v>3.3000000000000002E-2</v>
      </c>
      <c r="W3">
        <v>3.5000000000000003E-2</v>
      </c>
      <c r="X3">
        <v>3.6999999999999998E-2</v>
      </c>
      <c r="Y3">
        <v>3.9E-2</v>
      </c>
      <c r="Z3">
        <f>$Y$3-$U$3+$Y$3</f>
        <v>4.7E-2</v>
      </c>
      <c r="AA3">
        <f t="shared" ref="AA3:AI3" si="0">$Y$3-$U$3+Z3</f>
        <v>5.5E-2</v>
      </c>
      <c r="AB3">
        <f t="shared" si="0"/>
        <v>6.3E-2</v>
      </c>
      <c r="AC3">
        <f t="shared" si="0"/>
        <v>7.1000000000000008E-2</v>
      </c>
      <c r="AD3">
        <f t="shared" si="0"/>
        <v>7.9000000000000015E-2</v>
      </c>
      <c r="AE3">
        <f t="shared" si="0"/>
        <v>8.7000000000000022E-2</v>
      </c>
      <c r="AF3">
        <f t="shared" si="0"/>
        <v>9.5000000000000029E-2</v>
      </c>
      <c r="AG3">
        <f t="shared" si="0"/>
        <v>0.10300000000000004</v>
      </c>
      <c r="AH3">
        <f t="shared" si="0"/>
        <v>0.11100000000000004</v>
      </c>
      <c r="AI3">
        <f t="shared" si="0"/>
        <v>0.11900000000000005</v>
      </c>
      <c r="AJ3">
        <f>AI3+($AI$3-$AD$3)</f>
        <v>0.15900000000000009</v>
      </c>
      <c r="AK3">
        <f t="shared" ref="AK3:AL3" si="1">AJ3+($AI$3-$AD$3)</f>
        <v>0.19900000000000012</v>
      </c>
      <c r="AL3">
        <f t="shared" si="1"/>
        <v>0.23900000000000016</v>
      </c>
    </row>
    <row r="4" spans="1:38" x14ac:dyDescent="0.35">
      <c r="A4" t="s">
        <v>109</v>
      </c>
      <c r="F4">
        <v>3</v>
      </c>
      <c r="G4">
        <v>6</v>
      </c>
      <c r="H4">
        <v>9</v>
      </c>
      <c r="I4">
        <v>12</v>
      </c>
      <c r="J4">
        <v>15</v>
      </c>
      <c r="K4">
        <v>18</v>
      </c>
      <c r="L4">
        <v>21</v>
      </c>
      <c r="M4">
        <v>24</v>
      </c>
      <c r="N4">
        <v>27</v>
      </c>
      <c r="O4">
        <v>30</v>
      </c>
      <c r="P4">
        <v>33</v>
      </c>
      <c r="Q4">
        <v>36</v>
      </c>
      <c r="R4">
        <v>39</v>
      </c>
      <c r="S4">
        <v>42</v>
      </c>
      <c r="T4">
        <v>45</v>
      </c>
      <c r="U4">
        <v>48</v>
      </c>
      <c r="V4">
        <v>51</v>
      </c>
      <c r="W4">
        <v>54</v>
      </c>
      <c r="X4">
        <v>57</v>
      </c>
      <c r="Y4">
        <v>60</v>
      </c>
      <c r="Z4">
        <v>72</v>
      </c>
      <c r="AA4">
        <v>84</v>
      </c>
      <c r="AB4">
        <v>96</v>
      </c>
      <c r="AC4">
        <v>108</v>
      </c>
      <c r="AD4">
        <v>120</v>
      </c>
      <c r="AE4">
        <v>132</v>
      </c>
      <c r="AF4">
        <v>144</v>
      </c>
      <c r="AG4">
        <v>156</v>
      </c>
      <c r="AH4">
        <v>168</v>
      </c>
      <c r="AI4">
        <v>180</v>
      </c>
      <c r="AJ4">
        <v>240</v>
      </c>
      <c r="AK4">
        <v>300</v>
      </c>
      <c r="AL4">
        <v>360</v>
      </c>
    </row>
    <row r="5" spans="1:38" x14ac:dyDescent="0.35">
      <c r="A5" s="2" t="s">
        <v>122</v>
      </c>
      <c r="B5" s="2" t="s">
        <v>123</v>
      </c>
      <c r="C5" s="2" t="s">
        <v>25</v>
      </c>
      <c r="D5" s="2" t="s">
        <v>26</v>
      </c>
      <c r="E5" s="2" t="s">
        <v>27</v>
      </c>
      <c r="F5" s="2" t="s">
        <v>28</v>
      </c>
      <c r="G5" s="2" t="s">
        <v>29</v>
      </c>
      <c r="H5" s="2" t="s">
        <v>30</v>
      </c>
      <c r="I5" s="2" t="s">
        <v>31</v>
      </c>
      <c r="J5" s="2" t="s">
        <v>32</v>
      </c>
      <c r="K5" s="2" t="s">
        <v>33</v>
      </c>
      <c r="L5" s="2" t="s">
        <v>34</v>
      </c>
      <c r="M5" s="2" t="s">
        <v>35</v>
      </c>
      <c r="N5" s="2" t="s">
        <v>36</v>
      </c>
      <c r="O5" s="2" t="s">
        <v>37</v>
      </c>
      <c r="P5" s="2" t="s">
        <v>38</v>
      </c>
      <c r="Q5" s="2" t="s">
        <v>39</v>
      </c>
      <c r="R5" s="2" t="s">
        <v>40</v>
      </c>
      <c r="S5" s="2" t="s">
        <v>41</v>
      </c>
      <c r="T5" s="2" t="s">
        <v>42</v>
      </c>
      <c r="U5" s="2" t="s">
        <v>43</v>
      </c>
      <c r="V5" s="2" t="s">
        <v>44</v>
      </c>
      <c r="W5" s="2" t="s">
        <v>45</v>
      </c>
      <c r="X5" s="2" t="s">
        <v>46</v>
      </c>
      <c r="Y5" s="2" t="s">
        <v>47</v>
      </c>
      <c r="Z5" s="2" t="s">
        <v>48</v>
      </c>
      <c r="AA5" s="2" t="s">
        <v>49</v>
      </c>
      <c r="AB5" s="2" t="s">
        <v>50</v>
      </c>
      <c r="AC5" s="2" t="s">
        <v>51</v>
      </c>
      <c r="AD5" s="2" t="s">
        <v>52</v>
      </c>
      <c r="AE5" s="2" t="s">
        <v>53</v>
      </c>
      <c r="AF5" s="2" t="s">
        <v>54</v>
      </c>
      <c r="AG5" s="2" t="s">
        <v>55</v>
      </c>
      <c r="AH5" s="2" t="s">
        <v>56</v>
      </c>
      <c r="AI5" s="2" t="s">
        <v>57</v>
      </c>
      <c r="AJ5" s="2" t="s">
        <v>58</v>
      </c>
      <c r="AK5" s="2" t="s">
        <v>59</v>
      </c>
      <c r="AL5" s="2" t="s">
        <v>60</v>
      </c>
    </row>
    <row r="6" spans="1:38" x14ac:dyDescent="0.35">
      <c r="A6" s="7">
        <v>43101</v>
      </c>
      <c r="B6" s="7">
        <v>43190</v>
      </c>
      <c r="C6" t="s">
        <v>124</v>
      </c>
      <c r="D6" t="s">
        <v>125</v>
      </c>
      <c r="E6" s="4">
        <v>1</v>
      </c>
      <c r="F6" s="3">
        <v>9.8723541508006661E-4</v>
      </c>
      <c r="G6" s="3">
        <v>5.2233634294956239E-4</v>
      </c>
      <c r="H6" s="3">
        <v>3.9046312301412385E-3</v>
      </c>
      <c r="I6" s="3">
        <v>2.0590517717537526E-3</v>
      </c>
      <c r="J6" s="3">
        <v>5.2149314083110593E-3</v>
      </c>
      <c r="K6" s="3">
        <v>5.2654462670556571E-3</v>
      </c>
      <c r="L6" s="3">
        <v>6.9821971437631896E-3</v>
      </c>
      <c r="M6" s="3">
        <v>6.3750225391471602E-3</v>
      </c>
      <c r="N6" s="3">
        <v>1.0507892750587852E-2</v>
      </c>
      <c r="O6" s="3">
        <v>6.7065150130467804E-3</v>
      </c>
      <c r="P6" s="3">
        <v>1.3154611745470947E-2</v>
      </c>
      <c r="Q6" s="3">
        <v>8.0682340944428794E-3</v>
      </c>
      <c r="R6" s="3">
        <v>1.5456126253836607E-2</v>
      </c>
      <c r="S6" s="3">
        <v>1.0142726163996979E-2</v>
      </c>
      <c r="T6" s="3">
        <v>1.6907674061615849E-2</v>
      </c>
      <c r="U6" s="3">
        <v>1.2823319048479054E-2</v>
      </c>
      <c r="V6" s="3">
        <v>1.904753562160251E-2</v>
      </c>
      <c r="W6" s="3">
        <v>1.3978029939151655E-2</v>
      </c>
      <c r="X6" s="3">
        <v>2.2194112106792327E-2</v>
      </c>
      <c r="Y6" s="3">
        <v>1.6541921398612769E-2</v>
      </c>
      <c r="Z6" s="3">
        <v>2.5720350031989594E-2</v>
      </c>
      <c r="AA6" s="3">
        <v>2.6938659601285303E-2</v>
      </c>
      <c r="AB6" s="3">
        <v>3.22208891354583E-2</v>
      </c>
      <c r="AC6" s="3">
        <v>3.5598276343003582E-2</v>
      </c>
      <c r="AD6" s="3">
        <v>3.7975244868088717E-2</v>
      </c>
      <c r="AE6" s="3">
        <v>4.5630307613935217E-2</v>
      </c>
      <c r="AF6" s="3">
        <v>4.853026052880377E-2</v>
      </c>
      <c r="AG6" s="3">
        <v>4.7821994417673777E-2</v>
      </c>
      <c r="AH6" s="3">
        <v>6.1201092314036615E-2</v>
      </c>
      <c r="AI6" s="3">
        <v>5.0923580014799824E-2</v>
      </c>
      <c r="AJ6" s="3">
        <v>8.2188999629773274E-2</v>
      </c>
      <c r="AK6" s="3">
        <v>0.11588203667397348</v>
      </c>
      <c r="AL6" s="3">
        <v>8.3382830424295451E-2</v>
      </c>
    </row>
    <row r="7" spans="1:38" x14ac:dyDescent="0.35">
      <c r="A7" s="7">
        <v>43101</v>
      </c>
      <c r="B7" s="7">
        <v>43190</v>
      </c>
      <c r="C7" t="s">
        <v>124</v>
      </c>
      <c r="D7" t="s">
        <v>125</v>
      </c>
      <c r="E7" s="4" t="s">
        <v>64</v>
      </c>
      <c r="F7" s="3">
        <v>1.9555046283066726E-3</v>
      </c>
      <c r="G7" s="3">
        <v>1.4444817733707499E-3</v>
      </c>
      <c r="H7" s="3">
        <v>4.8506266060747323E-3</v>
      </c>
      <c r="I7" s="3">
        <v>2.9689251011853386E-3</v>
      </c>
      <c r="J7" s="3">
        <v>6.1332831557499856E-3</v>
      </c>
      <c r="K7" s="3">
        <v>6.2230620024443378E-3</v>
      </c>
      <c r="L7" s="3">
        <v>7.9341159321329683E-3</v>
      </c>
      <c r="M7" s="3">
        <v>7.2808199776805086E-3</v>
      </c>
      <c r="N7" s="3">
        <v>1.1450059642861695E-2</v>
      </c>
      <c r="O7" s="3">
        <v>7.642785468758395E-3</v>
      </c>
      <c r="P7" s="3">
        <v>1.4118841964526537E-2</v>
      </c>
      <c r="Q7" s="3">
        <v>8.979868013520546E-3</v>
      </c>
      <c r="R7" s="3">
        <v>1.6439336595061631E-2</v>
      </c>
      <c r="S7" s="3">
        <v>1.1073364823084355E-2</v>
      </c>
      <c r="T7" s="3">
        <v>1.7881617977735499E-2</v>
      </c>
      <c r="U7" s="3">
        <v>1.373890625363945E-2</v>
      </c>
      <c r="V7" s="3">
        <v>2.0018330733574292E-2</v>
      </c>
      <c r="W7" s="3">
        <v>1.4924668227140765E-2</v>
      </c>
      <c r="X7" s="3">
        <v>2.3173292504344783E-2</v>
      </c>
      <c r="Y7" s="3">
        <v>1.7464646138943565E-2</v>
      </c>
      <c r="Z7" s="3">
        <v>2.6663966833701071E-2</v>
      </c>
      <c r="AA7" s="3">
        <v>2.7893391600233453E-2</v>
      </c>
      <c r="AB7" s="3">
        <v>3.3139843977245197E-2</v>
      </c>
      <c r="AC7" s="3">
        <v>3.6548496431847793E-2</v>
      </c>
      <c r="AD7" s="3">
        <v>3.8929948312430664E-2</v>
      </c>
      <c r="AE7" s="3">
        <v>4.6537761203292317E-2</v>
      </c>
      <c r="AF7" s="3">
        <v>4.9498060155195492E-2</v>
      </c>
      <c r="AG7" s="3">
        <v>4.8743308851667146E-2</v>
      </c>
      <c r="AH7" s="3">
        <v>6.2159836721572548E-2</v>
      </c>
      <c r="AI7" s="3">
        <v>5.1836736383455005E-2</v>
      </c>
      <c r="AJ7" s="3">
        <v>8.3118740122663751E-2</v>
      </c>
      <c r="AK7" s="3">
        <v>0.1168205734558888</v>
      </c>
      <c r="AL7" s="3">
        <v>8.4284808505095662E-2</v>
      </c>
    </row>
    <row r="8" spans="1:38" x14ac:dyDescent="0.35">
      <c r="A8" s="7">
        <v>43101</v>
      </c>
      <c r="B8" s="7">
        <v>43190</v>
      </c>
      <c r="C8" t="s">
        <v>124</v>
      </c>
      <c r="D8" t="s">
        <v>125</v>
      </c>
      <c r="E8" s="4">
        <v>2</v>
      </c>
      <c r="F8" s="3">
        <v>2.8970218996252142E-3</v>
      </c>
      <c r="G8" s="3">
        <v>2.3689152749164387E-3</v>
      </c>
      <c r="H8" s="3">
        <v>5.8484518920303586E-3</v>
      </c>
      <c r="I8" s="3">
        <v>3.9556911621240762E-3</v>
      </c>
      <c r="J8" s="3">
        <v>7.0601310643130044E-3</v>
      </c>
      <c r="K8" s="3">
        <v>7.1981062270383362E-3</v>
      </c>
      <c r="L8" s="3">
        <v>8.8450446295011212E-3</v>
      </c>
      <c r="M8" s="3">
        <v>8.2346432484778458E-3</v>
      </c>
      <c r="N8" s="3">
        <v>1.238232419933108E-2</v>
      </c>
      <c r="O8" s="3">
        <v>8.5946840775588326E-3</v>
      </c>
      <c r="P8" s="3">
        <v>1.504054701935875E-2</v>
      </c>
      <c r="Q8" s="3">
        <v>9.9192192002095156E-3</v>
      </c>
      <c r="R8" s="3">
        <v>1.7371166603959768E-2</v>
      </c>
      <c r="S8" s="3">
        <v>1.2041012010300826E-2</v>
      </c>
      <c r="T8" s="3">
        <v>1.8831479692354037E-2</v>
      </c>
      <c r="U8" s="3">
        <v>1.4687198648127538E-2</v>
      </c>
      <c r="V8" s="3">
        <v>2.0993338675699427E-2</v>
      </c>
      <c r="W8" s="3">
        <v>1.5890880083179657E-2</v>
      </c>
      <c r="X8" s="3">
        <v>2.414075459663979E-2</v>
      </c>
      <c r="Y8" s="3">
        <v>1.8458963417643245E-2</v>
      </c>
      <c r="Z8" s="3">
        <v>2.7599887843882988E-2</v>
      </c>
      <c r="AA8" s="3">
        <v>2.8867198078455506E-2</v>
      </c>
      <c r="AB8" s="3">
        <v>3.4078492929563477E-2</v>
      </c>
      <c r="AC8" s="3">
        <v>3.7451398081860633E-2</v>
      </c>
      <c r="AD8" s="3">
        <v>3.984576144832034E-2</v>
      </c>
      <c r="AE8" s="3">
        <v>4.744267502963543E-2</v>
      </c>
      <c r="AF8" s="3">
        <v>5.0471262341356134E-2</v>
      </c>
      <c r="AG8" s="3">
        <v>4.9721406261892226E-2</v>
      </c>
      <c r="AH8" s="3">
        <v>6.3088969605302594E-2</v>
      </c>
      <c r="AI8" s="3">
        <v>5.2827014311840927E-2</v>
      </c>
      <c r="AJ8" s="3">
        <v>8.4050826477839929E-2</v>
      </c>
      <c r="AK8" s="3">
        <v>0.11776338686442323</v>
      </c>
      <c r="AL8" s="3">
        <v>8.5187624453367236E-2</v>
      </c>
    </row>
    <row r="9" spans="1:38" x14ac:dyDescent="0.35">
      <c r="A9" s="7">
        <v>43101</v>
      </c>
      <c r="B9" s="7">
        <v>43190</v>
      </c>
      <c r="C9" t="s">
        <v>124</v>
      </c>
      <c r="D9" t="s">
        <v>125</v>
      </c>
      <c r="E9" s="4" t="s">
        <v>65</v>
      </c>
      <c r="F9" s="3">
        <v>3.8925880436026291E-3</v>
      </c>
      <c r="G9" s="3">
        <v>3.3293087884667567E-3</v>
      </c>
      <c r="H9" s="3">
        <v>6.8196563712744074E-3</v>
      </c>
      <c r="I9" s="3">
        <v>4.8932082139034102E-3</v>
      </c>
      <c r="J9" s="3">
        <v>8.0132646367332746E-3</v>
      </c>
      <c r="K9" s="3">
        <v>8.1358307951268742E-3</v>
      </c>
      <c r="L9" s="3">
        <v>9.7746624752325668E-3</v>
      </c>
      <c r="M9" s="3">
        <v>9.1797473929750139E-3</v>
      </c>
      <c r="N9" s="3">
        <v>1.3293207543458285E-2</v>
      </c>
      <c r="O9" s="3">
        <v>9.5448669156472064E-3</v>
      </c>
      <c r="P9" s="3">
        <v>1.6028482383182132E-2</v>
      </c>
      <c r="Q9" s="3">
        <v>1.0902780731733957E-2</v>
      </c>
      <c r="R9" s="3">
        <v>1.8290724980076223E-2</v>
      </c>
      <c r="S9" s="3">
        <v>1.2959929011024785E-2</v>
      </c>
      <c r="T9" s="3">
        <v>1.9744417994947586E-2</v>
      </c>
      <c r="U9" s="3">
        <v>1.5652317576269625E-2</v>
      </c>
      <c r="V9" s="3">
        <v>2.1913480248590571E-2</v>
      </c>
      <c r="W9" s="3">
        <v>1.6850251791674657E-2</v>
      </c>
      <c r="X9" s="3">
        <v>2.5122262773781382E-2</v>
      </c>
      <c r="Y9" s="3">
        <v>1.9373228437165709E-2</v>
      </c>
      <c r="Z9" s="3">
        <v>2.8590145397651652E-2</v>
      </c>
      <c r="AA9" s="3">
        <v>2.9820686831295171E-2</v>
      </c>
      <c r="AB9" s="3">
        <v>3.5042504808221867E-2</v>
      </c>
      <c r="AC9" s="3">
        <v>3.8366638261812719E-2</v>
      </c>
      <c r="AD9" s="3">
        <v>4.0762272908770117E-2</v>
      </c>
      <c r="AE9" s="3">
        <v>4.8423160064546077E-2</v>
      </c>
      <c r="AF9" s="3">
        <v>5.1429679229339921E-2</v>
      </c>
      <c r="AG9" s="3">
        <v>5.0661021251319487E-2</v>
      </c>
      <c r="AH9" s="3">
        <v>6.4006290793609949E-2</v>
      </c>
      <c r="AI9" s="3">
        <v>5.3762463089604771E-2</v>
      </c>
      <c r="AJ9" s="3">
        <v>8.4999678600142931E-2</v>
      </c>
      <c r="AK9" s="3">
        <v>0.11869337850398419</v>
      </c>
      <c r="AL9" s="3">
        <v>8.6170594043826487E-2</v>
      </c>
    </row>
    <row r="10" spans="1:38" x14ac:dyDescent="0.35">
      <c r="A10" s="7">
        <v>43101</v>
      </c>
      <c r="B10" s="7">
        <v>43190</v>
      </c>
      <c r="C10" t="s">
        <v>124</v>
      </c>
      <c r="D10" t="s">
        <v>125</v>
      </c>
      <c r="E10" s="4" t="s">
        <v>66</v>
      </c>
      <c r="F10" s="3">
        <v>4.8164316239651976E-3</v>
      </c>
      <c r="G10" s="3">
        <v>4.2797589194579228E-3</v>
      </c>
      <c r="H10" s="3">
        <v>7.8081053091731585E-3</v>
      </c>
      <c r="I10" s="3">
        <v>5.8671138528759836E-3</v>
      </c>
      <c r="J10" s="3">
        <v>8.9852878840056237E-3</v>
      </c>
      <c r="K10" s="3">
        <v>9.0839267564754595E-3</v>
      </c>
      <c r="L10" s="3">
        <v>1.0760408681570018E-2</v>
      </c>
      <c r="M10" s="3">
        <v>1.0139345117331524E-2</v>
      </c>
      <c r="N10" s="3">
        <v>1.4274630476066415E-2</v>
      </c>
      <c r="O10" s="3">
        <v>1.0495680412953486E-2</v>
      </c>
      <c r="P10" s="3">
        <v>1.6990447680038118E-2</v>
      </c>
      <c r="Q10" s="3">
        <v>1.1867473360407806E-2</v>
      </c>
      <c r="R10" s="3">
        <v>1.9253792917843317E-2</v>
      </c>
      <c r="S10" s="3">
        <v>1.393208750331036E-2</v>
      </c>
      <c r="T10" s="3">
        <v>2.0668036280152662E-2</v>
      </c>
      <c r="U10" s="3">
        <v>1.6594488698087415E-2</v>
      </c>
      <c r="V10" s="3">
        <v>2.2858979945907135E-2</v>
      </c>
      <c r="W10" s="3">
        <v>1.7841963462791443E-2</v>
      </c>
      <c r="X10" s="3">
        <v>2.6025110373458438E-2</v>
      </c>
      <c r="Y10" s="3">
        <v>2.0349523078769728E-2</v>
      </c>
      <c r="Z10" s="3">
        <v>2.9543861718213046E-2</v>
      </c>
      <c r="AA10" s="3">
        <v>3.0733705693309476E-2</v>
      </c>
      <c r="AB10" s="3">
        <v>3.5989763352759906E-2</v>
      </c>
      <c r="AC10" s="3">
        <v>3.9327036642431687E-2</v>
      </c>
      <c r="AD10" s="3">
        <v>4.1690749612420919E-2</v>
      </c>
      <c r="AE10" s="3">
        <v>4.9419860058073889E-2</v>
      </c>
      <c r="AF10" s="3">
        <v>5.2365926051764183E-2</v>
      </c>
      <c r="AG10" s="3">
        <v>5.1587901413566957E-2</v>
      </c>
      <c r="AH10" s="3">
        <v>6.4992861093754614E-2</v>
      </c>
      <c r="AI10" s="3">
        <v>5.473896489795009E-2</v>
      </c>
      <c r="AJ10" s="3">
        <v>8.5927084835442799E-2</v>
      </c>
      <c r="AK10" s="3">
        <v>0.11969048553650631</v>
      </c>
      <c r="AL10" s="3">
        <v>8.7084027690595589E-2</v>
      </c>
    </row>
    <row r="11" spans="1:38" x14ac:dyDescent="0.35">
      <c r="A11" s="7">
        <v>43101</v>
      </c>
      <c r="B11" s="7">
        <v>43190</v>
      </c>
      <c r="C11" t="s">
        <v>124</v>
      </c>
      <c r="D11" t="s">
        <v>125</v>
      </c>
      <c r="E11" s="4">
        <v>3</v>
      </c>
      <c r="F11" s="3">
        <v>5.8093132293695927E-3</v>
      </c>
      <c r="G11" s="3">
        <v>5.2059708113497121E-3</v>
      </c>
      <c r="H11" s="3">
        <v>8.7994041119458764E-3</v>
      </c>
      <c r="I11" s="3">
        <v>6.7806188390019022E-3</v>
      </c>
      <c r="J11" s="3">
        <v>9.9273131857093039E-3</v>
      </c>
      <c r="K11" s="3">
        <v>1.0058551719849628E-2</v>
      </c>
      <c r="L11" s="3">
        <v>1.1707387777530491E-2</v>
      </c>
      <c r="M11" s="3">
        <v>1.1118831932959119E-2</v>
      </c>
      <c r="N11" s="3">
        <v>1.519713920879525E-2</v>
      </c>
      <c r="O11" s="3">
        <v>1.1479170774394741E-2</v>
      </c>
      <c r="P11" s="3">
        <v>1.7981297683726239E-2</v>
      </c>
      <c r="Q11" s="3">
        <v>1.2781588451177517E-2</v>
      </c>
      <c r="R11" s="3">
        <v>2.0192268792738499E-2</v>
      </c>
      <c r="S11" s="3">
        <v>1.4930679296247284E-2</v>
      </c>
      <c r="T11" s="3">
        <v>2.1601194914300653E-2</v>
      </c>
      <c r="U11" s="3">
        <v>1.749763379652771E-2</v>
      </c>
      <c r="V11" s="3">
        <v>2.3767134065234195E-2</v>
      </c>
      <c r="W11" s="3">
        <v>1.8762297852789871E-2</v>
      </c>
      <c r="X11" s="3">
        <v>2.6956300324280601E-2</v>
      </c>
      <c r="Y11" s="3">
        <v>2.129224629278198E-2</v>
      </c>
      <c r="Z11" s="3">
        <v>3.0504517540770239E-2</v>
      </c>
      <c r="AA11" s="3">
        <v>3.173032040789113E-2</v>
      </c>
      <c r="AB11" s="3">
        <v>3.6903407085099336E-2</v>
      </c>
      <c r="AC11" s="3">
        <v>4.0289714971796502E-2</v>
      </c>
      <c r="AD11" s="3">
        <v>4.2671491768077573E-2</v>
      </c>
      <c r="AE11" s="3">
        <v>5.0325299562678429E-2</v>
      </c>
      <c r="AF11" s="3">
        <v>5.3270462377958912E-2</v>
      </c>
      <c r="AG11" s="3">
        <v>5.2507018551669837E-2</v>
      </c>
      <c r="AH11" s="3">
        <v>6.5920201824883395E-2</v>
      </c>
      <c r="AI11" s="3">
        <v>5.5656346334527179E-2</v>
      </c>
      <c r="AJ11" s="3">
        <v>8.6834155019339318E-2</v>
      </c>
      <c r="AK11" s="3">
        <v>0.1206366766033987</v>
      </c>
      <c r="AL11" s="3">
        <v>8.7987526266215171E-2</v>
      </c>
    </row>
    <row r="12" spans="1:38" x14ac:dyDescent="0.35">
      <c r="A12" s="7">
        <v>43101</v>
      </c>
      <c r="B12" s="7">
        <v>43190</v>
      </c>
      <c r="C12" t="s">
        <v>124</v>
      </c>
      <c r="D12" t="s">
        <v>125</v>
      </c>
      <c r="E12" s="4" t="s">
        <v>67</v>
      </c>
      <c r="F12" s="3">
        <v>6.7583386736877332E-3</v>
      </c>
      <c r="G12" s="3">
        <v>6.1140668603792189E-3</v>
      </c>
      <c r="H12" s="3">
        <v>9.7349615351173327E-3</v>
      </c>
      <c r="I12" s="3">
        <v>7.7164836331189762E-3</v>
      </c>
      <c r="J12" s="3">
        <v>1.084636742679331E-2</v>
      </c>
      <c r="K12" s="3">
        <v>1.1010486371479274E-2</v>
      </c>
      <c r="L12" s="3">
        <v>1.2665024302281877E-2</v>
      </c>
      <c r="M12" s="3">
        <v>1.2085829953676566E-2</v>
      </c>
      <c r="N12" s="3">
        <v>1.6100322924584062E-2</v>
      </c>
      <c r="O12" s="3">
        <v>1.2446438544002566E-2</v>
      </c>
      <c r="P12" s="3">
        <v>1.8887358319701071E-2</v>
      </c>
      <c r="Q12" s="3">
        <v>1.3705992518516546E-2</v>
      </c>
      <c r="R12" s="3">
        <v>2.1104972754014864E-2</v>
      </c>
      <c r="S12" s="3">
        <v>1.5890796136354191E-2</v>
      </c>
      <c r="T12" s="3">
        <v>2.2517306360080137E-2</v>
      </c>
      <c r="U12" s="3">
        <v>1.8481023873773615E-2</v>
      </c>
      <c r="V12" s="3">
        <v>2.4733842563750844E-2</v>
      </c>
      <c r="W12" s="3">
        <v>1.9669938527937057E-2</v>
      </c>
      <c r="X12" s="3">
        <v>2.7875780282546468E-2</v>
      </c>
      <c r="Y12" s="3">
        <v>2.2260285664062861E-2</v>
      </c>
      <c r="Z12" s="3">
        <v>3.1447037965201673E-2</v>
      </c>
      <c r="AA12" s="3">
        <v>3.2681929848966049E-2</v>
      </c>
      <c r="AB12" s="3">
        <v>3.7820791014653327E-2</v>
      </c>
      <c r="AC12" s="3">
        <v>4.1225848263291689E-2</v>
      </c>
      <c r="AD12" s="3">
        <v>4.3575165230735007E-2</v>
      </c>
      <c r="AE12" s="3">
        <v>5.1305686528439115E-2</v>
      </c>
      <c r="AF12" s="3">
        <v>5.4233725413743869E-2</v>
      </c>
      <c r="AG12" s="3">
        <v>5.3482815954358526E-2</v>
      </c>
      <c r="AH12" s="3">
        <v>6.6849924185783408E-2</v>
      </c>
      <c r="AI12" s="3">
        <v>5.6643603818231331E-2</v>
      </c>
      <c r="AJ12" s="3">
        <v>8.7792846378674474E-2</v>
      </c>
      <c r="AK12" s="3">
        <v>0.12163408093916621</v>
      </c>
      <c r="AL12" s="3">
        <v>8.8952963912685618E-2</v>
      </c>
    </row>
    <row r="13" spans="1:38" x14ac:dyDescent="0.35">
      <c r="A13" s="7">
        <v>43101</v>
      </c>
      <c r="B13" s="7">
        <v>43190</v>
      </c>
      <c r="C13" t="s">
        <v>124</v>
      </c>
      <c r="D13" t="s">
        <v>125</v>
      </c>
      <c r="E13" s="4" t="s">
        <v>68</v>
      </c>
      <c r="F13" s="3">
        <v>7.7391976220217767E-3</v>
      </c>
      <c r="G13" s="3">
        <v>7.0401123839988729E-3</v>
      </c>
      <c r="H13" s="3">
        <v>1.0642241261176211E-2</v>
      </c>
      <c r="I13" s="3">
        <v>8.7080170457777273E-3</v>
      </c>
      <c r="J13" s="3">
        <v>1.1757571708418508E-2</v>
      </c>
      <c r="K13" s="3">
        <v>1.1966037413180702E-2</v>
      </c>
      <c r="L13" s="3">
        <v>1.3653307044733314E-2</v>
      </c>
      <c r="M13" s="3">
        <v>1.3027658446906204E-2</v>
      </c>
      <c r="N13" s="3">
        <v>1.700772108729889E-2</v>
      </c>
      <c r="O13" s="3">
        <v>1.3405401536441366E-2</v>
      </c>
      <c r="P13" s="3">
        <v>1.9876462331655482E-2</v>
      </c>
      <c r="Q13" s="3">
        <v>1.4671343263786902E-2</v>
      </c>
      <c r="R13" s="3">
        <v>2.203438301816343E-2</v>
      </c>
      <c r="S13" s="3">
        <v>1.6820873196983933E-2</v>
      </c>
      <c r="T13" s="3">
        <v>2.3433727451292765E-2</v>
      </c>
      <c r="U13" s="3">
        <v>1.9477800013649862E-2</v>
      </c>
      <c r="V13" s="3">
        <v>2.5709102113335696E-2</v>
      </c>
      <c r="W13" s="3">
        <v>2.065798921465448E-2</v>
      </c>
      <c r="X13" s="3">
        <v>2.8801267945788959E-2</v>
      </c>
      <c r="Y13" s="3">
        <v>2.3207699194427795E-2</v>
      </c>
      <c r="Z13" s="3">
        <v>3.2390312450374541E-2</v>
      </c>
      <c r="AA13" s="3">
        <v>3.365309053550835E-2</v>
      </c>
      <c r="AB13" s="3">
        <v>3.8781201174315112E-2</v>
      </c>
      <c r="AC13" s="3">
        <v>4.2188469893734454E-2</v>
      </c>
      <c r="AD13" s="3">
        <v>4.448037654250861E-2</v>
      </c>
      <c r="AE13" s="3">
        <v>5.2223518133722273E-2</v>
      </c>
      <c r="AF13" s="3">
        <v>5.5186289388047011E-2</v>
      </c>
      <c r="AG13" s="3">
        <v>5.4406298040132625E-2</v>
      </c>
      <c r="AH13" s="3">
        <v>6.7754335980998129E-2</v>
      </c>
      <c r="AI13" s="3">
        <v>5.7604606311731983E-2</v>
      </c>
      <c r="AJ13" s="3">
        <v>8.8773460343661181E-2</v>
      </c>
      <c r="AK13" s="3">
        <v>0.12258290963650199</v>
      </c>
      <c r="AL13" s="3">
        <v>8.9900851408525939E-2</v>
      </c>
    </row>
    <row r="14" spans="1:38" x14ac:dyDescent="0.35">
      <c r="A14" s="7">
        <v>43101</v>
      </c>
      <c r="B14" s="7">
        <v>43190</v>
      </c>
      <c r="C14" t="s">
        <v>124</v>
      </c>
      <c r="D14" t="s">
        <v>125</v>
      </c>
      <c r="E14" s="4">
        <v>4</v>
      </c>
      <c r="F14" s="3">
        <v>8.6871118527651198E-3</v>
      </c>
      <c r="G14" s="3">
        <v>7.9551358344736259E-3</v>
      </c>
      <c r="H14" s="3">
        <v>1.1574657158047511E-2</v>
      </c>
      <c r="I14" s="3">
        <v>9.6494885959371116E-3</v>
      </c>
      <c r="J14" s="3">
        <v>1.2728649950114241E-2</v>
      </c>
      <c r="K14" s="3">
        <v>1.2933984380575959E-2</v>
      </c>
      <c r="L14" s="3">
        <v>1.460077636818825E-2</v>
      </c>
      <c r="M14" s="3">
        <v>1.3930131542778522E-2</v>
      </c>
      <c r="N14" s="3">
        <v>1.7946966069131612E-2</v>
      </c>
      <c r="O14" s="3">
        <v>1.4338873967426632E-2</v>
      </c>
      <c r="P14" s="3">
        <v>2.0856967046642347E-2</v>
      </c>
      <c r="Q14" s="3">
        <v>1.5664872848888501E-2</v>
      </c>
      <c r="R14" s="3">
        <v>2.2977525764767102E-2</v>
      </c>
      <c r="S14" s="3">
        <v>1.7791025093767298E-2</v>
      </c>
      <c r="T14" s="3">
        <v>2.4378022305578263E-2</v>
      </c>
      <c r="U14" s="3">
        <v>2.0468649631014298E-2</v>
      </c>
      <c r="V14" s="3">
        <v>2.6666048141618878E-2</v>
      </c>
      <c r="W14" s="3">
        <v>2.1580033371126336E-2</v>
      </c>
      <c r="X14" s="3">
        <v>2.9741895793428758E-2</v>
      </c>
      <c r="Y14" s="3">
        <v>2.4140618258473624E-2</v>
      </c>
      <c r="Z14" s="3">
        <v>3.3390188726632124E-2</v>
      </c>
      <c r="AA14" s="3">
        <v>3.4575139555686148E-2</v>
      </c>
      <c r="AB14" s="3">
        <v>3.9705172164359759E-2</v>
      </c>
      <c r="AC14" s="3">
        <v>4.3171971954915601E-2</v>
      </c>
      <c r="AD14" s="3">
        <v>4.5385210637260101E-2</v>
      </c>
      <c r="AE14" s="3">
        <v>5.3193441864314989E-2</v>
      </c>
      <c r="AF14" s="3">
        <v>5.6117816364555241E-2</v>
      </c>
      <c r="AG14" s="3">
        <v>5.5348939251239015E-2</v>
      </c>
      <c r="AH14" s="3">
        <v>6.8749052053499321E-2</v>
      </c>
      <c r="AI14" s="3">
        <v>5.8571938732369364E-2</v>
      </c>
      <c r="AJ14" s="3">
        <v>8.9715422799307734E-2</v>
      </c>
      <c r="AK14" s="3">
        <v>0.12356655400287085</v>
      </c>
      <c r="AL14" s="3">
        <v>9.0817861900126778E-2</v>
      </c>
    </row>
    <row r="15" spans="1:38" x14ac:dyDescent="0.35">
      <c r="A15" s="7">
        <v>43101</v>
      </c>
      <c r="B15" s="7">
        <v>43190</v>
      </c>
      <c r="C15" t="s">
        <v>124</v>
      </c>
      <c r="D15" t="s">
        <v>125</v>
      </c>
      <c r="E15" s="4" t="s">
        <v>69</v>
      </c>
      <c r="F15" s="3">
        <v>9.6633406642420705E-3</v>
      </c>
      <c r="G15" s="3">
        <v>8.8567841877101317E-3</v>
      </c>
      <c r="H15" s="3">
        <v>1.2516670482588144E-2</v>
      </c>
      <c r="I15" s="3">
        <v>1.0613877354440141E-2</v>
      </c>
      <c r="J15" s="3">
        <v>1.3665005216227521E-2</v>
      </c>
      <c r="K15" s="3">
        <v>1.3896986844783427E-2</v>
      </c>
      <c r="L15" s="3">
        <v>1.5517567647322292E-2</v>
      </c>
      <c r="M15" s="3">
        <v>1.4913898212994449E-2</v>
      </c>
      <c r="N15" s="3">
        <v>1.8902640946801167E-2</v>
      </c>
      <c r="O15" s="3">
        <v>1.5285534809126988E-2</v>
      </c>
      <c r="P15" s="3">
        <v>2.1782291759152264E-2</v>
      </c>
      <c r="Q15" s="3">
        <v>1.662869558926414E-2</v>
      </c>
      <c r="R15" s="3">
        <v>2.391445965152484E-2</v>
      </c>
      <c r="S15" s="3">
        <v>1.8763060110870457E-2</v>
      </c>
      <c r="T15" s="3">
        <v>2.5316843693128623E-2</v>
      </c>
      <c r="U15" s="3">
        <v>2.1445309033417466E-2</v>
      </c>
      <c r="V15" s="3">
        <v>2.7583538133656129E-2</v>
      </c>
      <c r="W15" s="3">
        <v>2.2500495259273386E-2</v>
      </c>
      <c r="X15" s="3">
        <v>3.0730557773519358E-2</v>
      </c>
      <c r="Y15" s="3">
        <v>2.5049873203161498E-2</v>
      </c>
      <c r="Z15" s="3">
        <v>3.4380516132835014E-2</v>
      </c>
      <c r="AA15" s="3">
        <v>3.5536616039588888E-2</v>
      </c>
      <c r="AB15" s="3">
        <v>4.0674492333930001E-2</v>
      </c>
      <c r="AC15" s="3">
        <v>4.4144902683848131E-2</v>
      </c>
      <c r="AD15" s="3">
        <v>4.6289604606180174E-2</v>
      </c>
      <c r="AE15" s="3">
        <v>5.4180960165628241E-2</v>
      </c>
      <c r="AF15" s="3">
        <v>5.7053919066883008E-2</v>
      </c>
      <c r="AG15" s="3">
        <v>5.6257482062810907E-2</v>
      </c>
      <c r="AH15" s="3">
        <v>6.9699819231343885E-2</v>
      </c>
      <c r="AI15" s="3">
        <v>5.9562776545488701E-2</v>
      </c>
      <c r="AJ15" s="3">
        <v>9.0707800169766276E-2</v>
      </c>
      <c r="AK15" s="3">
        <v>0.12451313615786119</v>
      </c>
      <c r="AL15" s="3">
        <v>9.1732767645065466E-2</v>
      </c>
    </row>
    <row r="16" spans="1:38" x14ac:dyDescent="0.35">
      <c r="A16" s="7">
        <v>43101</v>
      </c>
      <c r="B16" s="7">
        <v>43190</v>
      </c>
      <c r="C16" t="s">
        <v>124</v>
      </c>
      <c r="D16" t="s">
        <v>125</v>
      </c>
      <c r="E16" s="4" t="s">
        <v>70</v>
      </c>
      <c r="F16" s="3">
        <v>1.0615006950827514E-2</v>
      </c>
      <c r="G16" s="3">
        <v>9.7629176956889521E-3</v>
      </c>
      <c r="H16" s="3">
        <v>1.3502258168549955E-2</v>
      </c>
      <c r="I16" s="3">
        <v>1.1532143139689066E-2</v>
      </c>
      <c r="J16" s="3">
        <v>1.4610253000537966E-2</v>
      </c>
      <c r="K16" s="3">
        <v>1.4871243633954574E-2</v>
      </c>
      <c r="L16" s="3">
        <v>1.6506458227018361E-2</v>
      </c>
      <c r="M16" s="3">
        <v>1.5822139340595884E-2</v>
      </c>
      <c r="N16" s="3">
        <v>1.9879240678301116E-2</v>
      </c>
      <c r="O16" s="3">
        <v>1.6241603607676743E-2</v>
      </c>
      <c r="P16" s="3">
        <v>2.2699213581187008E-2</v>
      </c>
      <c r="Q16" s="3">
        <v>1.7624472251490889E-2</v>
      </c>
      <c r="R16" s="3">
        <v>2.4870656963362825E-2</v>
      </c>
      <c r="S16" s="3">
        <v>1.9729596604833866E-2</v>
      </c>
      <c r="T16" s="3">
        <v>2.6228818340475298E-2</v>
      </c>
      <c r="U16" s="3">
        <v>2.2352468210182243E-2</v>
      </c>
      <c r="V16" s="3">
        <v>2.8513458477405225E-2</v>
      </c>
      <c r="W16" s="3">
        <v>2.349646393134789E-2</v>
      </c>
      <c r="X16" s="3">
        <v>3.171025966002905E-2</v>
      </c>
      <c r="Y16" s="3">
        <v>2.6007331566039356E-2</v>
      </c>
      <c r="Z16" s="3">
        <v>3.5298731543727931E-2</v>
      </c>
      <c r="AA16" s="3">
        <v>3.6467788080590161E-2</v>
      </c>
      <c r="AB16" s="3">
        <v>4.1609447758682513E-2</v>
      </c>
      <c r="AC16" s="3">
        <v>4.506852192541988E-2</v>
      </c>
      <c r="AD16" s="3">
        <v>4.7195598965229249E-2</v>
      </c>
      <c r="AE16" s="3">
        <v>5.5159910045503073E-2</v>
      </c>
      <c r="AF16" s="3">
        <v>5.801261041153194E-2</v>
      </c>
      <c r="AG16" s="3">
        <v>5.7181077966933225E-2</v>
      </c>
      <c r="AH16" s="3">
        <v>7.068823897740123E-2</v>
      </c>
      <c r="AI16" s="3">
        <v>6.0478159208486031E-2</v>
      </c>
      <c r="AJ16" s="3">
        <v>9.161490997768823E-2</v>
      </c>
      <c r="AK16" s="3">
        <v>0.1254369045674463</v>
      </c>
      <c r="AL16" s="3">
        <v>9.27167941862439E-2</v>
      </c>
    </row>
    <row r="17" spans="1:38" x14ac:dyDescent="0.35">
      <c r="A17" s="7">
        <v>43101</v>
      </c>
      <c r="B17" s="7">
        <v>43190</v>
      </c>
      <c r="C17" t="s">
        <v>124</v>
      </c>
      <c r="D17" t="s">
        <v>125</v>
      </c>
      <c r="E17" s="4">
        <v>5</v>
      </c>
      <c r="F17" s="3">
        <v>1.153703461634195E-2</v>
      </c>
      <c r="G17" s="3">
        <v>1.0701871493965603E-2</v>
      </c>
      <c r="H17" s="3">
        <v>1.4445141600718848E-2</v>
      </c>
      <c r="I17" s="3">
        <v>1.2501354570931673E-2</v>
      </c>
      <c r="J17" s="3">
        <v>1.5587162076532107E-2</v>
      </c>
      <c r="K17" s="3">
        <v>1.5857435763598306E-2</v>
      </c>
      <c r="L17" s="3">
        <v>1.7430411032710386E-2</v>
      </c>
      <c r="M17" s="3">
        <v>1.6758382469180051E-2</v>
      </c>
      <c r="N17" s="3">
        <v>2.0798630295579261E-2</v>
      </c>
      <c r="O17" s="3">
        <v>1.72040035593766E-2</v>
      </c>
      <c r="P17" s="3">
        <v>2.360787218744272E-2</v>
      </c>
      <c r="Q17" s="3">
        <v>1.8617434133182263E-2</v>
      </c>
      <c r="R17" s="3">
        <v>2.5787960327398798E-2</v>
      </c>
      <c r="S17" s="3">
        <v>2.0703405383414305E-2</v>
      </c>
      <c r="T17" s="3">
        <v>2.7149752994239301E-2</v>
      </c>
      <c r="U17" s="3">
        <v>2.3294855162885611E-2</v>
      </c>
      <c r="V17" s="3">
        <v>2.9445158938770949E-2</v>
      </c>
      <c r="W17" s="3">
        <v>2.4435172399565139E-2</v>
      </c>
      <c r="X17" s="3">
        <v>3.2687938236702893E-2</v>
      </c>
      <c r="Y17" s="3">
        <v>2.6914191192636463E-2</v>
      </c>
      <c r="Z17" s="3">
        <v>3.6274350429703735E-2</v>
      </c>
      <c r="AA17" s="3">
        <v>3.7416623636127196E-2</v>
      </c>
      <c r="AB17" s="3">
        <v>4.2529849427629184E-2</v>
      </c>
      <c r="AC17" s="3">
        <v>4.6045960511612784E-2</v>
      </c>
      <c r="AD17" s="3">
        <v>4.8128988861040549E-2</v>
      </c>
      <c r="AE17" s="3">
        <v>5.6095845061382758E-2</v>
      </c>
      <c r="AF17" s="3">
        <v>5.8952002646676112E-2</v>
      </c>
      <c r="AG17" s="3">
        <v>5.8096016217194402E-2</v>
      </c>
      <c r="AH17" s="3">
        <v>7.1637865264380846E-2</v>
      </c>
      <c r="AI17" s="3">
        <v>6.1439136470290402E-2</v>
      </c>
      <c r="AJ17" s="3">
        <v>9.2555173913923219E-2</v>
      </c>
      <c r="AK17" s="3">
        <v>0.12637465627533181</v>
      </c>
      <c r="AL17" s="3">
        <v>9.3630237274814329E-2</v>
      </c>
    </row>
    <row r="18" spans="1:38" x14ac:dyDescent="0.35">
      <c r="A18" s="7">
        <v>43101</v>
      </c>
      <c r="B18" s="7">
        <v>43190</v>
      </c>
      <c r="C18" t="s">
        <v>124</v>
      </c>
      <c r="D18" t="s">
        <v>125</v>
      </c>
      <c r="E18" s="4" t="s">
        <v>71</v>
      </c>
      <c r="F18" s="3">
        <v>1.245224753299351E-2</v>
      </c>
      <c r="G18" s="3">
        <v>1.1654426749807153E-2</v>
      </c>
      <c r="H18" s="3">
        <v>1.5363432166752955E-2</v>
      </c>
      <c r="I18" s="3">
        <v>1.3483817499054614E-2</v>
      </c>
      <c r="J18" s="3">
        <v>1.6515522119146912E-2</v>
      </c>
      <c r="K18" s="3">
        <v>1.6823752741559953E-2</v>
      </c>
      <c r="L18" s="3">
        <v>1.8378703526991808E-2</v>
      </c>
      <c r="M18" s="3">
        <v>1.7729505019661453E-2</v>
      </c>
      <c r="N18" s="3">
        <v>2.1743765763705465E-2</v>
      </c>
      <c r="O18" s="3">
        <v>1.8147549646481919E-2</v>
      </c>
      <c r="P18" s="3">
        <v>2.4550369849464026E-2</v>
      </c>
      <c r="Q18" s="3">
        <v>1.9553807159928726E-2</v>
      </c>
      <c r="R18" s="3">
        <v>2.6760856877947638E-2</v>
      </c>
      <c r="S18" s="3">
        <v>2.16326614592347E-2</v>
      </c>
      <c r="T18" s="3">
        <v>2.814608545157446E-2</v>
      </c>
      <c r="U18" s="3">
        <v>2.4256183992917527E-2</v>
      </c>
      <c r="V18" s="3">
        <v>3.0377722287246611E-2</v>
      </c>
      <c r="W18" s="3">
        <v>2.5363475537645862E-2</v>
      </c>
      <c r="X18" s="3">
        <v>3.3639852635564363E-2</v>
      </c>
      <c r="Y18" s="3">
        <v>2.7890286602368895E-2</v>
      </c>
      <c r="Z18" s="3">
        <v>3.7238787352116498E-2</v>
      </c>
      <c r="AA18" s="3">
        <v>3.8342734437073867E-2</v>
      </c>
      <c r="AB18" s="3">
        <v>4.3497644430090965E-2</v>
      </c>
      <c r="AC18" s="3">
        <v>4.69918284991825E-2</v>
      </c>
      <c r="AD18" s="3">
        <v>4.9106986994260957E-2</v>
      </c>
      <c r="AE18" s="3">
        <v>5.6996109513219109E-2</v>
      </c>
      <c r="AF18" s="3">
        <v>5.9944347119404856E-2</v>
      </c>
      <c r="AG18" s="3">
        <v>5.9024576265395139E-2</v>
      </c>
      <c r="AH18" s="3">
        <v>7.2586131170948864E-2</v>
      </c>
      <c r="AI18" s="3">
        <v>6.2356007964590066E-2</v>
      </c>
      <c r="AJ18" s="3">
        <v>9.3491764138789096E-2</v>
      </c>
      <c r="AK18" s="3">
        <v>0.12733627909692014</v>
      </c>
      <c r="AL18" s="3">
        <v>9.4620321119172929E-2</v>
      </c>
    </row>
    <row r="19" spans="1:38" x14ac:dyDescent="0.35">
      <c r="A19" s="7">
        <v>43101</v>
      </c>
      <c r="B19" s="7">
        <v>43190</v>
      </c>
      <c r="C19" t="s">
        <v>124</v>
      </c>
      <c r="D19" t="s">
        <v>125</v>
      </c>
      <c r="E19" s="4" t="s">
        <v>72</v>
      </c>
      <c r="F19" s="3">
        <v>1.3450044671522951E-2</v>
      </c>
      <c r="G19" s="3">
        <v>1.2597382233771229E-2</v>
      </c>
      <c r="H19" s="3">
        <v>1.6342643582357916E-2</v>
      </c>
      <c r="I19" s="3">
        <v>1.4385083984993944E-2</v>
      </c>
      <c r="J19" s="3">
        <v>1.7439457241266824E-2</v>
      </c>
      <c r="K19" s="3">
        <v>1.7751167672111452E-2</v>
      </c>
      <c r="L19" s="3">
        <v>1.9302334066026029E-2</v>
      </c>
      <c r="M19" s="3">
        <v>1.8652328412065006E-2</v>
      </c>
      <c r="N19" s="3">
        <v>2.2725725299334882E-2</v>
      </c>
      <c r="O19" s="3">
        <v>1.9140423901663064E-2</v>
      </c>
      <c r="P19" s="3">
        <v>2.5457192690454405E-2</v>
      </c>
      <c r="Q19" s="3">
        <v>2.048045621830168E-2</v>
      </c>
      <c r="R19" s="3">
        <v>2.7759113026973644E-2</v>
      </c>
      <c r="S19" s="3">
        <v>2.259962150081939E-2</v>
      </c>
      <c r="T19" s="3">
        <v>2.907939710107179E-2</v>
      </c>
      <c r="U19" s="3">
        <v>2.5217342664606346E-2</v>
      </c>
      <c r="V19" s="3">
        <v>3.1302257703269831E-2</v>
      </c>
      <c r="W19" s="3">
        <v>2.6357885367248684E-2</v>
      </c>
      <c r="X19" s="3">
        <v>3.463615542369796E-2</v>
      </c>
      <c r="Y19" s="3">
        <v>2.8804233856917435E-2</v>
      </c>
      <c r="Z19" s="3">
        <v>3.8147907091145454E-2</v>
      </c>
      <c r="AA19" s="3">
        <v>3.9309724026127174E-2</v>
      </c>
      <c r="AB19" s="3">
        <v>4.4488798515799476E-2</v>
      </c>
      <c r="AC19" s="3">
        <v>4.792984619827844E-2</v>
      </c>
      <c r="AD19" s="3">
        <v>5.0088608205711052E-2</v>
      </c>
      <c r="AE19" s="3">
        <v>5.7913454609532261E-2</v>
      </c>
      <c r="AF19" s="3">
        <v>6.0888516304205165E-2</v>
      </c>
      <c r="AG19" s="3">
        <v>5.9967069472016528E-2</v>
      </c>
      <c r="AH19" s="3">
        <v>7.3548762409441124E-2</v>
      </c>
      <c r="AI19" s="3">
        <v>6.3265720475586096E-2</v>
      </c>
      <c r="AJ19" s="3">
        <v>9.4423095300345858E-2</v>
      </c>
      <c r="AK19" s="3">
        <v>0.12824715508668147</v>
      </c>
      <c r="AL19" s="3">
        <v>9.5599606762433398E-2</v>
      </c>
    </row>
    <row r="20" spans="1:38" x14ac:dyDescent="0.35">
      <c r="A20" s="7">
        <v>43101</v>
      </c>
      <c r="B20" s="7">
        <v>43190</v>
      </c>
      <c r="C20" t="s">
        <v>124</v>
      </c>
      <c r="D20" t="s">
        <v>125</v>
      </c>
      <c r="E20" s="4">
        <v>6</v>
      </c>
      <c r="F20" s="3">
        <v>1.4354710843880236E-2</v>
      </c>
      <c r="G20" s="3">
        <v>1.3514300466315894E-2</v>
      </c>
      <c r="H20" s="3">
        <v>1.7340015876603176E-2</v>
      </c>
      <c r="I20" s="3">
        <v>1.5287553075633288E-2</v>
      </c>
      <c r="J20" s="3">
        <v>1.8343677994122679E-2</v>
      </c>
      <c r="K20" s="3">
        <v>1.8711866595613344E-2</v>
      </c>
      <c r="L20" s="3">
        <v>2.0205108654712537E-2</v>
      </c>
      <c r="M20" s="3">
        <v>1.9600622392565027E-2</v>
      </c>
      <c r="N20" s="3">
        <v>2.3686311833625705E-2</v>
      </c>
      <c r="O20" s="3">
        <v>2.0132774067928759E-2</v>
      </c>
      <c r="P20" s="3">
        <v>2.6358899286446989E-2</v>
      </c>
      <c r="Q20" s="3">
        <v>2.1464201327189191E-2</v>
      </c>
      <c r="R20" s="3">
        <v>2.8697114376885581E-2</v>
      </c>
      <c r="S20" s="3">
        <v>2.3529621074183445E-2</v>
      </c>
      <c r="T20" s="3">
        <v>3.0015743625293943E-2</v>
      </c>
      <c r="U20" s="3">
        <v>2.6216862234903306E-2</v>
      </c>
      <c r="V20" s="3">
        <v>3.230073576320746E-2</v>
      </c>
      <c r="W20" s="3">
        <v>2.7262787163677034E-2</v>
      </c>
      <c r="X20" s="3">
        <v>3.561369834049085E-2</v>
      </c>
      <c r="Y20" s="3">
        <v>2.973475792981161E-2</v>
      </c>
      <c r="Z20" s="3">
        <v>3.9087418767790733E-2</v>
      </c>
      <c r="AA20" s="3">
        <v>4.0306843346533047E-2</v>
      </c>
      <c r="AB20" s="3">
        <v>4.5420502837275466E-2</v>
      </c>
      <c r="AC20" s="3">
        <v>4.8884595950778494E-2</v>
      </c>
      <c r="AD20" s="3">
        <v>5.1050407256270192E-2</v>
      </c>
      <c r="AE20" s="3">
        <v>5.8893066680813289E-2</v>
      </c>
      <c r="AF20" s="3">
        <v>6.1864382115662565E-2</v>
      </c>
      <c r="AG20" s="3">
        <v>6.0938529481590481E-2</v>
      </c>
      <c r="AH20" s="3">
        <v>7.449188301553189E-2</v>
      </c>
      <c r="AI20" s="3">
        <v>6.4234623648672856E-2</v>
      </c>
      <c r="AJ20" s="3">
        <v>9.5357824946687292E-2</v>
      </c>
      <c r="AK20" s="3">
        <v>0.1291501469799699</v>
      </c>
      <c r="AL20" s="3">
        <v>9.6550800991794569E-2</v>
      </c>
    </row>
    <row r="21" spans="1:38" x14ac:dyDescent="0.35">
      <c r="A21" s="7">
        <v>43101</v>
      </c>
      <c r="B21" s="7">
        <v>43190</v>
      </c>
      <c r="C21" t="s">
        <v>124</v>
      </c>
      <c r="D21" t="s">
        <v>125</v>
      </c>
      <c r="E21" s="4" t="s">
        <v>73</v>
      </c>
      <c r="F21" s="3">
        <v>1.5312982379720074E-2</v>
      </c>
      <c r="G21" s="3">
        <v>1.4470863826427659E-2</v>
      </c>
      <c r="H21" s="3">
        <v>1.8272189463267363E-2</v>
      </c>
      <c r="I21" s="3">
        <v>1.6251364017709529E-2</v>
      </c>
      <c r="J21" s="3">
        <v>1.9343484503988224E-2</v>
      </c>
      <c r="K21" s="3">
        <v>1.9691342019618512E-2</v>
      </c>
      <c r="L21" s="3">
        <v>2.1162612339023008E-2</v>
      </c>
      <c r="M21" s="3">
        <v>2.0555545551511262E-2</v>
      </c>
      <c r="N21" s="3">
        <v>2.4618632179344738E-2</v>
      </c>
      <c r="O21" s="3">
        <v>2.1106025837637675E-2</v>
      </c>
      <c r="P21" s="3">
        <v>2.7346096550348659E-2</v>
      </c>
      <c r="Q21" s="3">
        <v>2.2377473187230702E-2</v>
      </c>
      <c r="R21" s="3">
        <v>2.9660540987732849E-2</v>
      </c>
      <c r="S21" s="3">
        <v>2.4450464703823917E-2</v>
      </c>
      <c r="T21" s="3">
        <v>3.0969993380739844E-2</v>
      </c>
      <c r="U21" s="3">
        <v>2.7159888659726593E-2</v>
      </c>
      <c r="V21" s="3">
        <v>3.3258205706464358E-2</v>
      </c>
      <c r="W21" s="3">
        <v>2.8245864887336613E-2</v>
      </c>
      <c r="X21" s="3">
        <v>3.6565189098086058E-2</v>
      </c>
      <c r="Y21" s="3">
        <v>3.0693615381737826E-2</v>
      </c>
      <c r="Z21" s="3">
        <v>4.0085669834437107E-2</v>
      </c>
      <c r="AA21" s="3">
        <v>4.122605395002267E-2</v>
      </c>
      <c r="AB21" s="3">
        <v>4.6387327504087472E-2</v>
      </c>
      <c r="AC21" s="3">
        <v>4.9850499388342871E-2</v>
      </c>
      <c r="AD21" s="3">
        <v>5.199554172111405E-2</v>
      </c>
      <c r="AE21" s="3">
        <v>5.9813620383519554E-2</v>
      </c>
      <c r="AF21" s="3">
        <v>6.2833211364047278E-2</v>
      </c>
      <c r="AG21" s="3">
        <v>6.1856344163987477E-2</v>
      </c>
      <c r="AH21" s="3">
        <v>7.5407203055284769E-2</v>
      </c>
      <c r="AI21" s="3">
        <v>6.5160503509014353E-2</v>
      </c>
      <c r="AJ21" s="3">
        <v>9.6303598878923286E-2</v>
      </c>
      <c r="AK21" s="3">
        <v>0.13011849031913039</v>
      </c>
      <c r="AL21" s="3">
        <v>9.7468812547561789E-2</v>
      </c>
    </row>
    <row r="22" spans="1:38" x14ac:dyDescent="0.35">
      <c r="A22" s="7">
        <v>43101</v>
      </c>
      <c r="B22" s="7">
        <v>43190</v>
      </c>
      <c r="C22" t="s">
        <v>124</v>
      </c>
      <c r="D22" t="s">
        <v>125</v>
      </c>
      <c r="E22" s="4" t="s">
        <v>74</v>
      </c>
      <c r="F22" s="3">
        <v>1.6290655936053604E-2</v>
      </c>
      <c r="G22" s="3">
        <v>1.5415482453008581E-2</v>
      </c>
      <c r="H22" s="3">
        <v>1.9192327521774254E-2</v>
      </c>
      <c r="I22" s="3">
        <v>1.7167024517393371E-2</v>
      </c>
      <c r="J22" s="3">
        <v>2.0298200600403268E-2</v>
      </c>
      <c r="K22" s="3">
        <v>2.0669033421348501E-2</v>
      </c>
      <c r="L22" s="3">
        <v>2.2106092157626923E-2</v>
      </c>
      <c r="M22" s="3">
        <v>2.1545130551937467E-2</v>
      </c>
      <c r="N22" s="3">
        <v>2.5578105083387995E-2</v>
      </c>
      <c r="O22" s="3">
        <v>2.204120607577428E-2</v>
      </c>
      <c r="P22" s="3">
        <v>2.8272222742774852E-2</v>
      </c>
      <c r="Q22" s="3">
        <v>2.3288973979576768E-2</v>
      </c>
      <c r="R22" s="3">
        <v>3.0609713962831183E-2</v>
      </c>
      <c r="S22" s="3">
        <v>2.542336786006209E-2</v>
      </c>
      <c r="T22" s="3">
        <v>3.1900284765182828E-2</v>
      </c>
      <c r="U22" s="3">
        <v>2.8116043510631933E-2</v>
      </c>
      <c r="V22" s="3">
        <v>3.4186005067337315E-2</v>
      </c>
      <c r="W22" s="3">
        <v>2.9200134180994541E-2</v>
      </c>
      <c r="X22" s="3">
        <v>3.7472847689605307E-2</v>
      </c>
      <c r="Y22" s="3">
        <v>3.1598365149331155E-2</v>
      </c>
      <c r="Z22" s="3">
        <v>4.1011640450528096E-2</v>
      </c>
      <c r="AA22" s="3">
        <v>4.2220768312793533E-2</v>
      </c>
      <c r="AB22" s="3">
        <v>4.7295568211983774E-2</v>
      </c>
      <c r="AC22" s="3">
        <v>5.0817523142215132E-2</v>
      </c>
      <c r="AD22" s="3">
        <v>5.2934228027242791E-2</v>
      </c>
      <c r="AE22" s="3">
        <v>6.0742569693424418E-2</v>
      </c>
      <c r="AF22" s="3">
        <v>6.3746419203997554E-2</v>
      </c>
      <c r="AG22" s="3">
        <v>6.2804327105100019E-2</v>
      </c>
      <c r="AH22" s="3">
        <v>7.6403550330891065E-2</v>
      </c>
      <c r="AI22" s="3">
        <v>6.6092727841256096E-2</v>
      </c>
      <c r="AJ22" s="3">
        <v>9.7220330762728374E-2</v>
      </c>
      <c r="AK22" s="3">
        <v>0.1310672106212174</v>
      </c>
      <c r="AL22" s="3">
        <v>9.8425010059577878E-2</v>
      </c>
    </row>
    <row r="23" spans="1:38" x14ac:dyDescent="0.35">
      <c r="A23" s="7">
        <v>43101</v>
      </c>
      <c r="B23" s="7">
        <v>43190</v>
      </c>
      <c r="C23" t="s">
        <v>124</v>
      </c>
      <c r="D23" t="s">
        <v>125</v>
      </c>
      <c r="E23" s="4">
        <v>7</v>
      </c>
      <c r="F23" s="3">
        <v>1.7278276553716283E-2</v>
      </c>
      <c r="G23" s="3">
        <v>1.6329177705657585E-2</v>
      </c>
      <c r="H23" s="3">
        <v>2.0099318153345837E-2</v>
      </c>
      <c r="I23" s="3">
        <v>1.8083811526251506E-2</v>
      </c>
      <c r="J23" s="3">
        <v>2.1213419842575455E-2</v>
      </c>
      <c r="K23" s="3">
        <v>2.158380085956102E-2</v>
      </c>
      <c r="L23" s="3">
        <v>2.3092812186156275E-2</v>
      </c>
      <c r="M23" s="3">
        <v>2.2540381363158706E-2</v>
      </c>
      <c r="N23" s="3">
        <v>2.6541323345427748E-2</v>
      </c>
      <c r="O23" s="3">
        <v>2.2991421638006951E-2</v>
      </c>
      <c r="P23" s="3">
        <v>2.9236981442763748E-2</v>
      </c>
      <c r="Q23" s="3">
        <v>2.4234541478731421E-2</v>
      </c>
      <c r="R23" s="3">
        <v>3.1559390111168401E-2</v>
      </c>
      <c r="S23" s="3">
        <v>2.6346904198118623E-2</v>
      </c>
      <c r="T23" s="3">
        <v>3.2816080504292425E-2</v>
      </c>
      <c r="U23" s="3">
        <v>2.9027736685895592E-2</v>
      </c>
      <c r="V23" s="3">
        <v>3.5124858987900853E-2</v>
      </c>
      <c r="W23" s="3">
        <v>3.0144763825180405E-2</v>
      </c>
      <c r="X23" s="3">
        <v>3.8388336794213065E-2</v>
      </c>
      <c r="Y23" s="3">
        <v>3.259125705272968E-2</v>
      </c>
      <c r="Z23" s="3">
        <v>4.1977016347356205E-2</v>
      </c>
      <c r="AA23" s="3">
        <v>4.3209543585266665E-2</v>
      </c>
      <c r="AB23" s="3">
        <v>4.8258125568611837E-2</v>
      </c>
      <c r="AC23" s="3">
        <v>5.1742287354191972E-2</v>
      </c>
      <c r="AD23" s="3">
        <v>5.3887157903794752E-2</v>
      </c>
      <c r="AE23" s="3">
        <v>6.1662762776687488E-2</v>
      </c>
      <c r="AF23" s="3">
        <v>6.4712813964452512E-2</v>
      </c>
      <c r="AG23" s="3">
        <v>6.3782994599508799E-2</v>
      </c>
      <c r="AH23" s="3">
        <v>7.7382315806652655E-2</v>
      </c>
      <c r="AI23" s="3">
        <v>6.7077913935211592E-2</v>
      </c>
      <c r="AJ23" s="3">
        <v>9.8205983513070985E-2</v>
      </c>
      <c r="AK23" s="3">
        <v>0.13197013151438969</v>
      </c>
      <c r="AL23" s="3">
        <v>9.9385016335746867E-2</v>
      </c>
    </row>
    <row r="24" spans="1:38" x14ac:dyDescent="0.35">
      <c r="A24" s="7">
        <v>43101</v>
      </c>
      <c r="B24" s="7">
        <v>43190</v>
      </c>
      <c r="C24" t="s">
        <v>124</v>
      </c>
      <c r="D24" t="s">
        <v>125</v>
      </c>
      <c r="E24" s="4" t="s">
        <v>75</v>
      </c>
      <c r="F24" s="3">
        <v>1.818248827263521E-2</v>
      </c>
      <c r="G24" s="3">
        <v>1.7301753966505143E-2</v>
      </c>
      <c r="H24" s="3">
        <v>2.1026838639232933E-2</v>
      </c>
      <c r="I24" s="3">
        <v>1.9067557852125033E-2</v>
      </c>
      <c r="J24" s="3">
        <v>2.2201709327723484E-2</v>
      </c>
      <c r="K24" s="3">
        <v>2.2550622839863751E-2</v>
      </c>
      <c r="L24" s="3">
        <v>2.4066014601750962E-2</v>
      </c>
      <c r="M24" s="3">
        <v>2.3515759061131503E-2</v>
      </c>
      <c r="N24" s="3">
        <v>2.7527017636710616E-2</v>
      </c>
      <c r="O24" s="3">
        <v>2.39567489982212E-2</v>
      </c>
      <c r="P24" s="3">
        <v>3.0147315452805593E-2</v>
      </c>
      <c r="Q24" s="3">
        <v>2.5200116122030655E-2</v>
      </c>
      <c r="R24" s="3">
        <v>3.2524190394425521E-2</v>
      </c>
      <c r="S24" s="3">
        <v>2.7342902962852914E-2</v>
      </c>
      <c r="T24" s="3">
        <v>3.3756386656798407E-2</v>
      </c>
      <c r="U24" s="3">
        <v>3.0005559472231803E-2</v>
      </c>
      <c r="V24" s="3">
        <v>3.6047358524636863E-2</v>
      </c>
      <c r="W24" s="3">
        <v>3.1140598489951501E-2</v>
      </c>
      <c r="X24" s="3">
        <v>3.9328808699077421E-2</v>
      </c>
      <c r="Y24" s="3">
        <v>3.3560360891625424E-2</v>
      </c>
      <c r="Z24" s="3">
        <v>4.2974746221220002E-2</v>
      </c>
      <c r="AA24" s="3">
        <v>4.4143034001964808E-2</v>
      </c>
      <c r="AB24" s="3">
        <v>4.9196010653543364E-2</v>
      </c>
      <c r="AC24" s="3">
        <v>5.2649617469505111E-2</v>
      </c>
      <c r="AD24" s="3">
        <v>5.4819400436061254E-2</v>
      </c>
      <c r="AE24" s="3">
        <v>6.2639145127280957E-2</v>
      </c>
      <c r="AF24" s="3">
        <v>6.5675499657925518E-2</v>
      </c>
      <c r="AG24" s="3">
        <v>6.4723641932776493E-2</v>
      </c>
      <c r="AH24" s="3">
        <v>7.8313030512954712E-2</v>
      </c>
      <c r="AI24" s="3">
        <v>6.803977311247475E-2</v>
      </c>
      <c r="AJ24" s="3">
        <v>9.9160320959379489E-2</v>
      </c>
      <c r="AK24" s="3">
        <v>0.13292404775594543</v>
      </c>
      <c r="AL24" s="3">
        <v>0.10032571407201984</v>
      </c>
    </row>
    <row r="25" spans="1:38" x14ac:dyDescent="0.35">
      <c r="A25" s="7">
        <v>43101</v>
      </c>
      <c r="B25" s="7">
        <v>43190</v>
      </c>
      <c r="C25" t="s">
        <v>127</v>
      </c>
      <c r="D25" t="s">
        <v>125</v>
      </c>
      <c r="E25" s="4">
        <v>1</v>
      </c>
      <c r="F25" s="3">
        <v>2.3987235415080067E-2</v>
      </c>
      <c r="G25" s="3">
        <v>2.3522336342949562E-2</v>
      </c>
      <c r="H25" s="3">
        <v>2.6904631230141238E-2</v>
      </c>
      <c r="I25" s="3">
        <v>2.5059051771753754E-2</v>
      </c>
      <c r="J25" s="3">
        <v>2.8214931408311057E-2</v>
      </c>
      <c r="K25" s="3">
        <v>2.8265446267055655E-2</v>
      </c>
      <c r="L25" s="3">
        <v>2.9982197143763191E-2</v>
      </c>
      <c r="M25" s="3">
        <v>2.9375022539147158E-2</v>
      </c>
      <c r="N25" s="3">
        <v>3.3507892750587853E-2</v>
      </c>
      <c r="O25" s="3">
        <v>2.9706515013046782E-2</v>
      </c>
      <c r="P25" s="3">
        <v>3.6154611745470945E-2</v>
      </c>
      <c r="Q25" s="3">
        <v>3.1068234094442877E-2</v>
      </c>
      <c r="R25" s="3">
        <v>3.8456126253836605E-2</v>
      </c>
      <c r="S25" s="3">
        <v>3.314272616399698E-2</v>
      </c>
      <c r="T25" s="3">
        <v>3.9907674061615848E-2</v>
      </c>
      <c r="U25" s="3">
        <v>3.5823319048479053E-2</v>
      </c>
      <c r="V25" s="3">
        <v>4.204753562160251E-2</v>
      </c>
      <c r="W25" s="3">
        <v>3.6978029939151655E-2</v>
      </c>
      <c r="X25" s="3">
        <v>4.5194112106792327E-2</v>
      </c>
      <c r="Y25" s="3">
        <v>3.9541921398612769E-2</v>
      </c>
      <c r="Z25" s="3">
        <v>4.8720350031989594E-2</v>
      </c>
      <c r="AA25" s="3">
        <v>4.9938659601285303E-2</v>
      </c>
      <c r="AB25" s="3">
        <v>5.52208891354583E-2</v>
      </c>
      <c r="AC25" s="3">
        <v>5.8598276343003582E-2</v>
      </c>
      <c r="AD25" s="3">
        <v>6.0975244868088717E-2</v>
      </c>
      <c r="AE25" s="3">
        <v>6.863030761393521E-2</v>
      </c>
      <c r="AF25" s="3">
        <v>7.1530260528803763E-2</v>
      </c>
      <c r="AG25" s="3">
        <v>7.0821994417673784E-2</v>
      </c>
      <c r="AH25" s="3">
        <v>8.4201092314036607E-2</v>
      </c>
      <c r="AI25" s="3">
        <v>7.3923580014799817E-2</v>
      </c>
      <c r="AJ25" s="3">
        <v>0.10518899962977327</v>
      </c>
      <c r="AK25" s="3">
        <v>0.13888203667397347</v>
      </c>
      <c r="AL25" s="3">
        <v>0.10638283042429544</v>
      </c>
    </row>
    <row r="26" spans="1:38" x14ac:dyDescent="0.35">
      <c r="A26" s="7">
        <v>43101</v>
      </c>
      <c r="B26" s="7">
        <v>43190</v>
      </c>
      <c r="C26" t="s">
        <v>127</v>
      </c>
      <c r="D26" t="s">
        <v>125</v>
      </c>
      <c r="E26" s="4" t="s">
        <v>64</v>
      </c>
      <c r="F26" s="3">
        <v>2.4955504628306674E-2</v>
      </c>
      <c r="G26" s="3">
        <v>2.444448177337075E-2</v>
      </c>
      <c r="H26" s="3">
        <v>2.7850626606074732E-2</v>
      </c>
      <c r="I26" s="3">
        <v>2.5968925101185338E-2</v>
      </c>
      <c r="J26" s="3">
        <v>2.9133283155749985E-2</v>
      </c>
      <c r="K26" s="3">
        <v>2.9223062002444337E-2</v>
      </c>
      <c r="L26" s="3">
        <v>3.0934115932132966E-2</v>
      </c>
      <c r="M26" s="3">
        <v>3.0280819977680506E-2</v>
      </c>
      <c r="N26" s="3">
        <v>3.4450059642861693E-2</v>
      </c>
      <c r="O26" s="3">
        <v>3.0642785468758395E-2</v>
      </c>
      <c r="P26" s="3">
        <v>3.7118841964526535E-2</v>
      </c>
      <c r="Q26" s="3">
        <v>3.1979868013520547E-2</v>
      </c>
      <c r="R26" s="3">
        <v>3.943933659506163E-2</v>
      </c>
      <c r="S26" s="3">
        <v>3.4073364823084352E-2</v>
      </c>
      <c r="T26" s="3">
        <v>4.0881617977735499E-2</v>
      </c>
      <c r="U26" s="3">
        <v>3.6738906253639451E-2</v>
      </c>
      <c r="V26" s="3">
        <v>4.3018330733574292E-2</v>
      </c>
      <c r="W26" s="3">
        <v>3.7924668227140766E-2</v>
      </c>
      <c r="X26" s="3">
        <v>4.6173292504344779E-2</v>
      </c>
      <c r="Y26" s="3">
        <v>4.0464646138943565E-2</v>
      </c>
      <c r="Z26" s="3">
        <v>4.966396683370107E-2</v>
      </c>
      <c r="AA26" s="3">
        <v>5.0893391600233456E-2</v>
      </c>
      <c r="AB26" s="3">
        <v>5.6139843977245196E-2</v>
      </c>
      <c r="AC26" s="3">
        <v>5.9548496431847793E-2</v>
      </c>
      <c r="AD26" s="3">
        <v>6.1929948312430663E-2</v>
      </c>
      <c r="AE26" s="3">
        <v>6.9537761203292317E-2</v>
      </c>
      <c r="AF26" s="3">
        <v>7.2498060155195498E-2</v>
      </c>
      <c r="AG26" s="3">
        <v>7.1743308851667145E-2</v>
      </c>
      <c r="AH26" s="3">
        <v>8.515983672157254E-2</v>
      </c>
      <c r="AI26" s="3">
        <v>7.4836736383455005E-2</v>
      </c>
      <c r="AJ26" s="3">
        <v>0.10611874012266376</v>
      </c>
      <c r="AK26" s="3">
        <v>0.1398205734558888</v>
      </c>
      <c r="AL26" s="3">
        <v>0.10728480850509567</v>
      </c>
    </row>
    <row r="27" spans="1:38" x14ac:dyDescent="0.35">
      <c r="A27" s="7">
        <v>43101</v>
      </c>
      <c r="B27" s="7">
        <v>43190</v>
      </c>
      <c r="C27" t="s">
        <v>127</v>
      </c>
      <c r="D27" t="s">
        <v>125</v>
      </c>
      <c r="E27" s="4">
        <v>2</v>
      </c>
      <c r="F27" s="3">
        <v>2.5897021899625214E-2</v>
      </c>
      <c r="G27" s="3">
        <v>2.5368915274916439E-2</v>
      </c>
      <c r="H27" s="3">
        <v>2.8848451892030356E-2</v>
      </c>
      <c r="I27" s="3">
        <v>2.6955691162124075E-2</v>
      </c>
      <c r="J27" s="3">
        <v>3.0060131064313003E-2</v>
      </c>
      <c r="K27" s="3">
        <v>3.0198106227038335E-2</v>
      </c>
      <c r="L27" s="3">
        <v>3.1845044629501121E-2</v>
      </c>
      <c r="M27" s="3">
        <v>3.1234643248477845E-2</v>
      </c>
      <c r="N27" s="3">
        <v>3.5382324199331079E-2</v>
      </c>
      <c r="O27" s="3">
        <v>3.1594684077558832E-2</v>
      </c>
      <c r="P27" s="3">
        <v>3.8040547019358752E-2</v>
      </c>
      <c r="Q27" s="3">
        <v>3.2919219200209515E-2</v>
      </c>
      <c r="R27" s="3">
        <v>4.0371166603959771E-2</v>
      </c>
      <c r="S27" s="3">
        <v>3.5041012010300826E-2</v>
      </c>
      <c r="T27" s="3">
        <v>4.183147969235404E-2</v>
      </c>
      <c r="U27" s="3">
        <v>3.7687198648127536E-2</v>
      </c>
      <c r="V27" s="3">
        <v>4.3993338675699427E-2</v>
      </c>
      <c r="W27" s="3">
        <v>3.889088008317966E-2</v>
      </c>
      <c r="X27" s="3">
        <v>4.7140754596639786E-2</v>
      </c>
      <c r="Y27" s="3">
        <v>4.1458963417643241E-2</v>
      </c>
      <c r="Z27" s="3">
        <v>5.0599887843882987E-2</v>
      </c>
      <c r="AA27" s="3">
        <v>5.1867198078455509E-2</v>
      </c>
      <c r="AB27" s="3">
        <v>5.7078492929563476E-2</v>
      </c>
      <c r="AC27" s="3">
        <v>6.0451398081860633E-2</v>
      </c>
      <c r="AD27" s="3">
        <v>6.2845761448320339E-2</v>
      </c>
      <c r="AE27" s="3">
        <v>7.0442675029635429E-2</v>
      </c>
      <c r="AF27" s="3">
        <v>7.3471262341356133E-2</v>
      </c>
      <c r="AG27" s="3">
        <v>7.2721406261892219E-2</v>
      </c>
      <c r="AH27" s="3">
        <v>8.6088969605302601E-2</v>
      </c>
      <c r="AI27" s="3">
        <v>7.5827014311840926E-2</v>
      </c>
      <c r="AJ27" s="3">
        <v>0.10705082647783992</v>
      </c>
      <c r="AK27" s="3">
        <v>0.14076338686442322</v>
      </c>
      <c r="AL27" s="3">
        <v>0.10818762445336724</v>
      </c>
    </row>
    <row r="28" spans="1:38" x14ac:dyDescent="0.35">
      <c r="A28" s="7">
        <v>43101</v>
      </c>
      <c r="B28" s="7">
        <v>43190</v>
      </c>
      <c r="C28" t="s">
        <v>127</v>
      </c>
      <c r="D28" t="s">
        <v>125</v>
      </c>
      <c r="E28" s="4" t="s">
        <v>65</v>
      </c>
      <c r="F28" s="3">
        <v>2.689258804360263E-2</v>
      </c>
      <c r="G28" s="3">
        <v>2.6329308788466756E-2</v>
      </c>
      <c r="H28" s="3">
        <v>2.9819656371274407E-2</v>
      </c>
      <c r="I28" s="3">
        <v>2.7893208213903412E-2</v>
      </c>
      <c r="J28" s="3">
        <v>3.1013264636733276E-2</v>
      </c>
      <c r="K28" s="3">
        <v>3.1135830795126874E-2</v>
      </c>
      <c r="L28" s="3">
        <v>3.2774662475232565E-2</v>
      </c>
      <c r="M28" s="3">
        <v>3.2179747392975015E-2</v>
      </c>
      <c r="N28" s="3">
        <v>3.6293207543458286E-2</v>
      </c>
      <c r="O28" s="3">
        <v>3.2544866915647203E-2</v>
      </c>
      <c r="P28" s="3">
        <v>3.9028482383182128E-2</v>
      </c>
      <c r="Q28" s="3">
        <v>3.3902780731733959E-2</v>
      </c>
      <c r="R28" s="3">
        <v>4.1290724980076222E-2</v>
      </c>
      <c r="S28" s="3">
        <v>3.5959929011024787E-2</v>
      </c>
      <c r="T28" s="3">
        <v>4.2744417994947589E-2</v>
      </c>
      <c r="U28" s="3">
        <v>3.8652317576269621E-2</v>
      </c>
      <c r="V28" s="3">
        <v>4.491348024859057E-2</v>
      </c>
      <c r="W28" s="3">
        <v>3.985025179167466E-2</v>
      </c>
      <c r="X28" s="3">
        <v>4.8122262773781385E-2</v>
      </c>
      <c r="Y28" s="3">
        <v>4.2373228437165705E-2</v>
      </c>
      <c r="Z28" s="3">
        <v>5.1590145397651652E-2</v>
      </c>
      <c r="AA28" s="3">
        <v>5.282068683129517E-2</v>
      </c>
      <c r="AB28" s="3">
        <v>5.8042504808221866E-2</v>
      </c>
      <c r="AC28" s="3">
        <v>6.1366638261812718E-2</v>
      </c>
      <c r="AD28" s="3">
        <v>6.3762272908770123E-2</v>
      </c>
      <c r="AE28" s="3">
        <v>7.1423160064546076E-2</v>
      </c>
      <c r="AF28" s="3">
        <v>7.4429679229339921E-2</v>
      </c>
      <c r="AG28" s="3">
        <v>7.3661021251319486E-2</v>
      </c>
      <c r="AH28" s="3">
        <v>8.7006290793609942E-2</v>
      </c>
      <c r="AI28" s="3">
        <v>7.6762463089604771E-2</v>
      </c>
      <c r="AJ28" s="3">
        <v>0.10799967860014292</v>
      </c>
      <c r="AK28" s="3">
        <v>0.1416933785039842</v>
      </c>
      <c r="AL28" s="3">
        <v>0.10917059404382648</v>
      </c>
    </row>
    <row r="29" spans="1:38" x14ac:dyDescent="0.35">
      <c r="A29" s="7">
        <v>43101</v>
      </c>
      <c r="B29" s="7">
        <v>43190</v>
      </c>
      <c r="C29" t="s">
        <v>127</v>
      </c>
      <c r="D29" t="s">
        <v>125</v>
      </c>
      <c r="E29" s="4" t="s">
        <v>66</v>
      </c>
      <c r="F29" s="3">
        <v>2.7816431623965198E-2</v>
      </c>
      <c r="G29" s="3">
        <v>2.7279758919457921E-2</v>
      </c>
      <c r="H29" s="3">
        <v>3.0808105309173158E-2</v>
      </c>
      <c r="I29" s="3">
        <v>2.8867113852875985E-2</v>
      </c>
      <c r="J29" s="3">
        <v>3.198528788400562E-2</v>
      </c>
      <c r="K29" s="3">
        <v>3.2083926756475457E-2</v>
      </c>
      <c r="L29" s="3">
        <v>3.3760408681570014E-2</v>
      </c>
      <c r="M29" s="3">
        <v>3.313934511733152E-2</v>
      </c>
      <c r="N29" s="3">
        <v>3.7274630476066412E-2</v>
      </c>
      <c r="O29" s="3">
        <v>3.3495680412953484E-2</v>
      </c>
      <c r="P29" s="3">
        <v>3.9990447680038121E-2</v>
      </c>
      <c r="Q29" s="3">
        <v>3.4867473360407804E-2</v>
      </c>
      <c r="R29" s="3">
        <v>4.2253792917843314E-2</v>
      </c>
      <c r="S29" s="3">
        <v>3.6932087503310361E-2</v>
      </c>
      <c r="T29" s="3">
        <v>4.3668036280152658E-2</v>
      </c>
      <c r="U29" s="3">
        <v>3.9594488698087418E-2</v>
      </c>
      <c r="V29" s="3">
        <v>4.5858979945907138E-2</v>
      </c>
      <c r="W29" s="3">
        <v>4.0841963462791439E-2</v>
      </c>
      <c r="X29" s="3">
        <v>4.9025110373458441E-2</v>
      </c>
      <c r="Y29" s="3">
        <v>4.3349523078769728E-2</v>
      </c>
      <c r="Z29" s="3">
        <v>5.2543861718213042E-2</v>
      </c>
      <c r="AA29" s="3">
        <v>5.3733705693309472E-2</v>
      </c>
      <c r="AB29" s="3">
        <v>5.8989763352759905E-2</v>
      </c>
      <c r="AC29" s="3">
        <v>6.2327036642431687E-2</v>
      </c>
      <c r="AD29" s="3">
        <v>6.4690749612420911E-2</v>
      </c>
      <c r="AE29" s="3">
        <v>7.2419860058073882E-2</v>
      </c>
      <c r="AF29" s="3">
        <v>7.5365926051764176E-2</v>
      </c>
      <c r="AG29" s="3">
        <v>7.4587901413566957E-2</v>
      </c>
      <c r="AH29" s="3">
        <v>8.7992861093754621E-2</v>
      </c>
      <c r="AI29" s="3">
        <v>7.7738964897950097E-2</v>
      </c>
      <c r="AJ29" s="3">
        <v>0.10892708483544281</v>
      </c>
      <c r="AK29" s="3">
        <v>0.14269048553650632</v>
      </c>
      <c r="AL29" s="3">
        <v>0.11008402769059558</v>
      </c>
    </row>
    <row r="30" spans="1:38" x14ac:dyDescent="0.35">
      <c r="A30" s="7">
        <v>43101</v>
      </c>
      <c r="B30" s="7">
        <v>43190</v>
      </c>
      <c r="C30" t="s">
        <v>127</v>
      </c>
      <c r="D30" t="s">
        <v>125</v>
      </c>
      <c r="E30" s="4">
        <v>3</v>
      </c>
      <c r="F30" s="3">
        <v>2.8809313229369592E-2</v>
      </c>
      <c r="G30" s="3">
        <v>2.8205970811349713E-2</v>
      </c>
      <c r="H30" s="3">
        <v>3.1799404111945873E-2</v>
      </c>
      <c r="I30" s="3">
        <v>2.9780618839001901E-2</v>
      </c>
      <c r="J30" s="3">
        <v>3.2927313185709302E-2</v>
      </c>
      <c r="K30" s="3">
        <v>3.305855171984963E-2</v>
      </c>
      <c r="L30" s="3">
        <v>3.4707387777530491E-2</v>
      </c>
      <c r="M30" s="3">
        <v>3.4118831932959115E-2</v>
      </c>
      <c r="N30" s="3">
        <v>3.819713920879525E-2</v>
      </c>
      <c r="O30" s="3">
        <v>3.4479170774394739E-2</v>
      </c>
      <c r="P30" s="3">
        <v>4.0981297683726242E-2</v>
      </c>
      <c r="Q30" s="3">
        <v>3.5781588451177515E-2</v>
      </c>
      <c r="R30" s="3">
        <v>4.3192268792738499E-2</v>
      </c>
      <c r="S30" s="3">
        <v>3.7930679296247286E-2</v>
      </c>
      <c r="T30" s="3">
        <v>4.4601194914300653E-2</v>
      </c>
      <c r="U30" s="3">
        <v>4.049763379652771E-2</v>
      </c>
      <c r="V30" s="3">
        <v>4.6767134065234195E-2</v>
      </c>
      <c r="W30" s="3">
        <v>4.176229785278987E-2</v>
      </c>
      <c r="X30" s="3">
        <v>4.9956300324280598E-2</v>
      </c>
      <c r="Y30" s="3">
        <v>4.429224629278198E-2</v>
      </c>
      <c r="Z30" s="3">
        <v>5.3504517540770236E-2</v>
      </c>
      <c r="AA30" s="3">
        <v>5.473032040789113E-2</v>
      </c>
      <c r="AB30" s="3">
        <v>5.9903407085099336E-2</v>
      </c>
      <c r="AC30" s="3">
        <v>6.3289714971796501E-2</v>
      </c>
      <c r="AD30" s="3">
        <v>6.5671491768077572E-2</v>
      </c>
      <c r="AE30" s="3">
        <v>7.3325299562678428E-2</v>
      </c>
      <c r="AF30" s="3">
        <v>7.6270462377958911E-2</v>
      </c>
      <c r="AG30" s="3">
        <v>7.550701855166983E-2</v>
      </c>
      <c r="AH30" s="3">
        <v>8.8920201824883388E-2</v>
      </c>
      <c r="AI30" s="3">
        <v>7.8656346334527172E-2</v>
      </c>
      <c r="AJ30" s="3">
        <v>0.10983415501933932</v>
      </c>
      <c r="AK30" s="3">
        <v>0.14363667660339871</v>
      </c>
      <c r="AL30" s="3">
        <v>0.11098752626621516</v>
      </c>
    </row>
    <row r="31" spans="1:38" x14ac:dyDescent="0.35">
      <c r="A31" s="7">
        <v>43101</v>
      </c>
      <c r="B31" s="7">
        <v>43190</v>
      </c>
      <c r="C31" t="s">
        <v>127</v>
      </c>
      <c r="D31" t="s">
        <v>125</v>
      </c>
      <c r="E31" s="4" t="s">
        <v>67</v>
      </c>
      <c r="F31" s="3">
        <v>2.9758338673687733E-2</v>
      </c>
      <c r="G31" s="3">
        <v>2.911406686037922E-2</v>
      </c>
      <c r="H31" s="3">
        <v>3.2734961535117332E-2</v>
      </c>
      <c r="I31" s="3">
        <v>3.0716483633118977E-2</v>
      </c>
      <c r="J31" s="3">
        <v>3.3846367426793311E-2</v>
      </c>
      <c r="K31" s="3">
        <v>3.401048637147927E-2</v>
      </c>
      <c r="L31" s="3">
        <v>3.5665024302281877E-2</v>
      </c>
      <c r="M31" s="3">
        <v>3.5085829953676567E-2</v>
      </c>
      <c r="N31" s="3">
        <v>3.9100322924584062E-2</v>
      </c>
      <c r="O31" s="3">
        <v>3.5446438544002562E-2</v>
      </c>
      <c r="P31" s="3">
        <v>4.1887358319701071E-2</v>
      </c>
      <c r="Q31" s="3">
        <v>3.6705992518516542E-2</v>
      </c>
      <c r="R31" s="3">
        <v>4.4104972754014864E-2</v>
      </c>
      <c r="S31" s="3">
        <v>3.889079613635419E-2</v>
      </c>
      <c r="T31" s="3">
        <v>4.551730636008014E-2</v>
      </c>
      <c r="U31" s="3">
        <v>4.1481023873773615E-2</v>
      </c>
      <c r="V31" s="3">
        <v>4.7733842563750843E-2</v>
      </c>
      <c r="W31" s="3">
        <v>4.266993852793706E-2</v>
      </c>
      <c r="X31" s="3">
        <v>5.0875780282546468E-2</v>
      </c>
      <c r="Y31" s="3">
        <v>4.5260285664062858E-2</v>
      </c>
      <c r="Z31" s="3">
        <v>5.4447037965201672E-2</v>
      </c>
      <c r="AA31" s="3">
        <v>5.5681929848966048E-2</v>
      </c>
      <c r="AB31" s="3">
        <v>6.0820791014653326E-2</v>
      </c>
      <c r="AC31" s="3">
        <v>6.4225848263291696E-2</v>
      </c>
      <c r="AD31" s="3">
        <v>6.6575165230735006E-2</v>
      </c>
      <c r="AE31" s="3">
        <v>7.4305686528439108E-2</v>
      </c>
      <c r="AF31" s="3">
        <v>7.7233725413743876E-2</v>
      </c>
      <c r="AG31" s="3">
        <v>7.6482815954358518E-2</v>
      </c>
      <c r="AH31" s="3">
        <v>8.9849924185783414E-2</v>
      </c>
      <c r="AI31" s="3">
        <v>7.9643603818231323E-2</v>
      </c>
      <c r="AJ31" s="3">
        <v>0.11079284637867448</v>
      </c>
      <c r="AK31" s="3">
        <v>0.14463408093916622</v>
      </c>
      <c r="AL31" s="3">
        <v>0.11195296391268561</v>
      </c>
    </row>
    <row r="32" spans="1:38" x14ac:dyDescent="0.35">
      <c r="A32" s="7">
        <v>43101</v>
      </c>
      <c r="B32" s="7">
        <v>43190</v>
      </c>
      <c r="C32" t="s">
        <v>127</v>
      </c>
      <c r="D32" t="s">
        <v>125</v>
      </c>
      <c r="E32" s="4" t="s">
        <v>68</v>
      </c>
      <c r="F32" s="3">
        <v>3.0739197622021777E-2</v>
      </c>
      <c r="G32" s="3">
        <v>3.0040112383998872E-2</v>
      </c>
      <c r="H32" s="3">
        <v>3.3642241261176209E-2</v>
      </c>
      <c r="I32" s="3">
        <v>3.1708017045777727E-2</v>
      </c>
      <c r="J32" s="3">
        <v>3.4757571708418505E-2</v>
      </c>
      <c r="K32" s="3">
        <v>3.4966037413180703E-2</v>
      </c>
      <c r="L32" s="3">
        <v>3.665330704473331E-2</v>
      </c>
      <c r="M32" s="3">
        <v>3.6027658446906204E-2</v>
      </c>
      <c r="N32" s="3">
        <v>4.0007721087298886E-2</v>
      </c>
      <c r="O32" s="3">
        <v>3.6405401536441367E-2</v>
      </c>
      <c r="P32" s="3">
        <v>4.2876462331655485E-2</v>
      </c>
      <c r="Q32" s="3">
        <v>3.7671343263786905E-2</v>
      </c>
      <c r="R32" s="3">
        <v>4.5034383018163426E-2</v>
      </c>
      <c r="S32" s="3">
        <v>3.9820873196983936E-2</v>
      </c>
      <c r="T32" s="3">
        <v>4.6433727451292761E-2</v>
      </c>
      <c r="U32" s="3">
        <v>4.2477800013649862E-2</v>
      </c>
      <c r="V32" s="3">
        <v>4.8709102113335692E-2</v>
      </c>
      <c r="W32" s="3">
        <v>4.3657989214654483E-2</v>
      </c>
      <c r="X32" s="3">
        <v>5.1801267945788959E-2</v>
      </c>
      <c r="Y32" s="3">
        <v>4.6207699194427798E-2</v>
      </c>
      <c r="Z32" s="3">
        <v>5.539031245037454E-2</v>
      </c>
      <c r="AA32" s="3">
        <v>5.6653090535508349E-2</v>
      </c>
      <c r="AB32" s="3">
        <v>6.1781201174315112E-2</v>
      </c>
      <c r="AC32" s="3">
        <v>6.5188469893734446E-2</v>
      </c>
      <c r="AD32" s="3">
        <v>6.7480376542508602E-2</v>
      </c>
      <c r="AE32" s="3">
        <v>7.5223518133722272E-2</v>
      </c>
      <c r="AF32" s="3">
        <v>7.8186289388047003E-2</v>
      </c>
      <c r="AG32" s="3">
        <v>7.7406298040132632E-2</v>
      </c>
      <c r="AH32" s="3">
        <v>9.0754335980998135E-2</v>
      </c>
      <c r="AI32" s="3">
        <v>8.0604606311731983E-2</v>
      </c>
      <c r="AJ32" s="3">
        <v>0.11177346034366117</v>
      </c>
      <c r="AK32" s="3">
        <v>0.145582909636502</v>
      </c>
      <c r="AL32" s="3">
        <v>0.11290085140852593</v>
      </c>
    </row>
    <row r="33" spans="1:38" x14ac:dyDescent="0.35">
      <c r="A33" s="7">
        <v>43101</v>
      </c>
      <c r="B33" s="7">
        <v>43190</v>
      </c>
      <c r="C33" t="s">
        <v>127</v>
      </c>
      <c r="D33" t="s">
        <v>125</v>
      </c>
      <c r="E33" s="4">
        <v>4</v>
      </c>
      <c r="F33" s="3">
        <v>3.1687111852765119E-2</v>
      </c>
      <c r="G33" s="3">
        <v>3.0955135834473624E-2</v>
      </c>
      <c r="H33" s="3">
        <v>3.4574657158047514E-2</v>
      </c>
      <c r="I33" s="3">
        <v>3.264948859593711E-2</v>
      </c>
      <c r="J33" s="3">
        <v>3.5728649950114238E-2</v>
      </c>
      <c r="K33" s="3">
        <v>3.5933984380575962E-2</v>
      </c>
      <c r="L33" s="3">
        <v>3.7600776368188246E-2</v>
      </c>
      <c r="M33" s="3">
        <v>3.6930131542778522E-2</v>
      </c>
      <c r="N33" s="3">
        <v>4.0946966069131611E-2</v>
      </c>
      <c r="O33" s="3">
        <v>3.7338873967426633E-2</v>
      </c>
      <c r="P33" s="3">
        <v>4.3856967046642346E-2</v>
      </c>
      <c r="Q33" s="3">
        <v>3.8664872848888504E-2</v>
      </c>
      <c r="R33" s="3">
        <v>4.5977525764767102E-2</v>
      </c>
      <c r="S33" s="3">
        <v>4.0791025093767294E-2</v>
      </c>
      <c r="T33" s="3">
        <v>4.7378022305578263E-2</v>
      </c>
      <c r="U33" s="3">
        <v>4.3468649631014294E-2</v>
      </c>
      <c r="V33" s="3">
        <v>4.9666048141618874E-2</v>
      </c>
      <c r="W33" s="3">
        <v>4.4580033371126336E-2</v>
      </c>
      <c r="X33" s="3">
        <v>5.2741895793428757E-2</v>
      </c>
      <c r="Y33" s="3">
        <v>4.7140618258473627E-2</v>
      </c>
      <c r="Z33" s="3">
        <v>5.6390188726632123E-2</v>
      </c>
      <c r="AA33" s="3">
        <v>5.7575139555686147E-2</v>
      </c>
      <c r="AB33" s="3">
        <v>6.2705172164359751E-2</v>
      </c>
      <c r="AC33" s="3">
        <v>6.6171971954915601E-2</v>
      </c>
      <c r="AD33" s="3">
        <v>6.8385210637260108E-2</v>
      </c>
      <c r="AE33" s="3">
        <v>7.6193441864314981E-2</v>
      </c>
      <c r="AF33" s="3">
        <v>7.9117816364555241E-2</v>
      </c>
      <c r="AG33" s="3">
        <v>7.8348939251239008E-2</v>
      </c>
      <c r="AH33" s="3">
        <v>9.1749052053499314E-2</v>
      </c>
      <c r="AI33" s="3">
        <v>8.157193873236937E-2</v>
      </c>
      <c r="AJ33" s="3">
        <v>0.11271542279930774</v>
      </c>
      <c r="AK33" s="3">
        <v>0.14656655400287086</v>
      </c>
      <c r="AL33" s="3">
        <v>0.11381786190012677</v>
      </c>
    </row>
    <row r="34" spans="1:38" x14ac:dyDescent="0.35">
      <c r="A34" s="7">
        <v>43101</v>
      </c>
      <c r="B34" s="7">
        <v>43190</v>
      </c>
      <c r="C34" t="s">
        <v>127</v>
      </c>
      <c r="D34" t="s">
        <v>125</v>
      </c>
      <c r="E34" s="4" t="s">
        <v>69</v>
      </c>
      <c r="F34" s="3">
        <v>3.266334066424207E-2</v>
      </c>
      <c r="G34" s="3">
        <v>3.1856784187710131E-2</v>
      </c>
      <c r="H34" s="3">
        <v>3.5516670482588143E-2</v>
      </c>
      <c r="I34" s="3">
        <v>3.3613877354440144E-2</v>
      </c>
      <c r="J34" s="3">
        <v>3.6665005216227523E-2</v>
      </c>
      <c r="K34" s="3">
        <v>3.689698684478343E-2</v>
      </c>
      <c r="L34" s="3">
        <v>3.8517567647322296E-2</v>
      </c>
      <c r="M34" s="3">
        <v>3.791389821299445E-2</v>
      </c>
      <c r="N34" s="3">
        <v>4.190264094680117E-2</v>
      </c>
      <c r="O34" s="3">
        <v>3.8285534809126984E-2</v>
      </c>
      <c r="P34" s="3">
        <v>4.4782291759152264E-2</v>
      </c>
      <c r="Q34" s="3">
        <v>3.9628695589264143E-2</v>
      </c>
      <c r="R34" s="3">
        <v>4.691445965152484E-2</v>
      </c>
      <c r="S34" s="3">
        <v>4.1763060110870456E-2</v>
      </c>
      <c r="T34" s="3">
        <v>4.8316843693128622E-2</v>
      </c>
      <c r="U34" s="3">
        <v>4.4445309033417466E-2</v>
      </c>
      <c r="V34" s="3">
        <v>5.0583538133656125E-2</v>
      </c>
      <c r="W34" s="3">
        <v>4.5500495259273382E-2</v>
      </c>
      <c r="X34" s="3">
        <v>5.3730557773519358E-2</v>
      </c>
      <c r="Y34" s="3">
        <v>4.8049873203161494E-2</v>
      </c>
      <c r="Z34" s="3">
        <v>5.7380516132835013E-2</v>
      </c>
      <c r="AA34" s="3">
        <v>5.8536616039588887E-2</v>
      </c>
      <c r="AB34" s="3">
        <v>6.3674492333929994E-2</v>
      </c>
      <c r="AC34" s="3">
        <v>6.7144902683848123E-2</v>
      </c>
      <c r="AD34" s="3">
        <v>6.9289604606180166E-2</v>
      </c>
      <c r="AE34" s="3">
        <v>7.718096016562824E-2</v>
      </c>
      <c r="AF34" s="3">
        <v>8.0053919066883E-2</v>
      </c>
      <c r="AG34" s="3">
        <v>7.9257482062810913E-2</v>
      </c>
      <c r="AH34" s="3">
        <v>9.2699819231343877E-2</v>
      </c>
      <c r="AI34" s="3">
        <v>8.25627765454887E-2</v>
      </c>
      <c r="AJ34" s="3">
        <v>0.11370780016976628</v>
      </c>
      <c r="AK34" s="3">
        <v>0.14751313615786119</v>
      </c>
      <c r="AL34" s="3">
        <v>0.11473276764506546</v>
      </c>
    </row>
    <row r="35" spans="1:38" x14ac:dyDescent="0.35">
      <c r="A35" s="7">
        <v>43101</v>
      </c>
      <c r="B35" s="7">
        <v>43190</v>
      </c>
      <c r="C35" t="s">
        <v>127</v>
      </c>
      <c r="D35" t="s">
        <v>125</v>
      </c>
      <c r="E35" s="4" t="s">
        <v>70</v>
      </c>
      <c r="F35" s="3">
        <v>3.3615006950827517E-2</v>
      </c>
      <c r="G35" s="3">
        <v>3.2762917695688953E-2</v>
      </c>
      <c r="H35" s="3">
        <v>3.6502258168549954E-2</v>
      </c>
      <c r="I35" s="3">
        <v>3.4532143139689067E-2</v>
      </c>
      <c r="J35" s="3">
        <v>3.7610253000537969E-2</v>
      </c>
      <c r="K35" s="3">
        <v>3.7871243633954575E-2</v>
      </c>
      <c r="L35" s="3">
        <v>3.9506458227018357E-2</v>
      </c>
      <c r="M35" s="3">
        <v>3.8822139340595883E-2</v>
      </c>
      <c r="N35" s="3">
        <v>4.2879240678301116E-2</v>
      </c>
      <c r="O35" s="3">
        <v>3.9241603607676742E-2</v>
      </c>
      <c r="P35" s="3">
        <v>4.5699213581187004E-2</v>
      </c>
      <c r="Q35" s="3">
        <v>4.0624472251490892E-2</v>
      </c>
      <c r="R35" s="3">
        <v>4.7870656963362825E-2</v>
      </c>
      <c r="S35" s="3">
        <v>4.2729596604833865E-2</v>
      </c>
      <c r="T35" s="3">
        <v>4.9228818340475294E-2</v>
      </c>
      <c r="U35" s="3">
        <v>4.535246821018224E-2</v>
      </c>
      <c r="V35" s="3">
        <v>5.1513458477405225E-2</v>
      </c>
      <c r="W35" s="3">
        <v>4.6496463931347889E-2</v>
      </c>
      <c r="X35" s="3">
        <v>5.4710259660029049E-2</v>
      </c>
      <c r="Y35" s="3">
        <v>4.9007331566039355E-2</v>
      </c>
      <c r="Z35" s="3">
        <v>5.829873154372793E-2</v>
      </c>
      <c r="AA35" s="3">
        <v>5.946778808059016E-2</v>
      </c>
      <c r="AB35" s="3">
        <v>6.460944775868252E-2</v>
      </c>
      <c r="AC35" s="3">
        <v>6.8068521925419873E-2</v>
      </c>
      <c r="AD35" s="3">
        <v>7.0195598965229256E-2</v>
      </c>
      <c r="AE35" s="3">
        <v>7.8159910045503073E-2</v>
      </c>
      <c r="AF35" s="3">
        <v>8.1012610411531932E-2</v>
      </c>
      <c r="AG35" s="3">
        <v>8.0181077966933217E-2</v>
      </c>
      <c r="AH35" s="3">
        <v>9.3688238977401223E-2</v>
      </c>
      <c r="AI35" s="3">
        <v>8.347815920848603E-2</v>
      </c>
      <c r="AJ35" s="3">
        <v>0.11461490997768822</v>
      </c>
      <c r="AK35" s="3">
        <v>0.14843690456744629</v>
      </c>
      <c r="AL35" s="3">
        <v>0.11571679418624389</v>
      </c>
    </row>
    <row r="36" spans="1:38" x14ac:dyDescent="0.35">
      <c r="A36" s="7">
        <v>43101</v>
      </c>
      <c r="B36" s="7">
        <v>43190</v>
      </c>
      <c r="C36" t="s">
        <v>127</v>
      </c>
      <c r="D36" t="s">
        <v>125</v>
      </c>
      <c r="E36" s="4">
        <v>5</v>
      </c>
      <c r="F36" s="3">
        <v>3.4537034616341951E-2</v>
      </c>
      <c r="G36" s="3">
        <v>3.3701871493965599E-2</v>
      </c>
      <c r="H36" s="3">
        <v>3.7445141600718851E-2</v>
      </c>
      <c r="I36" s="3">
        <v>3.5501354570931676E-2</v>
      </c>
      <c r="J36" s="3">
        <v>3.8587162076532108E-2</v>
      </c>
      <c r="K36" s="3">
        <v>3.8857435763598305E-2</v>
      </c>
      <c r="L36" s="3">
        <v>4.0430411032710389E-2</v>
      </c>
      <c r="M36" s="3">
        <v>3.9758382469180051E-2</v>
      </c>
      <c r="N36" s="3">
        <v>4.3798630295579261E-2</v>
      </c>
      <c r="O36" s="3">
        <v>4.0204003559376603E-2</v>
      </c>
      <c r="P36" s="3">
        <v>4.6607872187442723E-2</v>
      </c>
      <c r="Q36" s="3">
        <v>4.1617434133182266E-2</v>
      </c>
      <c r="R36" s="3">
        <v>4.8787960327398794E-2</v>
      </c>
      <c r="S36" s="3">
        <v>4.3703405383414301E-2</v>
      </c>
      <c r="T36" s="3">
        <v>5.0149752994239301E-2</v>
      </c>
      <c r="U36" s="3">
        <v>4.6294855162885611E-2</v>
      </c>
      <c r="V36" s="3">
        <v>5.2445158938770949E-2</v>
      </c>
      <c r="W36" s="3">
        <v>4.7435172399565143E-2</v>
      </c>
      <c r="X36" s="3">
        <v>5.5687938236702893E-2</v>
      </c>
      <c r="Y36" s="3">
        <v>4.9914191192636459E-2</v>
      </c>
      <c r="Z36" s="3">
        <v>5.9274350429703734E-2</v>
      </c>
      <c r="AA36" s="3">
        <v>6.0416623636127195E-2</v>
      </c>
      <c r="AB36" s="3">
        <v>6.5529849427629183E-2</v>
      </c>
      <c r="AC36" s="3">
        <v>6.9045960511612783E-2</v>
      </c>
      <c r="AD36" s="3">
        <v>7.1128988861040549E-2</v>
      </c>
      <c r="AE36" s="3">
        <v>7.9095845061382758E-2</v>
      </c>
      <c r="AF36" s="3">
        <v>8.1952002646676111E-2</v>
      </c>
      <c r="AG36" s="3">
        <v>8.1096016217194394E-2</v>
      </c>
      <c r="AH36" s="3">
        <v>9.4637865264380838E-2</v>
      </c>
      <c r="AI36" s="3">
        <v>8.4439136470290402E-2</v>
      </c>
      <c r="AJ36" s="3">
        <v>0.11555517391392323</v>
      </c>
      <c r="AK36" s="3">
        <v>0.14937465627533181</v>
      </c>
      <c r="AL36" s="3">
        <v>0.11663023727481434</v>
      </c>
    </row>
    <row r="37" spans="1:38" x14ac:dyDescent="0.35">
      <c r="A37" s="7">
        <v>43101</v>
      </c>
      <c r="B37" s="7">
        <v>43190</v>
      </c>
      <c r="C37" t="s">
        <v>127</v>
      </c>
      <c r="D37" t="s">
        <v>125</v>
      </c>
      <c r="E37" s="4" t="s">
        <v>71</v>
      </c>
      <c r="F37" s="3">
        <v>3.545224753299351E-2</v>
      </c>
      <c r="G37" s="3">
        <v>3.4654426749807149E-2</v>
      </c>
      <c r="H37" s="3">
        <v>3.8363432166752955E-2</v>
      </c>
      <c r="I37" s="3">
        <v>3.6483817499054612E-2</v>
      </c>
      <c r="J37" s="3">
        <v>3.9515522119146912E-2</v>
      </c>
      <c r="K37" s="3">
        <v>3.9823752741559956E-2</v>
      </c>
      <c r="L37" s="3">
        <v>4.1378703526991807E-2</v>
      </c>
      <c r="M37" s="3">
        <v>4.0729505019661452E-2</v>
      </c>
      <c r="N37" s="3">
        <v>4.4743765763705465E-2</v>
      </c>
      <c r="O37" s="3">
        <v>4.1147549646481915E-2</v>
      </c>
      <c r="P37" s="3">
        <v>4.7550369849464022E-2</v>
      </c>
      <c r="Q37" s="3">
        <v>4.2553807159928722E-2</v>
      </c>
      <c r="R37" s="3">
        <v>4.9760856877947637E-2</v>
      </c>
      <c r="S37" s="3">
        <v>4.4632661459234696E-2</v>
      </c>
      <c r="T37" s="3">
        <v>5.1146085451574459E-2</v>
      </c>
      <c r="U37" s="3">
        <v>4.7256183992917526E-2</v>
      </c>
      <c r="V37" s="3">
        <v>5.3377722287246611E-2</v>
      </c>
      <c r="W37" s="3">
        <v>4.8363475537645861E-2</v>
      </c>
      <c r="X37" s="3">
        <v>5.6639852635564363E-2</v>
      </c>
      <c r="Y37" s="3">
        <v>5.0890286602368898E-2</v>
      </c>
      <c r="Z37" s="3">
        <v>6.0238787352116498E-2</v>
      </c>
      <c r="AA37" s="3">
        <v>6.1342734437073866E-2</v>
      </c>
      <c r="AB37" s="3">
        <v>6.6497644430090957E-2</v>
      </c>
      <c r="AC37" s="3">
        <v>6.9991828499182507E-2</v>
      </c>
      <c r="AD37" s="3">
        <v>7.2106986994260963E-2</v>
      </c>
      <c r="AE37" s="3">
        <v>7.9996109513219116E-2</v>
      </c>
      <c r="AF37" s="3">
        <v>8.2944347119404849E-2</v>
      </c>
      <c r="AG37" s="3">
        <v>8.2024576265395138E-2</v>
      </c>
      <c r="AH37" s="3">
        <v>9.5586131170948857E-2</v>
      </c>
      <c r="AI37" s="3">
        <v>8.5356007964590058E-2</v>
      </c>
      <c r="AJ37" s="3">
        <v>0.11649176413878909</v>
      </c>
      <c r="AK37" s="3">
        <v>0.15033627909692013</v>
      </c>
      <c r="AL37" s="3">
        <v>0.11762032111917292</v>
      </c>
    </row>
    <row r="38" spans="1:38" x14ac:dyDescent="0.35">
      <c r="A38" s="7">
        <v>43101</v>
      </c>
      <c r="B38" s="7">
        <v>43190</v>
      </c>
      <c r="C38" t="s">
        <v>127</v>
      </c>
      <c r="D38" t="s">
        <v>125</v>
      </c>
      <c r="E38" s="4" t="s">
        <v>72</v>
      </c>
      <c r="F38" s="3">
        <v>3.6450044671522949E-2</v>
      </c>
      <c r="G38" s="3">
        <v>3.5597382233771228E-2</v>
      </c>
      <c r="H38" s="3">
        <v>3.9342643582357915E-2</v>
      </c>
      <c r="I38" s="3">
        <v>3.7385083984993947E-2</v>
      </c>
      <c r="J38" s="3">
        <v>4.0439457241266824E-2</v>
      </c>
      <c r="K38" s="3">
        <v>4.0751167672111455E-2</v>
      </c>
      <c r="L38" s="3">
        <v>4.2302334066026029E-2</v>
      </c>
      <c r="M38" s="3">
        <v>4.1652328412065009E-2</v>
      </c>
      <c r="N38" s="3">
        <v>4.5725725299334885E-2</v>
      </c>
      <c r="O38" s="3">
        <v>4.214042390166306E-2</v>
      </c>
      <c r="P38" s="3">
        <v>4.8457192690454405E-2</v>
      </c>
      <c r="Q38" s="3">
        <v>4.3480456218301683E-2</v>
      </c>
      <c r="R38" s="3">
        <v>5.075911302697364E-2</v>
      </c>
      <c r="S38" s="3">
        <v>4.5599621500819393E-2</v>
      </c>
      <c r="T38" s="3">
        <v>5.2079397101071789E-2</v>
      </c>
      <c r="U38" s="3">
        <v>4.8217342664606345E-2</v>
      </c>
      <c r="V38" s="3">
        <v>5.4302257703269831E-2</v>
      </c>
      <c r="W38" s="3">
        <v>4.935788536724868E-2</v>
      </c>
      <c r="X38" s="3">
        <v>5.763615542369796E-2</v>
      </c>
      <c r="Y38" s="3">
        <v>5.1804233856917431E-2</v>
      </c>
      <c r="Z38" s="3">
        <v>6.1147907091145454E-2</v>
      </c>
      <c r="AA38" s="3">
        <v>6.2309724026127174E-2</v>
      </c>
      <c r="AB38" s="3">
        <v>6.7488798515799475E-2</v>
      </c>
      <c r="AC38" s="3">
        <v>7.092984619827844E-2</v>
      </c>
      <c r="AD38" s="3">
        <v>7.3088608205711059E-2</v>
      </c>
      <c r="AE38" s="3">
        <v>8.0913454609532254E-2</v>
      </c>
      <c r="AF38" s="3">
        <v>8.3888516304205157E-2</v>
      </c>
      <c r="AG38" s="3">
        <v>8.2967069472016527E-2</v>
      </c>
      <c r="AH38" s="3">
        <v>9.654876240944113E-2</v>
      </c>
      <c r="AI38" s="3">
        <v>8.6265720475586088E-2</v>
      </c>
      <c r="AJ38" s="3">
        <v>0.11742309530034586</v>
      </c>
      <c r="AK38" s="3">
        <v>0.15124715508668146</v>
      </c>
      <c r="AL38" s="3">
        <v>0.11859960676243339</v>
      </c>
    </row>
    <row r="39" spans="1:38" x14ac:dyDescent="0.35">
      <c r="A39" s="7">
        <v>43101</v>
      </c>
      <c r="B39" s="7">
        <v>43190</v>
      </c>
      <c r="C39" t="s">
        <v>127</v>
      </c>
      <c r="D39" t="s">
        <v>125</v>
      </c>
      <c r="E39" s="4">
        <v>6</v>
      </c>
      <c r="F39" s="3">
        <v>3.7354710843880236E-2</v>
      </c>
      <c r="G39" s="3">
        <v>3.6514300466315895E-2</v>
      </c>
      <c r="H39" s="3">
        <v>4.0340015876603172E-2</v>
      </c>
      <c r="I39" s="3">
        <v>3.8287553075633286E-2</v>
      </c>
      <c r="J39" s="3">
        <v>4.1343677994122682E-2</v>
      </c>
      <c r="K39" s="3">
        <v>4.1711866595613344E-2</v>
      </c>
      <c r="L39" s="3">
        <v>4.320510865471254E-2</v>
      </c>
      <c r="M39" s="3">
        <v>4.2600622392565027E-2</v>
      </c>
      <c r="N39" s="3">
        <v>4.6686311833625704E-2</v>
      </c>
      <c r="O39" s="3">
        <v>4.3132774067928759E-2</v>
      </c>
      <c r="P39" s="3">
        <v>4.9358899286446989E-2</v>
      </c>
      <c r="Q39" s="3">
        <v>4.4464201327189187E-2</v>
      </c>
      <c r="R39" s="3">
        <v>5.1697114376885581E-2</v>
      </c>
      <c r="S39" s="3">
        <v>4.6529621074183444E-2</v>
      </c>
      <c r="T39" s="3">
        <v>5.3015743625293946E-2</v>
      </c>
      <c r="U39" s="3">
        <v>4.9216862234903305E-2</v>
      </c>
      <c r="V39" s="3">
        <v>5.5300735763207459E-2</v>
      </c>
      <c r="W39" s="3">
        <v>5.0262787163677033E-2</v>
      </c>
      <c r="X39" s="3">
        <v>5.861369834049085E-2</v>
      </c>
      <c r="Y39" s="3">
        <v>5.273475792981161E-2</v>
      </c>
      <c r="Z39" s="3">
        <v>6.2087418767790732E-2</v>
      </c>
      <c r="AA39" s="3">
        <v>6.3306843346533054E-2</v>
      </c>
      <c r="AB39" s="3">
        <v>6.8420502837275465E-2</v>
      </c>
      <c r="AC39" s="3">
        <v>7.1884595950778493E-2</v>
      </c>
      <c r="AD39" s="3">
        <v>7.4050407256270184E-2</v>
      </c>
      <c r="AE39" s="3">
        <v>8.1893066680813281E-2</v>
      </c>
      <c r="AF39" s="3">
        <v>8.4864382115662565E-2</v>
      </c>
      <c r="AG39" s="3">
        <v>8.3938529481590474E-2</v>
      </c>
      <c r="AH39" s="3">
        <v>9.7491883015531883E-2</v>
      </c>
      <c r="AI39" s="3">
        <v>8.7234623648672849E-2</v>
      </c>
      <c r="AJ39" s="3">
        <v>0.11835782494668728</v>
      </c>
      <c r="AK39" s="3">
        <v>0.1521501469799699</v>
      </c>
      <c r="AL39" s="3">
        <v>0.11955080099179458</v>
      </c>
    </row>
    <row r="40" spans="1:38" x14ac:dyDescent="0.35">
      <c r="A40" s="7">
        <v>43101</v>
      </c>
      <c r="B40" s="7">
        <v>43190</v>
      </c>
      <c r="C40" t="s">
        <v>127</v>
      </c>
      <c r="D40" t="s">
        <v>125</v>
      </c>
      <c r="E40" s="4" t="s">
        <v>73</v>
      </c>
      <c r="F40" s="3">
        <v>3.831298237972007E-2</v>
      </c>
      <c r="G40" s="3">
        <v>3.7470863826427656E-2</v>
      </c>
      <c r="H40" s="3">
        <v>4.1272189463267363E-2</v>
      </c>
      <c r="I40" s="3">
        <v>3.9251364017709525E-2</v>
      </c>
      <c r="J40" s="3">
        <v>4.2343484503988227E-2</v>
      </c>
      <c r="K40" s="3">
        <v>4.2691342019618508E-2</v>
      </c>
      <c r="L40" s="3">
        <v>4.4162612339023008E-2</v>
      </c>
      <c r="M40" s="3">
        <v>4.3555545551511261E-2</v>
      </c>
      <c r="N40" s="3">
        <v>4.7618632179344741E-2</v>
      </c>
      <c r="O40" s="3">
        <v>4.4106025837637675E-2</v>
      </c>
      <c r="P40" s="3">
        <v>5.0346096550348662E-2</v>
      </c>
      <c r="Q40" s="3">
        <v>4.5377473187230705E-2</v>
      </c>
      <c r="R40" s="3">
        <v>5.2660540987732846E-2</v>
      </c>
      <c r="S40" s="3">
        <v>4.7450464703823914E-2</v>
      </c>
      <c r="T40" s="3">
        <v>5.3969993380739843E-2</v>
      </c>
      <c r="U40" s="3">
        <v>5.0159888659726592E-2</v>
      </c>
      <c r="V40" s="3">
        <v>5.6258205706464358E-2</v>
      </c>
      <c r="W40" s="3">
        <v>5.1245864887336609E-2</v>
      </c>
      <c r="X40" s="3">
        <v>5.9565189098086058E-2</v>
      </c>
      <c r="Y40" s="3">
        <v>5.3693615381737822E-2</v>
      </c>
      <c r="Z40" s="3">
        <v>6.3085669834437114E-2</v>
      </c>
      <c r="AA40" s="3">
        <v>6.4226053950022677E-2</v>
      </c>
      <c r="AB40" s="3">
        <v>6.9387327504087465E-2</v>
      </c>
      <c r="AC40" s="3">
        <v>7.2850499388342871E-2</v>
      </c>
      <c r="AD40" s="3">
        <v>7.4995541721114056E-2</v>
      </c>
      <c r="AE40" s="3">
        <v>8.2813620383519554E-2</v>
      </c>
      <c r="AF40" s="3">
        <v>8.5833211364047285E-2</v>
      </c>
      <c r="AG40" s="3">
        <v>8.4856344163987477E-2</v>
      </c>
      <c r="AH40" s="3">
        <v>9.8407203055284775E-2</v>
      </c>
      <c r="AI40" s="3">
        <v>8.816050350901436E-2</v>
      </c>
      <c r="AJ40" s="3">
        <v>0.11930359887892328</v>
      </c>
      <c r="AK40" s="3">
        <v>0.15311849031913038</v>
      </c>
      <c r="AL40" s="3">
        <v>0.12046881254756178</v>
      </c>
    </row>
    <row r="41" spans="1:38" x14ac:dyDescent="0.35">
      <c r="A41" s="7">
        <v>43101</v>
      </c>
      <c r="B41" s="7">
        <v>43190</v>
      </c>
      <c r="C41" t="s">
        <v>127</v>
      </c>
      <c r="D41" t="s">
        <v>125</v>
      </c>
      <c r="E41" s="4" t="s">
        <v>74</v>
      </c>
      <c r="F41" s="3">
        <v>3.9290655936053603E-2</v>
      </c>
      <c r="G41" s="3">
        <v>3.8415482453008583E-2</v>
      </c>
      <c r="H41" s="3">
        <v>4.219232752177425E-2</v>
      </c>
      <c r="I41" s="3">
        <v>4.0167024517393374E-2</v>
      </c>
      <c r="J41" s="3">
        <v>4.3298200600403264E-2</v>
      </c>
      <c r="K41" s="3">
        <v>4.3669033421348501E-2</v>
      </c>
      <c r="L41" s="3">
        <v>4.5106092157626926E-2</v>
      </c>
      <c r="M41" s="3">
        <v>4.454513055193747E-2</v>
      </c>
      <c r="N41" s="3">
        <v>4.8578105083387994E-2</v>
      </c>
      <c r="O41" s="3">
        <v>4.5041206075774276E-2</v>
      </c>
      <c r="P41" s="3">
        <v>5.1272222742774848E-2</v>
      </c>
      <c r="Q41" s="3">
        <v>4.6288973979576764E-2</v>
      </c>
      <c r="R41" s="3">
        <v>5.3609713962831179E-2</v>
      </c>
      <c r="S41" s="3">
        <v>4.8423367860062086E-2</v>
      </c>
      <c r="T41" s="3">
        <v>5.4900284765182827E-2</v>
      </c>
      <c r="U41" s="3">
        <v>5.1116043510631932E-2</v>
      </c>
      <c r="V41" s="3">
        <v>5.7186005067337314E-2</v>
      </c>
      <c r="W41" s="3">
        <v>5.2200134180994541E-2</v>
      </c>
      <c r="X41" s="3">
        <v>6.0472847689605307E-2</v>
      </c>
      <c r="Y41" s="3">
        <v>5.4598365149331154E-2</v>
      </c>
      <c r="Z41" s="3">
        <v>6.4011640450528096E-2</v>
      </c>
      <c r="AA41" s="3">
        <v>6.5220768312793526E-2</v>
      </c>
      <c r="AB41" s="3">
        <v>7.0295568211983767E-2</v>
      </c>
      <c r="AC41" s="3">
        <v>7.3817523142215125E-2</v>
      </c>
      <c r="AD41" s="3">
        <v>7.5934228027242784E-2</v>
      </c>
      <c r="AE41" s="3">
        <v>8.3742569693424418E-2</v>
      </c>
      <c r="AF41" s="3">
        <v>8.674641920399756E-2</v>
      </c>
      <c r="AG41" s="3">
        <v>8.5804327105100026E-2</v>
      </c>
      <c r="AH41" s="3">
        <v>9.9403550330891072E-2</v>
      </c>
      <c r="AI41" s="3">
        <v>8.9092727841256103E-2</v>
      </c>
      <c r="AJ41" s="3">
        <v>0.12022033076272837</v>
      </c>
      <c r="AK41" s="3">
        <v>0.15406721062121739</v>
      </c>
      <c r="AL41" s="3">
        <v>0.12142501005957787</v>
      </c>
    </row>
    <row r="42" spans="1:38" x14ac:dyDescent="0.35">
      <c r="A42" s="7">
        <v>43101</v>
      </c>
      <c r="B42" s="7">
        <v>43190</v>
      </c>
      <c r="C42" t="s">
        <v>127</v>
      </c>
      <c r="D42" t="s">
        <v>125</v>
      </c>
      <c r="E42" s="4">
        <v>7</v>
      </c>
      <c r="F42" s="3">
        <v>4.0278276553716283E-2</v>
      </c>
      <c r="G42" s="3">
        <v>3.9329177705657581E-2</v>
      </c>
      <c r="H42" s="3">
        <v>4.3099318153345834E-2</v>
      </c>
      <c r="I42" s="3">
        <v>4.1083811526251506E-2</v>
      </c>
      <c r="J42" s="3">
        <v>4.4213419842575458E-2</v>
      </c>
      <c r="K42" s="3">
        <v>4.4583800859561019E-2</v>
      </c>
      <c r="L42" s="3">
        <v>4.6092812186156275E-2</v>
      </c>
      <c r="M42" s="3">
        <v>4.5540381363158702E-2</v>
      </c>
      <c r="N42" s="3">
        <v>4.9541323345427747E-2</v>
      </c>
      <c r="O42" s="3">
        <v>4.599142163800695E-2</v>
      </c>
      <c r="P42" s="3">
        <v>5.2236981442763744E-2</v>
      </c>
      <c r="Q42" s="3">
        <v>4.7234541478731421E-2</v>
      </c>
      <c r="R42" s="3">
        <v>5.45593901111684E-2</v>
      </c>
      <c r="S42" s="3">
        <v>4.9346904198118623E-2</v>
      </c>
      <c r="T42" s="3">
        <v>5.5816080504292424E-2</v>
      </c>
      <c r="U42" s="3">
        <v>5.2027736685895595E-2</v>
      </c>
      <c r="V42" s="3">
        <v>5.8124858987900853E-2</v>
      </c>
      <c r="W42" s="3">
        <v>5.3144763825180408E-2</v>
      </c>
      <c r="X42" s="3">
        <v>6.1388336794213065E-2</v>
      </c>
      <c r="Y42" s="3">
        <v>5.559125705272968E-2</v>
      </c>
      <c r="Z42" s="3">
        <v>6.4977016347356198E-2</v>
      </c>
      <c r="AA42" s="3">
        <v>6.6209543585266664E-2</v>
      </c>
      <c r="AB42" s="3">
        <v>7.125812556861183E-2</v>
      </c>
      <c r="AC42" s="3">
        <v>7.4742287354191972E-2</v>
      </c>
      <c r="AD42" s="3">
        <v>7.6887157903794745E-2</v>
      </c>
      <c r="AE42" s="3">
        <v>8.4662762776687495E-2</v>
      </c>
      <c r="AF42" s="3">
        <v>8.7712813964452518E-2</v>
      </c>
      <c r="AG42" s="3">
        <v>8.6782994599508806E-2</v>
      </c>
      <c r="AH42" s="3">
        <v>0.10038231580665266</v>
      </c>
      <c r="AI42" s="3">
        <v>9.0077913935211584E-2</v>
      </c>
      <c r="AJ42" s="3">
        <v>0.12120598351307099</v>
      </c>
      <c r="AK42" s="3">
        <v>0.15497013151438968</v>
      </c>
      <c r="AL42" s="3">
        <v>0.12238501633574686</v>
      </c>
    </row>
    <row r="43" spans="1:38" x14ac:dyDescent="0.35">
      <c r="A43" s="7">
        <v>43101</v>
      </c>
      <c r="B43" s="7">
        <v>43190</v>
      </c>
      <c r="C43" t="s">
        <v>127</v>
      </c>
      <c r="D43" t="s">
        <v>125</v>
      </c>
      <c r="E43" s="4" t="s">
        <v>75</v>
      </c>
      <c r="F43" s="3">
        <v>4.1182488272635209E-2</v>
      </c>
      <c r="G43" s="3">
        <v>4.0301753966505142E-2</v>
      </c>
      <c r="H43" s="3">
        <v>4.4026838639232929E-2</v>
      </c>
      <c r="I43" s="3">
        <v>4.2067557852125029E-2</v>
      </c>
      <c r="J43" s="3">
        <v>4.520170932772348E-2</v>
      </c>
      <c r="K43" s="3">
        <v>4.5550622839863747E-2</v>
      </c>
      <c r="L43" s="3">
        <v>4.7066014601750958E-2</v>
      </c>
      <c r="M43" s="3">
        <v>4.6515759061131506E-2</v>
      </c>
      <c r="N43" s="3">
        <v>5.0527017636710615E-2</v>
      </c>
      <c r="O43" s="3">
        <v>4.69567489982212E-2</v>
      </c>
      <c r="P43" s="3">
        <v>5.3147315452805592E-2</v>
      </c>
      <c r="Q43" s="3">
        <v>4.8200116122030651E-2</v>
      </c>
      <c r="R43" s="3">
        <v>5.5524190394425521E-2</v>
      </c>
      <c r="S43" s="3">
        <v>5.0342902962852917E-2</v>
      </c>
      <c r="T43" s="3">
        <v>5.6756386656798406E-2</v>
      </c>
      <c r="U43" s="3">
        <v>5.3005559472231803E-2</v>
      </c>
      <c r="V43" s="3">
        <v>5.9047358524636863E-2</v>
      </c>
      <c r="W43" s="3">
        <v>5.4140598489951501E-2</v>
      </c>
      <c r="X43" s="3">
        <v>6.232880869907742E-2</v>
      </c>
      <c r="Y43" s="3">
        <v>5.6560360891625423E-2</v>
      </c>
      <c r="Z43" s="3">
        <v>6.5974746221220001E-2</v>
      </c>
      <c r="AA43" s="3">
        <v>6.7143034001964808E-2</v>
      </c>
      <c r="AB43" s="3">
        <v>7.2196010653543363E-2</v>
      </c>
      <c r="AC43" s="3">
        <v>7.5649617469505104E-2</v>
      </c>
      <c r="AD43" s="3">
        <v>7.7819400436061253E-2</v>
      </c>
      <c r="AE43" s="3">
        <v>8.5639145127280963E-2</v>
      </c>
      <c r="AF43" s="3">
        <v>8.8675499657925511E-2</v>
      </c>
      <c r="AG43" s="3">
        <v>8.7723641932776486E-2</v>
      </c>
      <c r="AH43" s="3">
        <v>0.1013130305129547</v>
      </c>
      <c r="AI43" s="3">
        <v>9.1039773112474742E-2</v>
      </c>
      <c r="AJ43" s="3">
        <v>0.12216032095937948</v>
      </c>
      <c r="AK43" s="3">
        <v>0.15592404775594543</v>
      </c>
      <c r="AL43" s="3">
        <v>0.12332571407201984</v>
      </c>
    </row>
    <row r="44" spans="1:38" x14ac:dyDescent="0.35">
      <c r="A44" s="7">
        <v>43101</v>
      </c>
      <c r="B44" s="7">
        <v>43190</v>
      </c>
      <c r="C44" t="s">
        <v>126</v>
      </c>
      <c r="D44" t="s">
        <v>125</v>
      </c>
      <c r="E44" s="4">
        <v>1</v>
      </c>
      <c r="F44" s="3">
        <v>2.4987235415080068E-2</v>
      </c>
      <c r="G44" s="3">
        <v>2.4522336342949563E-2</v>
      </c>
      <c r="H44" s="3">
        <v>2.7904631230141239E-2</v>
      </c>
      <c r="I44" s="3">
        <v>2.6059051771753751E-2</v>
      </c>
      <c r="J44" s="3">
        <v>2.9214931408311058E-2</v>
      </c>
      <c r="K44" s="3">
        <v>2.9265446267055656E-2</v>
      </c>
      <c r="L44" s="3">
        <v>3.0982197143763188E-2</v>
      </c>
      <c r="M44" s="3">
        <v>3.0375022539147159E-2</v>
      </c>
      <c r="N44" s="3">
        <v>3.4507892750587854E-2</v>
      </c>
      <c r="O44" s="3">
        <v>3.0706515013046779E-2</v>
      </c>
      <c r="P44" s="3">
        <v>3.7154611745470946E-2</v>
      </c>
      <c r="Q44" s="3">
        <v>3.2068234094442878E-2</v>
      </c>
      <c r="R44" s="3">
        <v>3.9456126253836606E-2</v>
      </c>
      <c r="S44" s="3">
        <v>3.4142726163996981E-2</v>
      </c>
      <c r="T44" s="3">
        <v>4.0907674061615849E-2</v>
      </c>
      <c r="U44" s="3">
        <v>3.6823319048479054E-2</v>
      </c>
      <c r="V44" s="3">
        <v>4.304753562160251E-2</v>
      </c>
      <c r="W44" s="3">
        <v>3.7978029939151656E-2</v>
      </c>
      <c r="X44" s="3">
        <v>4.6194112106792327E-2</v>
      </c>
      <c r="Y44" s="3">
        <v>4.0541921398612769E-2</v>
      </c>
      <c r="Z44" s="3">
        <v>4.9720350031989595E-2</v>
      </c>
      <c r="AA44" s="3">
        <v>5.0938659601285304E-2</v>
      </c>
      <c r="AB44" s="3">
        <v>5.62208891354583E-2</v>
      </c>
      <c r="AC44" s="3">
        <v>5.9598276343003583E-2</v>
      </c>
      <c r="AD44" s="3">
        <v>6.1975244868088718E-2</v>
      </c>
      <c r="AE44" s="3">
        <v>6.9630307613935211E-2</v>
      </c>
      <c r="AF44" s="3">
        <v>7.2530260528803764E-2</v>
      </c>
      <c r="AG44" s="3">
        <v>7.1821994417673785E-2</v>
      </c>
      <c r="AH44" s="3">
        <v>8.5201092314036608E-2</v>
      </c>
      <c r="AI44" s="3">
        <v>7.4923580014799818E-2</v>
      </c>
      <c r="AJ44" s="3">
        <v>0.10618899962977327</v>
      </c>
      <c r="AK44" s="3">
        <v>0.13988203667397348</v>
      </c>
      <c r="AL44" s="3">
        <v>0.10738283042429544</v>
      </c>
    </row>
    <row r="45" spans="1:38" x14ac:dyDescent="0.35">
      <c r="A45" s="7">
        <v>43101</v>
      </c>
      <c r="B45" s="7">
        <v>43190</v>
      </c>
      <c r="C45" t="s">
        <v>126</v>
      </c>
      <c r="D45" t="s">
        <v>125</v>
      </c>
      <c r="E45" s="4" t="s">
        <v>64</v>
      </c>
      <c r="F45" s="3">
        <v>2.5955504628306671E-2</v>
      </c>
      <c r="G45" s="3">
        <v>2.5444481773370751E-2</v>
      </c>
      <c r="H45" s="3">
        <v>2.8850626606074733E-2</v>
      </c>
      <c r="I45" s="3">
        <v>2.6968925101185339E-2</v>
      </c>
      <c r="J45" s="3">
        <v>3.0133283155749986E-2</v>
      </c>
      <c r="K45" s="3">
        <v>3.0223062002444338E-2</v>
      </c>
      <c r="L45" s="3">
        <v>3.1934115932132967E-2</v>
      </c>
      <c r="M45" s="3">
        <v>3.1280819977680507E-2</v>
      </c>
      <c r="N45" s="3">
        <v>3.5450059642861693E-2</v>
      </c>
      <c r="O45" s="3">
        <v>3.1642785468758393E-2</v>
      </c>
      <c r="P45" s="3">
        <v>3.8118841964526536E-2</v>
      </c>
      <c r="Q45" s="3">
        <v>3.2979868013520541E-2</v>
      </c>
      <c r="R45" s="3">
        <v>4.0439336595061631E-2</v>
      </c>
      <c r="S45" s="3">
        <v>3.5073364823084353E-2</v>
      </c>
      <c r="T45" s="3">
        <v>4.18816179777355E-2</v>
      </c>
      <c r="U45" s="3">
        <v>3.7738906253639445E-2</v>
      </c>
      <c r="V45" s="3">
        <v>4.4018330733574293E-2</v>
      </c>
      <c r="W45" s="3">
        <v>3.892466822714076E-2</v>
      </c>
      <c r="X45" s="3">
        <v>4.717329250434478E-2</v>
      </c>
      <c r="Y45" s="3">
        <v>4.1464646138943566E-2</v>
      </c>
      <c r="Z45" s="3">
        <v>5.0663966833701071E-2</v>
      </c>
      <c r="AA45" s="3">
        <v>5.1893391600233457E-2</v>
      </c>
      <c r="AB45" s="3">
        <v>5.7139843977245197E-2</v>
      </c>
      <c r="AC45" s="3">
        <v>6.0548496431847794E-2</v>
      </c>
      <c r="AD45" s="3">
        <v>6.2929948312430664E-2</v>
      </c>
      <c r="AE45" s="3">
        <v>7.0537761203292318E-2</v>
      </c>
      <c r="AF45" s="3">
        <v>7.3498060155195499E-2</v>
      </c>
      <c r="AG45" s="3">
        <v>7.2743308851667146E-2</v>
      </c>
      <c r="AH45" s="3">
        <v>8.6159836721572541E-2</v>
      </c>
      <c r="AI45" s="3">
        <v>7.5836736383455006E-2</v>
      </c>
      <c r="AJ45" s="3">
        <v>0.10711874012266376</v>
      </c>
      <c r="AK45" s="3">
        <v>0.1408205734558888</v>
      </c>
      <c r="AL45" s="3">
        <v>0.10828480850509567</v>
      </c>
    </row>
    <row r="46" spans="1:38" x14ac:dyDescent="0.35">
      <c r="A46" s="7">
        <v>43101</v>
      </c>
      <c r="B46" s="7">
        <v>43190</v>
      </c>
      <c r="C46" t="s">
        <v>126</v>
      </c>
      <c r="D46" t="s">
        <v>125</v>
      </c>
      <c r="E46" s="4">
        <v>2</v>
      </c>
      <c r="F46" s="3">
        <v>2.6897021899625215E-2</v>
      </c>
      <c r="G46" s="3">
        <v>2.6368915274916437E-2</v>
      </c>
      <c r="H46" s="3">
        <v>2.9848451892030357E-2</v>
      </c>
      <c r="I46" s="3">
        <v>2.7955691162124076E-2</v>
      </c>
      <c r="J46" s="3">
        <v>3.1060131064313004E-2</v>
      </c>
      <c r="K46" s="3">
        <v>3.1198106227038336E-2</v>
      </c>
      <c r="L46" s="3">
        <v>3.2845044629501122E-2</v>
      </c>
      <c r="M46" s="3">
        <v>3.2234643248477843E-2</v>
      </c>
      <c r="N46" s="3">
        <v>3.638232419933108E-2</v>
      </c>
      <c r="O46" s="3">
        <v>3.2594684077558833E-2</v>
      </c>
      <c r="P46" s="3">
        <v>3.9040547019358746E-2</v>
      </c>
      <c r="Q46" s="3">
        <v>3.3919219200209516E-2</v>
      </c>
      <c r="R46" s="3">
        <v>4.1371166603959772E-2</v>
      </c>
      <c r="S46" s="3">
        <v>3.6041012010300827E-2</v>
      </c>
      <c r="T46" s="3">
        <v>4.2831479692354041E-2</v>
      </c>
      <c r="U46" s="3">
        <v>3.8687198648127537E-2</v>
      </c>
      <c r="V46" s="3">
        <v>4.4993338675699428E-2</v>
      </c>
      <c r="W46" s="3">
        <v>3.9890880083179661E-2</v>
      </c>
      <c r="X46" s="3">
        <v>4.8140754596639787E-2</v>
      </c>
      <c r="Y46" s="3">
        <v>4.2458963417643242E-2</v>
      </c>
      <c r="Z46" s="3">
        <v>5.1599887843882988E-2</v>
      </c>
      <c r="AA46" s="3">
        <v>5.286719807845551E-2</v>
      </c>
      <c r="AB46" s="3">
        <v>5.8078492929563477E-2</v>
      </c>
      <c r="AC46" s="3">
        <v>6.1451398081860634E-2</v>
      </c>
      <c r="AD46" s="3">
        <v>6.384576144832034E-2</v>
      </c>
      <c r="AE46" s="3">
        <v>7.144267502963543E-2</v>
      </c>
      <c r="AF46" s="3">
        <v>7.4471262341356134E-2</v>
      </c>
      <c r="AG46" s="3">
        <v>7.3721406261892219E-2</v>
      </c>
      <c r="AH46" s="3">
        <v>8.7088969605302602E-2</v>
      </c>
      <c r="AI46" s="3">
        <v>7.6827014311840927E-2</v>
      </c>
      <c r="AJ46" s="3">
        <v>0.10805082647783992</v>
      </c>
      <c r="AK46" s="3">
        <v>0.14176338686442322</v>
      </c>
      <c r="AL46" s="3">
        <v>0.10918762445336724</v>
      </c>
    </row>
    <row r="47" spans="1:38" x14ac:dyDescent="0.35">
      <c r="A47" s="7">
        <v>43101</v>
      </c>
      <c r="B47" s="7">
        <v>43190</v>
      </c>
      <c r="C47" t="s">
        <v>126</v>
      </c>
      <c r="D47" t="s">
        <v>125</v>
      </c>
      <c r="E47" s="4" t="s">
        <v>65</v>
      </c>
      <c r="F47" s="3">
        <v>2.7892588043602628E-2</v>
      </c>
      <c r="G47" s="3">
        <v>2.7329308788466757E-2</v>
      </c>
      <c r="H47" s="3">
        <v>3.0819656371274408E-2</v>
      </c>
      <c r="I47" s="3">
        <v>2.8893208213903409E-2</v>
      </c>
      <c r="J47" s="3">
        <v>3.2013264636733277E-2</v>
      </c>
      <c r="K47" s="3">
        <v>3.2135830795126871E-2</v>
      </c>
      <c r="L47" s="3">
        <v>3.3774662475232566E-2</v>
      </c>
      <c r="M47" s="3">
        <v>3.3179747392975009E-2</v>
      </c>
      <c r="N47" s="3">
        <v>3.7293207543458287E-2</v>
      </c>
      <c r="O47" s="3">
        <v>3.3544866915647203E-2</v>
      </c>
      <c r="P47" s="3">
        <v>4.0028482383182129E-2</v>
      </c>
      <c r="Q47" s="3">
        <v>3.4902780731733959E-2</v>
      </c>
      <c r="R47" s="3">
        <v>4.2290724980076223E-2</v>
      </c>
      <c r="S47" s="3">
        <v>3.6959929011024781E-2</v>
      </c>
      <c r="T47" s="3">
        <v>4.374441799494759E-2</v>
      </c>
      <c r="U47" s="3">
        <v>3.9652317576269622E-2</v>
      </c>
      <c r="V47" s="3">
        <v>4.5913480248590571E-2</v>
      </c>
      <c r="W47" s="3">
        <v>4.085025179167466E-2</v>
      </c>
      <c r="X47" s="3">
        <v>4.9122262773781386E-2</v>
      </c>
      <c r="Y47" s="3">
        <v>4.3373228437165706E-2</v>
      </c>
      <c r="Z47" s="3">
        <v>5.2590145397651653E-2</v>
      </c>
      <c r="AA47" s="3">
        <v>5.3820686831295171E-2</v>
      </c>
      <c r="AB47" s="3">
        <v>5.9042504808221867E-2</v>
      </c>
      <c r="AC47" s="3">
        <v>6.2366638261812719E-2</v>
      </c>
      <c r="AD47" s="3">
        <v>6.4762272908770124E-2</v>
      </c>
      <c r="AE47" s="3">
        <v>7.2423160064546077E-2</v>
      </c>
      <c r="AF47" s="3">
        <v>7.5429679229339922E-2</v>
      </c>
      <c r="AG47" s="3">
        <v>7.4661021251319487E-2</v>
      </c>
      <c r="AH47" s="3">
        <v>8.8006290793609943E-2</v>
      </c>
      <c r="AI47" s="3">
        <v>7.7762463089604772E-2</v>
      </c>
      <c r="AJ47" s="3">
        <v>0.10899967860014292</v>
      </c>
      <c r="AK47" s="3">
        <v>0.1426933785039842</v>
      </c>
      <c r="AL47" s="3">
        <v>0.11017059404382648</v>
      </c>
    </row>
    <row r="48" spans="1:38" x14ac:dyDescent="0.35">
      <c r="A48" s="7">
        <v>43101</v>
      </c>
      <c r="B48" s="7">
        <v>43190</v>
      </c>
      <c r="C48" t="s">
        <v>126</v>
      </c>
      <c r="D48" t="s">
        <v>125</v>
      </c>
      <c r="E48" s="4" t="s">
        <v>66</v>
      </c>
      <c r="F48" s="3">
        <v>2.8816431623965195E-2</v>
      </c>
      <c r="G48" s="3">
        <v>2.8279758919457922E-2</v>
      </c>
      <c r="H48" s="3">
        <v>3.1808105309173162E-2</v>
      </c>
      <c r="I48" s="3">
        <v>2.9867113852875982E-2</v>
      </c>
      <c r="J48" s="3">
        <v>3.2985287884005621E-2</v>
      </c>
      <c r="K48" s="3">
        <v>3.3083926756475458E-2</v>
      </c>
      <c r="L48" s="3">
        <v>3.4760408681570015E-2</v>
      </c>
      <c r="M48" s="3">
        <v>3.4139345117331521E-2</v>
      </c>
      <c r="N48" s="3">
        <v>3.8274630476066412E-2</v>
      </c>
      <c r="O48" s="3">
        <v>3.4495680412953485E-2</v>
      </c>
      <c r="P48" s="3">
        <v>4.0990447680038122E-2</v>
      </c>
      <c r="Q48" s="3">
        <v>3.5867473360407805E-2</v>
      </c>
      <c r="R48" s="3">
        <v>4.3253792917843314E-2</v>
      </c>
      <c r="S48" s="3">
        <v>3.7932087503310355E-2</v>
      </c>
      <c r="T48" s="3">
        <v>4.4668036280152659E-2</v>
      </c>
      <c r="U48" s="3">
        <v>4.0594488698087419E-2</v>
      </c>
      <c r="V48" s="3">
        <v>4.6858979945907139E-2</v>
      </c>
      <c r="W48" s="3">
        <v>4.184196346279144E-2</v>
      </c>
      <c r="X48" s="3">
        <v>5.0025110373458442E-2</v>
      </c>
      <c r="Y48" s="3">
        <v>4.4349523078769729E-2</v>
      </c>
      <c r="Z48" s="3">
        <v>5.3543861718213043E-2</v>
      </c>
      <c r="AA48" s="3">
        <v>5.4733705693309473E-2</v>
      </c>
      <c r="AB48" s="3">
        <v>5.9989763352759906E-2</v>
      </c>
      <c r="AC48" s="3">
        <v>6.3327036642431694E-2</v>
      </c>
      <c r="AD48" s="3">
        <v>6.5690749612420912E-2</v>
      </c>
      <c r="AE48" s="3">
        <v>7.3419860058073882E-2</v>
      </c>
      <c r="AF48" s="3">
        <v>7.6365926051764177E-2</v>
      </c>
      <c r="AG48" s="3">
        <v>7.5587901413566957E-2</v>
      </c>
      <c r="AH48" s="3">
        <v>8.8992861093754622E-2</v>
      </c>
      <c r="AI48" s="3">
        <v>7.8738964897950098E-2</v>
      </c>
      <c r="AJ48" s="3">
        <v>0.10992708483544281</v>
      </c>
      <c r="AK48" s="3">
        <v>0.14369048553650632</v>
      </c>
      <c r="AL48" s="3">
        <v>0.11108402769059558</v>
      </c>
    </row>
    <row r="49" spans="1:38" x14ac:dyDescent="0.35">
      <c r="A49" s="7">
        <v>43101</v>
      </c>
      <c r="B49" s="7">
        <v>43190</v>
      </c>
      <c r="C49" t="s">
        <v>126</v>
      </c>
      <c r="D49" t="s">
        <v>125</v>
      </c>
      <c r="E49" s="4">
        <v>3</v>
      </c>
      <c r="F49" s="3">
        <v>2.9809313229369593E-2</v>
      </c>
      <c r="G49" s="3">
        <v>2.9205970811349711E-2</v>
      </c>
      <c r="H49" s="3">
        <v>3.2799404111945873E-2</v>
      </c>
      <c r="I49" s="3">
        <v>3.0780618839001902E-2</v>
      </c>
      <c r="J49" s="3">
        <v>3.3927313185709303E-2</v>
      </c>
      <c r="K49" s="3">
        <v>3.4058551719849631E-2</v>
      </c>
      <c r="L49" s="3">
        <v>3.5707387777530492E-2</v>
      </c>
      <c r="M49" s="3">
        <v>3.5118831932959116E-2</v>
      </c>
      <c r="N49" s="3">
        <v>3.9197139208795251E-2</v>
      </c>
      <c r="O49" s="3">
        <v>3.547917077439474E-2</v>
      </c>
      <c r="P49" s="3">
        <v>4.1981297683726243E-2</v>
      </c>
      <c r="Q49" s="3">
        <v>3.6781588451177516E-2</v>
      </c>
      <c r="R49" s="3">
        <v>4.41922687927385E-2</v>
      </c>
      <c r="S49" s="3">
        <v>3.8930679296247286E-2</v>
      </c>
      <c r="T49" s="3">
        <v>4.5601194914300654E-2</v>
      </c>
      <c r="U49" s="3">
        <v>4.1497633796527711E-2</v>
      </c>
      <c r="V49" s="3">
        <v>4.7767134065234196E-2</v>
      </c>
      <c r="W49" s="3">
        <v>4.2762297852789871E-2</v>
      </c>
      <c r="X49" s="3">
        <v>5.0956300324280598E-2</v>
      </c>
      <c r="Y49" s="3">
        <v>4.529224629278198E-2</v>
      </c>
      <c r="Z49" s="3">
        <v>5.4504517540770236E-2</v>
      </c>
      <c r="AA49" s="3">
        <v>5.573032040789113E-2</v>
      </c>
      <c r="AB49" s="3">
        <v>6.0903407085099337E-2</v>
      </c>
      <c r="AC49" s="3">
        <v>6.4289714971796502E-2</v>
      </c>
      <c r="AD49" s="3">
        <v>6.6671491768077573E-2</v>
      </c>
      <c r="AE49" s="3">
        <v>7.4325299562678429E-2</v>
      </c>
      <c r="AF49" s="3">
        <v>7.7270462377958912E-2</v>
      </c>
      <c r="AG49" s="3">
        <v>7.6507018551669831E-2</v>
      </c>
      <c r="AH49" s="3">
        <v>8.9920201824883389E-2</v>
      </c>
      <c r="AI49" s="3">
        <v>7.9656346334527173E-2</v>
      </c>
      <c r="AJ49" s="3">
        <v>0.11083415501933933</v>
      </c>
      <c r="AK49" s="3">
        <v>0.14463667660339871</v>
      </c>
      <c r="AL49" s="3">
        <v>0.11198752626621516</v>
      </c>
    </row>
    <row r="50" spans="1:38" x14ac:dyDescent="0.35">
      <c r="A50" s="7">
        <v>43101</v>
      </c>
      <c r="B50" s="7">
        <v>43190</v>
      </c>
      <c r="C50" t="s">
        <v>126</v>
      </c>
      <c r="D50" t="s">
        <v>125</v>
      </c>
      <c r="E50" s="4" t="s">
        <v>67</v>
      </c>
      <c r="F50" s="3">
        <v>3.0758338673687734E-2</v>
      </c>
      <c r="G50" s="3">
        <v>3.0114066860379218E-2</v>
      </c>
      <c r="H50" s="3">
        <v>3.3734961535117333E-2</v>
      </c>
      <c r="I50" s="3">
        <v>3.1716483633118978E-2</v>
      </c>
      <c r="J50" s="3">
        <v>3.4846367426793312E-2</v>
      </c>
      <c r="K50" s="3">
        <v>3.5010486371479271E-2</v>
      </c>
      <c r="L50" s="3">
        <v>3.6665024302281878E-2</v>
      </c>
      <c r="M50" s="3">
        <v>3.6085829953676568E-2</v>
      </c>
      <c r="N50" s="3">
        <v>4.0100322924584063E-2</v>
      </c>
      <c r="O50" s="3">
        <v>3.6446438544002563E-2</v>
      </c>
      <c r="P50" s="3">
        <v>4.2887358319701072E-2</v>
      </c>
      <c r="Q50" s="3">
        <v>3.7705992518516543E-2</v>
      </c>
      <c r="R50" s="3">
        <v>4.5104972754014865E-2</v>
      </c>
      <c r="S50" s="3">
        <v>3.9890796136354191E-2</v>
      </c>
      <c r="T50" s="3">
        <v>4.6517306360080141E-2</v>
      </c>
      <c r="U50" s="3">
        <v>4.2481023873773616E-2</v>
      </c>
      <c r="V50" s="3">
        <v>4.8733842563750844E-2</v>
      </c>
      <c r="W50" s="3">
        <v>4.3669938527937061E-2</v>
      </c>
      <c r="X50" s="3">
        <v>5.1875780282546469E-2</v>
      </c>
      <c r="Y50" s="3">
        <v>4.6260285664062858E-2</v>
      </c>
      <c r="Z50" s="3">
        <v>5.5447037965201673E-2</v>
      </c>
      <c r="AA50" s="3">
        <v>5.6681929848966049E-2</v>
      </c>
      <c r="AB50" s="3">
        <v>6.1820791014653327E-2</v>
      </c>
      <c r="AC50" s="3">
        <v>6.5225848263291697E-2</v>
      </c>
      <c r="AD50" s="3">
        <v>6.7575165230735007E-2</v>
      </c>
      <c r="AE50" s="3">
        <v>7.5305686528439109E-2</v>
      </c>
      <c r="AF50" s="3">
        <v>7.8233725413743876E-2</v>
      </c>
      <c r="AG50" s="3">
        <v>7.7482815954358519E-2</v>
      </c>
      <c r="AH50" s="3">
        <v>9.0849924185783415E-2</v>
      </c>
      <c r="AI50" s="3">
        <v>8.0643603818231324E-2</v>
      </c>
      <c r="AJ50" s="3">
        <v>0.11179284637867448</v>
      </c>
      <c r="AK50" s="3">
        <v>0.14563408093916622</v>
      </c>
      <c r="AL50" s="3">
        <v>0.11295296391268561</v>
      </c>
    </row>
    <row r="51" spans="1:38" x14ac:dyDescent="0.35">
      <c r="A51" s="7">
        <v>43101</v>
      </c>
      <c r="B51" s="7">
        <v>43190</v>
      </c>
      <c r="C51" t="s">
        <v>126</v>
      </c>
      <c r="D51" t="s">
        <v>125</v>
      </c>
      <c r="E51" s="4" t="s">
        <v>68</v>
      </c>
      <c r="F51" s="3">
        <v>3.1739197622021778E-2</v>
      </c>
      <c r="G51" s="3">
        <v>3.1040112383998873E-2</v>
      </c>
      <c r="H51" s="3">
        <v>3.464224126117621E-2</v>
      </c>
      <c r="I51" s="3">
        <v>3.2708017045777728E-2</v>
      </c>
      <c r="J51" s="3">
        <v>3.5757571708418506E-2</v>
      </c>
      <c r="K51" s="3">
        <v>3.5966037413180704E-2</v>
      </c>
      <c r="L51" s="3">
        <v>3.7653307044733311E-2</v>
      </c>
      <c r="M51" s="3">
        <v>3.7027658446906205E-2</v>
      </c>
      <c r="N51" s="3">
        <v>4.1007721087298887E-2</v>
      </c>
      <c r="O51" s="3">
        <v>3.7405401536441368E-2</v>
      </c>
      <c r="P51" s="3">
        <v>4.3876462331655486E-2</v>
      </c>
      <c r="Q51" s="3">
        <v>3.8671343263786906E-2</v>
      </c>
      <c r="R51" s="3">
        <v>4.6034383018163427E-2</v>
      </c>
      <c r="S51" s="3">
        <v>4.0820873196983937E-2</v>
      </c>
      <c r="T51" s="3">
        <v>4.7433727451292762E-2</v>
      </c>
      <c r="U51" s="3">
        <v>4.3477800013649863E-2</v>
      </c>
      <c r="V51" s="3">
        <v>4.9709102113335693E-2</v>
      </c>
      <c r="W51" s="3">
        <v>4.4657989214654484E-2</v>
      </c>
      <c r="X51" s="3">
        <v>5.280126794578896E-2</v>
      </c>
      <c r="Y51" s="3">
        <v>4.7207699194427799E-2</v>
      </c>
      <c r="Z51" s="3">
        <v>5.6390312450374541E-2</v>
      </c>
      <c r="AA51" s="3">
        <v>5.765309053550835E-2</v>
      </c>
      <c r="AB51" s="3">
        <v>6.2781201174315113E-2</v>
      </c>
      <c r="AC51" s="3">
        <v>6.6188469893734447E-2</v>
      </c>
      <c r="AD51" s="3">
        <v>6.8480376542508603E-2</v>
      </c>
      <c r="AE51" s="3">
        <v>7.6223518133722273E-2</v>
      </c>
      <c r="AF51" s="3">
        <v>7.9186289388047004E-2</v>
      </c>
      <c r="AG51" s="3">
        <v>7.8406298040132633E-2</v>
      </c>
      <c r="AH51" s="3">
        <v>9.1754335980998136E-2</v>
      </c>
      <c r="AI51" s="3">
        <v>8.1604606311731984E-2</v>
      </c>
      <c r="AJ51" s="3">
        <v>0.11277346034366117</v>
      </c>
      <c r="AK51" s="3">
        <v>0.146582909636502</v>
      </c>
      <c r="AL51" s="3">
        <v>0.11390085140852593</v>
      </c>
    </row>
    <row r="52" spans="1:38" x14ac:dyDescent="0.35">
      <c r="A52" s="7">
        <v>43101</v>
      </c>
      <c r="B52" s="7">
        <v>43190</v>
      </c>
      <c r="C52" t="s">
        <v>126</v>
      </c>
      <c r="D52" t="s">
        <v>125</v>
      </c>
      <c r="E52" s="4">
        <v>4</v>
      </c>
      <c r="F52" s="3">
        <v>3.268711185276512E-2</v>
      </c>
      <c r="G52" s="3">
        <v>3.1955135834473625E-2</v>
      </c>
      <c r="H52" s="3">
        <v>3.5574657158047515E-2</v>
      </c>
      <c r="I52" s="3">
        <v>3.364948859593711E-2</v>
      </c>
      <c r="J52" s="3">
        <v>3.6728649950114239E-2</v>
      </c>
      <c r="K52" s="3">
        <v>3.6933984380575963E-2</v>
      </c>
      <c r="L52" s="3">
        <v>3.8600776368188247E-2</v>
      </c>
      <c r="M52" s="3">
        <v>3.7930131542778522E-2</v>
      </c>
      <c r="N52" s="3">
        <v>4.1946966069131612E-2</v>
      </c>
      <c r="O52" s="3">
        <v>3.8338873967426634E-2</v>
      </c>
      <c r="P52" s="3">
        <v>4.4856967046642347E-2</v>
      </c>
      <c r="Q52" s="3">
        <v>3.9664872848888505E-2</v>
      </c>
      <c r="R52" s="3">
        <v>4.6977525764767103E-2</v>
      </c>
      <c r="S52" s="3">
        <v>4.1791025093767295E-2</v>
      </c>
      <c r="T52" s="3">
        <v>4.8378022305578264E-2</v>
      </c>
      <c r="U52" s="3">
        <v>4.4468649631014295E-2</v>
      </c>
      <c r="V52" s="3">
        <v>5.0666048141618875E-2</v>
      </c>
      <c r="W52" s="3">
        <v>4.5580033371126337E-2</v>
      </c>
      <c r="X52" s="3">
        <v>5.3741895793428758E-2</v>
      </c>
      <c r="Y52" s="3">
        <v>4.8140618258473628E-2</v>
      </c>
      <c r="Z52" s="3">
        <v>5.7390188726632124E-2</v>
      </c>
      <c r="AA52" s="3">
        <v>5.8575139555686148E-2</v>
      </c>
      <c r="AB52" s="3">
        <v>6.3705172164359752E-2</v>
      </c>
      <c r="AC52" s="3">
        <v>6.7171971954915602E-2</v>
      </c>
      <c r="AD52" s="3">
        <v>6.9385210637260109E-2</v>
      </c>
      <c r="AE52" s="3">
        <v>7.7193441864314982E-2</v>
      </c>
      <c r="AF52" s="3">
        <v>8.0117816364555242E-2</v>
      </c>
      <c r="AG52" s="3">
        <v>7.9348939251239009E-2</v>
      </c>
      <c r="AH52" s="3">
        <v>9.2749052053499315E-2</v>
      </c>
      <c r="AI52" s="3">
        <v>8.2571938732369371E-2</v>
      </c>
      <c r="AJ52" s="3">
        <v>0.11371542279930774</v>
      </c>
      <c r="AK52" s="3">
        <v>0.14756655400287086</v>
      </c>
      <c r="AL52" s="3">
        <v>0.11481786190012677</v>
      </c>
    </row>
    <row r="53" spans="1:38" x14ac:dyDescent="0.35">
      <c r="A53" s="7">
        <v>43101</v>
      </c>
      <c r="B53" s="7">
        <v>43190</v>
      </c>
      <c r="C53" t="s">
        <v>126</v>
      </c>
      <c r="D53" t="s">
        <v>125</v>
      </c>
      <c r="E53" s="4" t="s">
        <v>69</v>
      </c>
      <c r="F53" s="3">
        <v>3.3663340664242071E-2</v>
      </c>
      <c r="G53" s="3">
        <v>3.2856784187710132E-2</v>
      </c>
      <c r="H53" s="3">
        <v>3.6516670482588144E-2</v>
      </c>
      <c r="I53" s="3">
        <v>3.4613877354440145E-2</v>
      </c>
      <c r="J53" s="3">
        <v>3.7665005216227523E-2</v>
      </c>
      <c r="K53" s="3">
        <v>3.7896986844783431E-2</v>
      </c>
      <c r="L53" s="3">
        <v>3.9517567647322296E-2</v>
      </c>
      <c r="M53" s="3">
        <v>3.8913898212994444E-2</v>
      </c>
      <c r="N53" s="3">
        <v>4.2902640946801171E-2</v>
      </c>
      <c r="O53" s="3">
        <v>3.9285534809126985E-2</v>
      </c>
      <c r="P53" s="3">
        <v>4.5782291759152265E-2</v>
      </c>
      <c r="Q53" s="3">
        <v>4.0628695589264144E-2</v>
      </c>
      <c r="R53" s="3">
        <v>4.7914459651524841E-2</v>
      </c>
      <c r="S53" s="3">
        <v>4.2763060110870457E-2</v>
      </c>
      <c r="T53" s="3">
        <v>4.9316843693128623E-2</v>
      </c>
      <c r="U53" s="3">
        <v>4.5445309033417466E-2</v>
      </c>
      <c r="V53" s="3">
        <v>5.1583538133656126E-2</v>
      </c>
      <c r="W53" s="3">
        <v>4.6500495259273383E-2</v>
      </c>
      <c r="X53" s="3">
        <v>5.4730557773519359E-2</v>
      </c>
      <c r="Y53" s="3">
        <v>4.9049873203161495E-2</v>
      </c>
      <c r="Z53" s="3">
        <v>5.8380516132835014E-2</v>
      </c>
      <c r="AA53" s="3">
        <v>5.9536616039588888E-2</v>
      </c>
      <c r="AB53" s="3">
        <v>6.4674492333929995E-2</v>
      </c>
      <c r="AC53" s="3">
        <v>6.8144902683848124E-2</v>
      </c>
      <c r="AD53" s="3">
        <v>7.0289604606180167E-2</v>
      </c>
      <c r="AE53" s="3">
        <v>7.8180960165628241E-2</v>
      </c>
      <c r="AF53" s="3">
        <v>8.1053919066883001E-2</v>
      </c>
      <c r="AG53" s="3">
        <v>8.0257482062810914E-2</v>
      </c>
      <c r="AH53" s="3">
        <v>9.3699819231343878E-2</v>
      </c>
      <c r="AI53" s="3">
        <v>8.3562776545488701E-2</v>
      </c>
      <c r="AJ53" s="3">
        <v>0.11470780016976628</v>
      </c>
      <c r="AK53" s="3">
        <v>0.14851313615786119</v>
      </c>
      <c r="AL53" s="3">
        <v>0.11573276764506546</v>
      </c>
    </row>
    <row r="54" spans="1:38" x14ac:dyDescent="0.35">
      <c r="A54" s="7">
        <v>43101</v>
      </c>
      <c r="B54" s="7">
        <v>43190</v>
      </c>
      <c r="C54" t="s">
        <v>126</v>
      </c>
      <c r="D54" t="s">
        <v>125</v>
      </c>
      <c r="E54" s="4" t="s">
        <v>70</v>
      </c>
      <c r="F54" s="3">
        <v>3.4615006950827518E-2</v>
      </c>
      <c r="G54" s="3">
        <v>3.3762917695688954E-2</v>
      </c>
      <c r="H54" s="3">
        <v>3.7502258168549955E-2</v>
      </c>
      <c r="I54" s="3">
        <v>3.5532143139689068E-2</v>
      </c>
      <c r="J54" s="3">
        <v>3.861025300053797E-2</v>
      </c>
      <c r="K54" s="3">
        <v>3.8871243633954569E-2</v>
      </c>
      <c r="L54" s="3">
        <v>4.0506458227018358E-2</v>
      </c>
      <c r="M54" s="3">
        <v>3.9822139340595884E-2</v>
      </c>
      <c r="N54" s="3">
        <v>4.3879240678301117E-2</v>
      </c>
      <c r="O54" s="3">
        <v>4.0241603607676743E-2</v>
      </c>
      <c r="P54" s="3">
        <v>4.6699213581187005E-2</v>
      </c>
      <c r="Q54" s="3">
        <v>4.1624472251490893E-2</v>
      </c>
      <c r="R54" s="3">
        <v>4.8870656963362825E-2</v>
      </c>
      <c r="S54" s="3">
        <v>4.3729596604833866E-2</v>
      </c>
      <c r="T54" s="3">
        <v>5.0228818340475295E-2</v>
      </c>
      <c r="U54" s="3">
        <v>4.6352468210182241E-2</v>
      </c>
      <c r="V54" s="3">
        <v>5.2513458477405225E-2</v>
      </c>
      <c r="W54" s="3">
        <v>4.749646393134789E-2</v>
      </c>
      <c r="X54" s="3">
        <v>5.571025966002905E-2</v>
      </c>
      <c r="Y54" s="3">
        <v>5.0007331566039356E-2</v>
      </c>
      <c r="Z54" s="3">
        <v>5.9298731543727931E-2</v>
      </c>
      <c r="AA54" s="3">
        <v>6.0467788080590161E-2</v>
      </c>
      <c r="AB54" s="3">
        <v>6.5609447758682521E-2</v>
      </c>
      <c r="AC54" s="3">
        <v>6.9068521925419873E-2</v>
      </c>
      <c r="AD54" s="3">
        <v>7.1195598965229256E-2</v>
      </c>
      <c r="AE54" s="3">
        <v>7.9159910045503074E-2</v>
      </c>
      <c r="AF54" s="3">
        <v>8.2012610411531933E-2</v>
      </c>
      <c r="AG54" s="3">
        <v>8.1181077966933218E-2</v>
      </c>
      <c r="AH54" s="3">
        <v>9.4688238977401223E-2</v>
      </c>
      <c r="AI54" s="3">
        <v>8.4478159208486031E-2</v>
      </c>
      <c r="AJ54" s="3">
        <v>0.11561490997768822</v>
      </c>
      <c r="AK54" s="3">
        <v>0.14943690456744629</v>
      </c>
      <c r="AL54" s="3">
        <v>0.11671679418624389</v>
      </c>
    </row>
    <row r="55" spans="1:38" x14ac:dyDescent="0.35">
      <c r="A55" s="7">
        <v>43101</v>
      </c>
      <c r="B55" s="7">
        <v>43190</v>
      </c>
      <c r="C55" t="s">
        <v>126</v>
      </c>
      <c r="D55" t="s">
        <v>125</v>
      </c>
      <c r="E55" s="4">
        <v>5</v>
      </c>
      <c r="F55" s="3">
        <v>3.5537034616341945E-2</v>
      </c>
      <c r="G55" s="3">
        <v>3.47018714939656E-2</v>
      </c>
      <c r="H55" s="3">
        <v>3.8445141600718852E-2</v>
      </c>
      <c r="I55" s="3">
        <v>3.6501354570931677E-2</v>
      </c>
      <c r="J55" s="3">
        <v>3.9587162076532109E-2</v>
      </c>
      <c r="K55" s="3">
        <v>3.9857435763598306E-2</v>
      </c>
      <c r="L55" s="3">
        <v>4.143041103271039E-2</v>
      </c>
      <c r="M55" s="3">
        <v>4.0758382469180052E-2</v>
      </c>
      <c r="N55" s="3">
        <v>4.4798630295579261E-2</v>
      </c>
      <c r="O55" s="3">
        <v>4.1204003559376604E-2</v>
      </c>
      <c r="P55" s="3">
        <v>4.7607872187442724E-2</v>
      </c>
      <c r="Q55" s="3">
        <v>4.2617434133182266E-2</v>
      </c>
      <c r="R55" s="3">
        <v>4.9787960327398795E-2</v>
      </c>
      <c r="S55" s="3">
        <v>4.4703405383414302E-2</v>
      </c>
      <c r="T55" s="3">
        <v>5.1149752994239302E-2</v>
      </c>
      <c r="U55" s="3">
        <v>4.7294855162885611E-2</v>
      </c>
      <c r="V55" s="3">
        <v>5.3445158938770949E-2</v>
      </c>
      <c r="W55" s="3">
        <v>4.8435172399565143E-2</v>
      </c>
      <c r="X55" s="3">
        <v>5.6687938236702894E-2</v>
      </c>
      <c r="Y55" s="3">
        <v>5.091419119263646E-2</v>
      </c>
      <c r="Z55" s="3">
        <v>6.0274350429703735E-2</v>
      </c>
      <c r="AA55" s="3">
        <v>6.1416623636127196E-2</v>
      </c>
      <c r="AB55" s="3">
        <v>6.6529849427629184E-2</v>
      </c>
      <c r="AC55" s="3">
        <v>7.0045960511612784E-2</v>
      </c>
      <c r="AD55" s="3">
        <v>7.2128988861040549E-2</v>
      </c>
      <c r="AE55" s="3">
        <v>8.0095845061382759E-2</v>
      </c>
      <c r="AF55" s="3">
        <v>8.2952002646676112E-2</v>
      </c>
      <c r="AG55" s="3">
        <v>8.2096016217194395E-2</v>
      </c>
      <c r="AH55" s="3">
        <v>9.5637865264380839E-2</v>
      </c>
      <c r="AI55" s="3">
        <v>8.5439136470290403E-2</v>
      </c>
      <c r="AJ55" s="3">
        <v>0.11655517391392323</v>
      </c>
      <c r="AK55" s="3">
        <v>0.15037465627533181</v>
      </c>
      <c r="AL55" s="3">
        <v>0.11763023727481434</v>
      </c>
    </row>
    <row r="56" spans="1:38" x14ac:dyDescent="0.35">
      <c r="A56" s="7">
        <v>43101</v>
      </c>
      <c r="B56" s="7">
        <v>43190</v>
      </c>
      <c r="C56" t="s">
        <v>126</v>
      </c>
      <c r="D56" t="s">
        <v>125</v>
      </c>
      <c r="E56" s="4" t="s">
        <v>71</v>
      </c>
      <c r="F56" s="3">
        <v>3.6452247532993511E-2</v>
      </c>
      <c r="G56" s="3">
        <v>3.565442674980715E-2</v>
      </c>
      <c r="H56" s="3">
        <v>3.9363432166752955E-2</v>
      </c>
      <c r="I56" s="3">
        <v>3.7483817499054613E-2</v>
      </c>
      <c r="J56" s="3">
        <v>4.0515522119146913E-2</v>
      </c>
      <c r="K56" s="3">
        <v>4.0823752741559957E-2</v>
      </c>
      <c r="L56" s="3">
        <v>4.2378703526991808E-2</v>
      </c>
      <c r="M56" s="3">
        <v>4.1729505019661453E-2</v>
      </c>
      <c r="N56" s="3">
        <v>4.5743765763705466E-2</v>
      </c>
      <c r="O56" s="3">
        <v>4.2147549646481916E-2</v>
      </c>
      <c r="P56" s="3">
        <v>4.8550369849464023E-2</v>
      </c>
      <c r="Q56" s="3">
        <v>4.3553807159928723E-2</v>
      </c>
      <c r="R56" s="3">
        <v>5.0760856877947638E-2</v>
      </c>
      <c r="S56" s="3">
        <v>4.5632661459234697E-2</v>
      </c>
      <c r="T56" s="3">
        <v>5.214608545157446E-2</v>
      </c>
      <c r="U56" s="3">
        <v>4.8256183992917527E-2</v>
      </c>
      <c r="V56" s="3">
        <v>5.4377722287246612E-2</v>
      </c>
      <c r="W56" s="3">
        <v>4.9363475537645862E-2</v>
      </c>
      <c r="X56" s="3">
        <v>5.7639852635564363E-2</v>
      </c>
      <c r="Y56" s="3">
        <v>5.1890286602368899E-2</v>
      </c>
      <c r="Z56" s="3">
        <v>6.1238787352116499E-2</v>
      </c>
      <c r="AA56" s="3">
        <v>6.2342734437073867E-2</v>
      </c>
      <c r="AB56" s="3">
        <v>6.7497644430090958E-2</v>
      </c>
      <c r="AC56" s="3">
        <v>7.0991828499182508E-2</v>
      </c>
      <c r="AD56" s="3">
        <v>7.3106986994260964E-2</v>
      </c>
      <c r="AE56" s="3">
        <v>8.0996109513219117E-2</v>
      </c>
      <c r="AF56" s="3">
        <v>8.394434711940485E-2</v>
      </c>
      <c r="AG56" s="3">
        <v>8.3024576265395139E-2</v>
      </c>
      <c r="AH56" s="3">
        <v>9.6586131170948858E-2</v>
      </c>
      <c r="AI56" s="3">
        <v>8.6356007964590059E-2</v>
      </c>
      <c r="AJ56" s="3">
        <v>0.11749176413878909</v>
      </c>
      <c r="AK56" s="3">
        <v>0.15133627909692013</v>
      </c>
      <c r="AL56" s="3">
        <v>0.11862032111917292</v>
      </c>
    </row>
    <row r="57" spans="1:38" x14ac:dyDescent="0.35">
      <c r="A57" s="7">
        <v>43101</v>
      </c>
      <c r="B57" s="7">
        <v>43190</v>
      </c>
      <c r="C57" t="s">
        <v>126</v>
      </c>
      <c r="D57" t="s">
        <v>125</v>
      </c>
      <c r="E57" s="4" t="s">
        <v>72</v>
      </c>
      <c r="F57" s="3">
        <v>3.745004467152295E-2</v>
      </c>
      <c r="G57" s="3">
        <v>3.6597382233771229E-2</v>
      </c>
      <c r="H57" s="3">
        <v>4.0342643582357916E-2</v>
      </c>
      <c r="I57" s="3">
        <v>3.8385083984993948E-2</v>
      </c>
      <c r="J57" s="3">
        <v>4.1439457241266825E-2</v>
      </c>
      <c r="K57" s="3">
        <v>4.1751167672111456E-2</v>
      </c>
      <c r="L57" s="3">
        <v>4.330233406602603E-2</v>
      </c>
      <c r="M57" s="3">
        <v>4.265232841206501E-2</v>
      </c>
      <c r="N57" s="3">
        <v>4.6725725299334886E-2</v>
      </c>
      <c r="O57" s="3">
        <v>4.3140423901663061E-2</v>
      </c>
      <c r="P57" s="3">
        <v>4.9457192690454406E-2</v>
      </c>
      <c r="Q57" s="3">
        <v>4.4480456218301684E-2</v>
      </c>
      <c r="R57" s="3">
        <v>5.1759113026973641E-2</v>
      </c>
      <c r="S57" s="3">
        <v>4.6599621500819394E-2</v>
      </c>
      <c r="T57" s="3">
        <v>5.307939710107179E-2</v>
      </c>
      <c r="U57" s="3">
        <v>4.9217342664606346E-2</v>
      </c>
      <c r="V57" s="3">
        <v>5.5302257703269832E-2</v>
      </c>
      <c r="W57" s="3">
        <v>5.0357885367248681E-2</v>
      </c>
      <c r="X57" s="3">
        <v>5.8636155423697961E-2</v>
      </c>
      <c r="Y57" s="3">
        <v>5.2804233856917432E-2</v>
      </c>
      <c r="Z57" s="3">
        <v>6.2147907091145455E-2</v>
      </c>
      <c r="AA57" s="3">
        <v>6.3309724026127168E-2</v>
      </c>
      <c r="AB57" s="3">
        <v>6.8488798515799476E-2</v>
      </c>
      <c r="AC57" s="3">
        <v>7.1929846198278441E-2</v>
      </c>
      <c r="AD57" s="3">
        <v>7.408860820571106E-2</v>
      </c>
      <c r="AE57" s="3">
        <v>8.1913454609532255E-2</v>
      </c>
      <c r="AF57" s="3">
        <v>8.4888516304205158E-2</v>
      </c>
      <c r="AG57" s="3">
        <v>8.3967069472016528E-2</v>
      </c>
      <c r="AH57" s="3">
        <v>9.7548762409441131E-2</v>
      </c>
      <c r="AI57" s="3">
        <v>8.7265720475586089E-2</v>
      </c>
      <c r="AJ57" s="3">
        <v>0.11842309530034587</v>
      </c>
      <c r="AK57" s="3">
        <v>0.15224715508668146</v>
      </c>
      <c r="AL57" s="3">
        <v>0.11959960676243339</v>
      </c>
    </row>
    <row r="58" spans="1:38" x14ac:dyDescent="0.35">
      <c r="A58" s="7">
        <v>43101</v>
      </c>
      <c r="B58" s="7">
        <v>43190</v>
      </c>
      <c r="C58" t="s">
        <v>126</v>
      </c>
      <c r="D58" t="s">
        <v>125</v>
      </c>
      <c r="E58" s="4">
        <v>6</v>
      </c>
      <c r="F58" s="3">
        <v>3.8354710843880237E-2</v>
      </c>
      <c r="G58" s="3">
        <v>3.7514300466315889E-2</v>
      </c>
      <c r="H58" s="3">
        <v>4.1340015876603173E-2</v>
      </c>
      <c r="I58" s="3">
        <v>3.9287553075633287E-2</v>
      </c>
      <c r="J58" s="3">
        <v>4.2343677994122683E-2</v>
      </c>
      <c r="K58" s="3">
        <v>4.2711866595613344E-2</v>
      </c>
      <c r="L58" s="3">
        <v>4.4205108654712541E-2</v>
      </c>
      <c r="M58" s="3">
        <v>4.3600622392565028E-2</v>
      </c>
      <c r="N58" s="3">
        <v>4.7686311833625705E-2</v>
      </c>
      <c r="O58" s="3">
        <v>4.4132774067928759E-2</v>
      </c>
      <c r="P58" s="3">
        <v>5.035889928644699E-2</v>
      </c>
      <c r="Q58" s="3">
        <v>4.5464201327189188E-2</v>
      </c>
      <c r="R58" s="3">
        <v>5.2697114376885582E-2</v>
      </c>
      <c r="S58" s="3">
        <v>4.7529621074183445E-2</v>
      </c>
      <c r="T58" s="3">
        <v>5.4015743625293947E-2</v>
      </c>
      <c r="U58" s="3">
        <v>5.0216862234903306E-2</v>
      </c>
      <c r="V58" s="3">
        <v>5.630073576320746E-2</v>
      </c>
      <c r="W58" s="3">
        <v>5.1262787163677034E-2</v>
      </c>
      <c r="X58" s="3">
        <v>5.961369834049085E-2</v>
      </c>
      <c r="Y58" s="3">
        <v>5.3734757929811611E-2</v>
      </c>
      <c r="Z58" s="3">
        <v>6.3087418767790726E-2</v>
      </c>
      <c r="AA58" s="3">
        <v>6.4306843346533055E-2</v>
      </c>
      <c r="AB58" s="3">
        <v>6.9420502837275466E-2</v>
      </c>
      <c r="AC58" s="3">
        <v>7.2884595950778494E-2</v>
      </c>
      <c r="AD58" s="3">
        <v>7.5050407256270185E-2</v>
      </c>
      <c r="AE58" s="3">
        <v>8.2893066680813282E-2</v>
      </c>
      <c r="AF58" s="3">
        <v>8.5864382115662552E-2</v>
      </c>
      <c r="AG58" s="3">
        <v>8.4938529481590475E-2</v>
      </c>
      <c r="AH58" s="3">
        <v>9.8491883015531884E-2</v>
      </c>
      <c r="AI58" s="3">
        <v>8.823462364867285E-2</v>
      </c>
      <c r="AJ58" s="3">
        <v>0.11935782494668729</v>
      </c>
      <c r="AK58" s="3">
        <v>0.1531501469799699</v>
      </c>
      <c r="AL58" s="3">
        <v>0.12055080099179458</v>
      </c>
    </row>
    <row r="59" spans="1:38" x14ac:dyDescent="0.35">
      <c r="A59" s="7">
        <v>43101</v>
      </c>
      <c r="B59" s="7">
        <v>43190</v>
      </c>
      <c r="C59" t="s">
        <v>126</v>
      </c>
      <c r="D59" t="s">
        <v>125</v>
      </c>
      <c r="E59" s="4" t="s">
        <v>73</v>
      </c>
      <c r="F59" s="3">
        <v>3.9312982379720071E-2</v>
      </c>
      <c r="G59" s="3">
        <v>3.8470863826427656E-2</v>
      </c>
      <c r="H59" s="3">
        <v>4.2272189463267364E-2</v>
      </c>
      <c r="I59" s="3">
        <v>4.0251364017709526E-2</v>
      </c>
      <c r="J59" s="3">
        <v>4.3343484503988228E-2</v>
      </c>
      <c r="K59" s="3">
        <v>4.3691342019618509E-2</v>
      </c>
      <c r="L59" s="3">
        <v>4.5162612339023009E-2</v>
      </c>
      <c r="M59" s="3">
        <v>4.4555545551511262E-2</v>
      </c>
      <c r="N59" s="3">
        <v>4.8618632179344742E-2</v>
      </c>
      <c r="O59" s="3">
        <v>4.5106025837637675E-2</v>
      </c>
      <c r="P59" s="3">
        <v>5.1346096550348663E-2</v>
      </c>
      <c r="Q59" s="3">
        <v>4.6377473187230706E-2</v>
      </c>
      <c r="R59" s="3">
        <v>5.3660540987732847E-2</v>
      </c>
      <c r="S59" s="3">
        <v>4.8450464703823914E-2</v>
      </c>
      <c r="T59" s="3">
        <v>5.4969993380739844E-2</v>
      </c>
      <c r="U59" s="3">
        <v>5.1159888659726593E-2</v>
      </c>
      <c r="V59" s="3">
        <v>5.7258205706464359E-2</v>
      </c>
      <c r="W59" s="3">
        <v>5.224586488733661E-2</v>
      </c>
      <c r="X59" s="3">
        <v>6.0565189098086059E-2</v>
      </c>
      <c r="Y59" s="3">
        <v>5.4693615381737823E-2</v>
      </c>
      <c r="Z59" s="3">
        <v>6.4085669834437115E-2</v>
      </c>
      <c r="AA59" s="3">
        <v>6.5226053950022678E-2</v>
      </c>
      <c r="AB59" s="3">
        <v>7.0387327504087466E-2</v>
      </c>
      <c r="AC59" s="3">
        <v>7.3850499388342872E-2</v>
      </c>
      <c r="AD59" s="3">
        <v>7.5995541721114057E-2</v>
      </c>
      <c r="AE59" s="3">
        <v>8.3813620383519555E-2</v>
      </c>
      <c r="AF59" s="3">
        <v>8.6833211364047286E-2</v>
      </c>
      <c r="AG59" s="3">
        <v>8.5856344163987464E-2</v>
      </c>
      <c r="AH59" s="3">
        <v>9.9407203055284776E-2</v>
      </c>
      <c r="AI59" s="3">
        <v>8.9160503509014361E-2</v>
      </c>
      <c r="AJ59" s="3">
        <v>0.12030359887892328</v>
      </c>
      <c r="AK59" s="3">
        <v>0.15411849031913039</v>
      </c>
      <c r="AL59" s="3">
        <v>0.12146881254756178</v>
      </c>
    </row>
    <row r="60" spans="1:38" x14ac:dyDescent="0.35">
      <c r="A60" s="7">
        <v>43101</v>
      </c>
      <c r="B60" s="7">
        <v>43190</v>
      </c>
      <c r="C60" t="s">
        <v>126</v>
      </c>
      <c r="D60" t="s">
        <v>125</v>
      </c>
      <c r="E60" s="4" t="s">
        <v>74</v>
      </c>
      <c r="F60" s="3">
        <v>4.0290655936053604E-2</v>
      </c>
      <c r="G60" s="3">
        <v>3.9415482453008577E-2</v>
      </c>
      <c r="H60" s="3">
        <v>4.3192327521774251E-2</v>
      </c>
      <c r="I60" s="3">
        <v>4.1167024517393375E-2</v>
      </c>
      <c r="J60" s="3">
        <v>4.4298200600403265E-2</v>
      </c>
      <c r="K60" s="3">
        <v>4.4669033421348502E-2</v>
      </c>
      <c r="L60" s="3">
        <v>4.6106092157626927E-2</v>
      </c>
      <c r="M60" s="3">
        <v>4.5545130551937471E-2</v>
      </c>
      <c r="N60" s="3">
        <v>4.9578105083387995E-2</v>
      </c>
      <c r="O60" s="3">
        <v>4.6041206075774277E-2</v>
      </c>
      <c r="P60" s="3">
        <v>5.2272222742774849E-2</v>
      </c>
      <c r="Q60" s="3">
        <v>4.7288973979576765E-2</v>
      </c>
      <c r="R60" s="3">
        <v>5.460971396283118E-2</v>
      </c>
      <c r="S60" s="3">
        <v>4.9423367860062087E-2</v>
      </c>
      <c r="T60" s="3">
        <v>5.5900284765182828E-2</v>
      </c>
      <c r="U60" s="3">
        <v>5.2116043510631933E-2</v>
      </c>
      <c r="V60" s="3">
        <v>5.8186005067337315E-2</v>
      </c>
      <c r="W60" s="3">
        <v>5.3200134180994542E-2</v>
      </c>
      <c r="X60" s="3">
        <v>6.1472847689605307E-2</v>
      </c>
      <c r="Y60" s="3">
        <v>5.5598365149331155E-2</v>
      </c>
      <c r="Z60" s="3">
        <v>6.5011640450528096E-2</v>
      </c>
      <c r="AA60" s="3">
        <v>6.6220768312793526E-2</v>
      </c>
      <c r="AB60" s="3">
        <v>7.1295568211983767E-2</v>
      </c>
      <c r="AC60" s="3">
        <v>7.4817523142215125E-2</v>
      </c>
      <c r="AD60" s="3">
        <v>7.6934228027242785E-2</v>
      </c>
      <c r="AE60" s="3">
        <v>8.4742569693424419E-2</v>
      </c>
      <c r="AF60" s="3">
        <v>8.7746419203997561E-2</v>
      </c>
      <c r="AG60" s="3">
        <v>8.6804327105100026E-2</v>
      </c>
      <c r="AH60" s="3">
        <v>0.10040355033089107</v>
      </c>
      <c r="AI60" s="3">
        <v>9.0092727841256104E-2</v>
      </c>
      <c r="AJ60" s="3">
        <v>0.12122033076272837</v>
      </c>
      <c r="AK60" s="3">
        <v>0.15506721062121739</v>
      </c>
      <c r="AL60" s="3">
        <v>0.12242501005957787</v>
      </c>
    </row>
    <row r="61" spans="1:38" x14ac:dyDescent="0.35">
      <c r="A61" s="7">
        <v>43101</v>
      </c>
      <c r="B61" s="7">
        <v>43190</v>
      </c>
      <c r="C61" t="s">
        <v>126</v>
      </c>
      <c r="D61" t="s">
        <v>125</v>
      </c>
      <c r="E61" s="4">
        <v>7</v>
      </c>
      <c r="F61" s="3">
        <v>4.1278276553716284E-2</v>
      </c>
      <c r="G61" s="3">
        <v>4.0329177705657582E-2</v>
      </c>
      <c r="H61" s="3">
        <v>4.4099318153345834E-2</v>
      </c>
      <c r="I61" s="3">
        <v>4.2083811526251506E-2</v>
      </c>
      <c r="J61" s="3">
        <v>4.5213419842575459E-2</v>
      </c>
      <c r="K61" s="3">
        <v>4.558380085956102E-2</v>
      </c>
      <c r="L61" s="3">
        <v>4.7092812186156276E-2</v>
      </c>
      <c r="M61" s="3">
        <v>4.6540381363158703E-2</v>
      </c>
      <c r="N61" s="3">
        <v>5.0541323345427748E-2</v>
      </c>
      <c r="O61" s="3">
        <v>4.6991421638006951E-2</v>
      </c>
      <c r="P61" s="3">
        <v>5.3236981442763745E-2</v>
      </c>
      <c r="Q61" s="3">
        <v>4.8234541478731421E-2</v>
      </c>
      <c r="R61" s="3">
        <v>5.5559390111168401E-2</v>
      </c>
      <c r="S61" s="3">
        <v>5.0346904198118624E-2</v>
      </c>
      <c r="T61" s="3">
        <v>5.6816080504292425E-2</v>
      </c>
      <c r="U61" s="3">
        <v>5.3027736685895596E-2</v>
      </c>
      <c r="V61" s="3">
        <v>5.9124858987900854E-2</v>
      </c>
      <c r="W61" s="3">
        <v>5.4144763825180409E-2</v>
      </c>
      <c r="X61" s="3">
        <v>6.2388336794213066E-2</v>
      </c>
      <c r="Y61" s="3">
        <v>5.6591257052729681E-2</v>
      </c>
      <c r="Z61" s="3">
        <v>6.5977016347356199E-2</v>
      </c>
      <c r="AA61" s="3">
        <v>6.7209543585266665E-2</v>
      </c>
      <c r="AB61" s="3">
        <v>7.2258125568611831E-2</v>
      </c>
      <c r="AC61" s="3">
        <v>7.5742287354191973E-2</v>
      </c>
      <c r="AD61" s="3">
        <v>7.7887157903794746E-2</v>
      </c>
      <c r="AE61" s="3">
        <v>8.5662762776687496E-2</v>
      </c>
      <c r="AF61" s="3">
        <v>8.8712813964452519E-2</v>
      </c>
      <c r="AG61" s="3">
        <v>8.7782994599508807E-2</v>
      </c>
      <c r="AH61" s="3">
        <v>0.10138231580665266</v>
      </c>
      <c r="AI61" s="3">
        <v>9.1077913935211585E-2</v>
      </c>
      <c r="AJ61" s="3">
        <v>0.12220598351307099</v>
      </c>
      <c r="AK61" s="3">
        <v>0.15597013151438968</v>
      </c>
      <c r="AL61" s="3">
        <v>0.12338501633574686</v>
      </c>
    </row>
    <row r="62" spans="1:38" x14ac:dyDescent="0.35">
      <c r="A62" s="7">
        <v>43101</v>
      </c>
      <c r="B62" s="7">
        <v>43190</v>
      </c>
      <c r="C62" t="s">
        <v>126</v>
      </c>
      <c r="D62" t="s">
        <v>125</v>
      </c>
      <c r="E62" s="4" t="s">
        <v>75</v>
      </c>
      <c r="F62" s="3">
        <v>4.218248827263521E-2</v>
      </c>
      <c r="G62" s="3">
        <v>4.1301753966505143E-2</v>
      </c>
      <c r="H62" s="3">
        <v>4.502683863923293E-2</v>
      </c>
      <c r="I62" s="3">
        <v>4.306755785212503E-2</v>
      </c>
      <c r="J62" s="3">
        <v>4.6201709327723481E-2</v>
      </c>
      <c r="K62" s="3">
        <v>4.6550622839863748E-2</v>
      </c>
      <c r="L62" s="3">
        <v>4.8066014601750959E-2</v>
      </c>
      <c r="M62" s="3">
        <v>4.7515759061131507E-2</v>
      </c>
      <c r="N62" s="3">
        <v>5.1527017636710616E-2</v>
      </c>
      <c r="O62" s="3">
        <v>4.7956748998221201E-2</v>
      </c>
      <c r="P62" s="3">
        <v>5.4147315452805593E-2</v>
      </c>
      <c r="Q62" s="3">
        <v>4.9200116122030652E-2</v>
      </c>
      <c r="R62" s="3">
        <v>5.6524190394425522E-2</v>
      </c>
      <c r="S62" s="3">
        <v>5.1342902962852918E-2</v>
      </c>
      <c r="T62" s="3">
        <v>5.7756386656798407E-2</v>
      </c>
      <c r="U62" s="3">
        <v>5.4005559472231804E-2</v>
      </c>
      <c r="V62" s="3">
        <v>6.0047358524636864E-2</v>
      </c>
      <c r="W62" s="3">
        <v>5.5140598489951502E-2</v>
      </c>
      <c r="X62" s="3">
        <v>6.3328808699077421E-2</v>
      </c>
      <c r="Y62" s="3">
        <v>5.7560360891625424E-2</v>
      </c>
      <c r="Z62" s="3">
        <v>6.6974746221220002E-2</v>
      </c>
      <c r="AA62" s="3">
        <v>6.8143034001964808E-2</v>
      </c>
      <c r="AB62" s="3">
        <v>7.3196010653543364E-2</v>
      </c>
      <c r="AC62" s="3">
        <v>7.6649617469505105E-2</v>
      </c>
      <c r="AD62" s="3">
        <v>7.8819400436061254E-2</v>
      </c>
      <c r="AE62" s="3">
        <v>8.6639145127280964E-2</v>
      </c>
      <c r="AF62" s="3">
        <v>8.9675499657925511E-2</v>
      </c>
      <c r="AG62" s="3">
        <v>8.8723641932776487E-2</v>
      </c>
      <c r="AH62" s="3">
        <v>0.10231303051295471</v>
      </c>
      <c r="AI62" s="3">
        <v>9.2039773112474743E-2</v>
      </c>
      <c r="AJ62" s="3">
        <v>0.12316032095937948</v>
      </c>
      <c r="AK62" s="3">
        <v>0.15692404775594543</v>
      </c>
      <c r="AL62" s="3">
        <v>0.12432571407201984</v>
      </c>
    </row>
    <row r="63" spans="1:38" x14ac:dyDescent="0.35">
      <c r="A63" s="7">
        <v>43101</v>
      </c>
      <c r="B63" s="7">
        <v>43190</v>
      </c>
      <c r="C63" t="s">
        <v>128</v>
      </c>
      <c r="D63" t="s">
        <v>125</v>
      </c>
      <c r="E63" s="4">
        <v>1</v>
      </c>
      <c r="F63" s="3">
        <v>2.5987235415080065E-2</v>
      </c>
      <c r="G63" s="3">
        <v>2.5522336342949561E-2</v>
      </c>
      <c r="H63" s="3">
        <v>2.8904631230141239E-2</v>
      </c>
      <c r="I63" s="3">
        <v>2.7059051771753752E-2</v>
      </c>
      <c r="J63" s="3">
        <v>3.0214931408311059E-2</v>
      </c>
      <c r="K63" s="3">
        <v>3.0265446267055657E-2</v>
      </c>
      <c r="L63" s="3">
        <v>3.1982197143763186E-2</v>
      </c>
      <c r="M63" s="3">
        <v>3.137502253914716E-2</v>
      </c>
      <c r="N63" s="3">
        <v>3.5507892750587855E-2</v>
      </c>
      <c r="O63" s="3">
        <v>3.1706515013046777E-2</v>
      </c>
      <c r="P63" s="3">
        <v>3.8154611745470947E-2</v>
      </c>
      <c r="Q63" s="3">
        <v>3.3068234094442879E-2</v>
      </c>
      <c r="R63" s="3">
        <v>4.0456126253836606E-2</v>
      </c>
      <c r="S63" s="3">
        <v>3.5142726163996982E-2</v>
      </c>
      <c r="T63" s="3">
        <v>4.190767406161585E-2</v>
      </c>
      <c r="U63" s="3">
        <v>3.7823319048479055E-2</v>
      </c>
      <c r="V63" s="3">
        <v>4.4047535621602511E-2</v>
      </c>
      <c r="W63" s="3">
        <v>3.8978029939151657E-2</v>
      </c>
      <c r="X63" s="3">
        <v>4.7194112106792328E-2</v>
      </c>
      <c r="Y63" s="3">
        <v>4.154192139861277E-2</v>
      </c>
      <c r="Z63" s="3">
        <v>5.0720350031989596E-2</v>
      </c>
      <c r="AA63" s="3">
        <v>5.1938659601285304E-2</v>
      </c>
      <c r="AB63" s="3">
        <v>5.7220889135458301E-2</v>
      </c>
      <c r="AC63" s="3">
        <v>6.0598276343003583E-2</v>
      </c>
      <c r="AD63" s="3">
        <v>6.2975244868088726E-2</v>
      </c>
      <c r="AE63" s="3">
        <v>7.0630307613935212E-2</v>
      </c>
      <c r="AF63" s="3">
        <v>7.3530260528803765E-2</v>
      </c>
      <c r="AG63" s="3">
        <v>7.2821994417673785E-2</v>
      </c>
      <c r="AH63" s="3">
        <v>8.6201092314036609E-2</v>
      </c>
      <c r="AI63" s="3">
        <v>7.5923580014799819E-2</v>
      </c>
      <c r="AJ63" s="3">
        <v>0.10718899962977327</v>
      </c>
      <c r="AK63" s="3">
        <v>0.14088203667397348</v>
      </c>
      <c r="AL63" s="3">
        <v>0.10838283042429545</v>
      </c>
    </row>
    <row r="64" spans="1:38" x14ac:dyDescent="0.35">
      <c r="A64" s="7">
        <v>43101</v>
      </c>
      <c r="B64" s="7">
        <v>43190</v>
      </c>
      <c r="C64" t="s">
        <v>128</v>
      </c>
      <c r="D64" t="s">
        <v>125</v>
      </c>
      <c r="E64" s="4" t="s">
        <v>64</v>
      </c>
      <c r="F64" s="3">
        <v>2.6955504628306672E-2</v>
      </c>
      <c r="G64" s="3">
        <v>2.6444481773370748E-2</v>
      </c>
      <c r="H64" s="3">
        <v>2.985062660607473E-2</v>
      </c>
      <c r="I64" s="3">
        <v>2.7968925101185337E-2</v>
      </c>
      <c r="J64" s="3">
        <v>3.1133283155749987E-2</v>
      </c>
      <c r="K64" s="3">
        <v>3.1223062002444339E-2</v>
      </c>
      <c r="L64" s="3">
        <v>3.2934115932132968E-2</v>
      </c>
      <c r="M64" s="3">
        <v>3.2280819977680508E-2</v>
      </c>
      <c r="N64" s="3">
        <v>3.6450059642861694E-2</v>
      </c>
      <c r="O64" s="3">
        <v>3.2642785468758394E-2</v>
      </c>
      <c r="P64" s="3">
        <v>3.9118841964526536E-2</v>
      </c>
      <c r="Q64" s="3">
        <v>3.3979868013520542E-2</v>
      </c>
      <c r="R64" s="3">
        <v>4.1439336595061632E-2</v>
      </c>
      <c r="S64" s="3">
        <v>3.6073364823084354E-2</v>
      </c>
      <c r="T64" s="3">
        <v>4.2881617977735501E-2</v>
      </c>
      <c r="U64" s="3">
        <v>3.8738906253639446E-2</v>
      </c>
      <c r="V64" s="3">
        <v>4.5018330733574294E-2</v>
      </c>
      <c r="W64" s="3">
        <v>3.9924668227140761E-2</v>
      </c>
      <c r="X64" s="3">
        <v>4.8173292504344781E-2</v>
      </c>
      <c r="Y64" s="3">
        <v>4.2464646138943567E-2</v>
      </c>
      <c r="Z64" s="3">
        <v>5.1663966833701072E-2</v>
      </c>
      <c r="AA64" s="3">
        <v>5.2893391600233458E-2</v>
      </c>
      <c r="AB64" s="3">
        <v>5.8139843977245198E-2</v>
      </c>
      <c r="AC64" s="3">
        <v>6.1548496431847795E-2</v>
      </c>
      <c r="AD64" s="3">
        <v>6.3929948312430665E-2</v>
      </c>
      <c r="AE64" s="3">
        <v>7.1537761203292319E-2</v>
      </c>
      <c r="AF64" s="3">
        <v>7.44980601551955E-2</v>
      </c>
      <c r="AG64" s="3">
        <v>7.3743308851667147E-2</v>
      </c>
      <c r="AH64" s="3">
        <v>8.7159836721572542E-2</v>
      </c>
      <c r="AI64" s="3">
        <v>7.6836736383455007E-2</v>
      </c>
      <c r="AJ64" s="3">
        <v>0.10811874012266376</v>
      </c>
      <c r="AK64" s="3">
        <v>0.1418205734558888</v>
      </c>
      <c r="AL64" s="3">
        <v>0.10928480850509567</v>
      </c>
    </row>
    <row r="65" spans="1:38" x14ac:dyDescent="0.35">
      <c r="A65" s="7">
        <v>43101</v>
      </c>
      <c r="B65" s="7">
        <v>43190</v>
      </c>
      <c r="C65" t="s">
        <v>128</v>
      </c>
      <c r="D65" t="s">
        <v>125</v>
      </c>
      <c r="E65" s="4">
        <v>2</v>
      </c>
      <c r="F65" s="3">
        <v>2.7897021899625216E-2</v>
      </c>
      <c r="G65" s="3">
        <v>2.7368915274916437E-2</v>
      </c>
      <c r="H65" s="3">
        <v>3.0848451892030358E-2</v>
      </c>
      <c r="I65" s="3">
        <v>2.8955691162124077E-2</v>
      </c>
      <c r="J65" s="3">
        <v>3.2060131064313005E-2</v>
      </c>
      <c r="K65" s="3">
        <v>3.2198106227038337E-2</v>
      </c>
      <c r="L65" s="3">
        <v>3.3845044629501123E-2</v>
      </c>
      <c r="M65" s="3">
        <v>3.3234643248477844E-2</v>
      </c>
      <c r="N65" s="3">
        <v>3.7382324199331081E-2</v>
      </c>
      <c r="O65" s="3">
        <v>3.3594684077558834E-2</v>
      </c>
      <c r="P65" s="3">
        <v>4.0040547019358746E-2</v>
      </c>
      <c r="Q65" s="3">
        <v>3.4919219200209517E-2</v>
      </c>
      <c r="R65" s="3">
        <v>4.2371166603959773E-2</v>
      </c>
      <c r="S65" s="3">
        <v>3.7041012010300828E-2</v>
      </c>
      <c r="T65" s="3">
        <v>4.3831479692354042E-2</v>
      </c>
      <c r="U65" s="3">
        <v>3.9687198648127538E-2</v>
      </c>
      <c r="V65" s="3">
        <v>4.5993338675699429E-2</v>
      </c>
      <c r="W65" s="3">
        <v>4.0890880083179662E-2</v>
      </c>
      <c r="X65" s="3">
        <v>4.9140754596639788E-2</v>
      </c>
      <c r="Y65" s="3">
        <v>4.3458963417643243E-2</v>
      </c>
      <c r="Z65" s="3">
        <v>5.2599887843882989E-2</v>
      </c>
      <c r="AA65" s="3">
        <v>5.3867198078455511E-2</v>
      </c>
      <c r="AB65" s="3">
        <v>5.9078492929563478E-2</v>
      </c>
      <c r="AC65" s="3">
        <v>6.2451398081860635E-2</v>
      </c>
      <c r="AD65" s="3">
        <v>6.4845761448320341E-2</v>
      </c>
      <c r="AE65" s="3">
        <v>7.2442675029635431E-2</v>
      </c>
      <c r="AF65" s="3">
        <v>7.5471262341356135E-2</v>
      </c>
      <c r="AG65" s="3">
        <v>7.472140626189222E-2</v>
      </c>
      <c r="AH65" s="3">
        <v>8.8088969605302603E-2</v>
      </c>
      <c r="AI65" s="3">
        <v>7.7827014311840928E-2</v>
      </c>
      <c r="AJ65" s="3">
        <v>0.10905082647783992</v>
      </c>
      <c r="AK65" s="3">
        <v>0.14276338686442322</v>
      </c>
      <c r="AL65" s="3">
        <v>0.11018762445336724</v>
      </c>
    </row>
    <row r="66" spans="1:38" x14ac:dyDescent="0.35">
      <c r="A66" s="7">
        <v>43101</v>
      </c>
      <c r="B66" s="7">
        <v>43190</v>
      </c>
      <c r="C66" t="s">
        <v>128</v>
      </c>
      <c r="D66" t="s">
        <v>125</v>
      </c>
      <c r="E66" s="4" t="s">
        <v>65</v>
      </c>
      <c r="F66" s="3">
        <v>2.8892588043602629E-2</v>
      </c>
      <c r="G66" s="3">
        <v>2.8329308788466755E-2</v>
      </c>
      <c r="H66" s="3">
        <v>3.1819656371274409E-2</v>
      </c>
      <c r="I66" s="3">
        <v>2.989320821390341E-2</v>
      </c>
      <c r="J66" s="3">
        <v>3.3013264636733278E-2</v>
      </c>
      <c r="K66" s="3">
        <v>3.3135830795126872E-2</v>
      </c>
      <c r="L66" s="3">
        <v>3.4774662475232566E-2</v>
      </c>
      <c r="M66" s="3">
        <v>3.417974739297501E-2</v>
      </c>
      <c r="N66" s="3">
        <v>3.8293207543458288E-2</v>
      </c>
      <c r="O66" s="3">
        <v>3.4544866915647204E-2</v>
      </c>
      <c r="P66" s="3">
        <v>4.102848238318213E-2</v>
      </c>
      <c r="Q66" s="3">
        <v>3.590278073173396E-2</v>
      </c>
      <c r="R66" s="3">
        <v>4.3290724980076224E-2</v>
      </c>
      <c r="S66" s="3">
        <v>3.7959929011024782E-2</v>
      </c>
      <c r="T66" s="3">
        <v>4.4744417994947591E-2</v>
      </c>
      <c r="U66" s="3">
        <v>4.0652317576269623E-2</v>
      </c>
      <c r="V66" s="3">
        <v>4.6913480248590572E-2</v>
      </c>
      <c r="W66" s="3">
        <v>4.1850251791674661E-2</v>
      </c>
      <c r="X66" s="3">
        <v>5.0122262773781387E-2</v>
      </c>
      <c r="Y66" s="3">
        <v>4.4373228437165707E-2</v>
      </c>
      <c r="Z66" s="3">
        <v>5.3590145397651653E-2</v>
      </c>
      <c r="AA66" s="3">
        <v>5.4820686831295172E-2</v>
      </c>
      <c r="AB66" s="3">
        <v>6.0042504808221868E-2</v>
      </c>
      <c r="AC66" s="3">
        <v>6.3366638261812713E-2</v>
      </c>
      <c r="AD66" s="3">
        <v>6.5762272908770125E-2</v>
      </c>
      <c r="AE66" s="3">
        <v>7.3423160064546078E-2</v>
      </c>
      <c r="AF66" s="3">
        <v>7.6429679229339922E-2</v>
      </c>
      <c r="AG66" s="3">
        <v>7.5661021251319488E-2</v>
      </c>
      <c r="AH66" s="3">
        <v>8.9006290793609943E-2</v>
      </c>
      <c r="AI66" s="3">
        <v>7.8762463089604773E-2</v>
      </c>
      <c r="AJ66" s="3">
        <v>0.10999967860014292</v>
      </c>
      <c r="AK66" s="3">
        <v>0.1436933785039842</v>
      </c>
      <c r="AL66" s="3">
        <v>0.11117059404382648</v>
      </c>
    </row>
    <row r="67" spans="1:38" x14ac:dyDescent="0.35">
      <c r="A67" s="7">
        <v>43101</v>
      </c>
      <c r="B67" s="7">
        <v>43190</v>
      </c>
      <c r="C67" t="s">
        <v>128</v>
      </c>
      <c r="D67" t="s">
        <v>125</v>
      </c>
      <c r="E67" s="4" t="s">
        <v>66</v>
      </c>
      <c r="F67" s="3">
        <v>2.9816431623965196E-2</v>
      </c>
      <c r="G67" s="3">
        <v>2.9279758919457922E-2</v>
      </c>
      <c r="H67" s="3">
        <v>3.2808105309173163E-2</v>
      </c>
      <c r="I67" s="3">
        <v>3.0867113852875983E-2</v>
      </c>
      <c r="J67" s="3">
        <v>3.3985287884005622E-2</v>
      </c>
      <c r="K67" s="3">
        <v>3.4083926756475459E-2</v>
      </c>
      <c r="L67" s="3">
        <v>3.5760408681570016E-2</v>
      </c>
      <c r="M67" s="3">
        <v>3.5139345117331522E-2</v>
      </c>
      <c r="N67" s="3">
        <v>3.9274630476066413E-2</v>
      </c>
      <c r="O67" s="3">
        <v>3.5495680412953486E-2</v>
      </c>
      <c r="P67" s="3">
        <v>4.1990447680038123E-2</v>
      </c>
      <c r="Q67" s="3">
        <v>3.6867473360407806E-2</v>
      </c>
      <c r="R67" s="3">
        <v>4.4253792917843315E-2</v>
      </c>
      <c r="S67" s="3">
        <v>3.8932087503310356E-2</v>
      </c>
      <c r="T67" s="3">
        <v>4.566803628015266E-2</v>
      </c>
      <c r="U67" s="3">
        <v>4.159448869808742E-2</v>
      </c>
      <c r="V67" s="3">
        <v>4.785897994590714E-2</v>
      </c>
      <c r="W67" s="3">
        <v>4.2841963462791441E-2</v>
      </c>
      <c r="X67" s="3">
        <v>5.1025110373458443E-2</v>
      </c>
      <c r="Y67" s="3">
        <v>4.534952307876973E-2</v>
      </c>
      <c r="Z67" s="3">
        <v>5.4543861718213044E-2</v>
      </c>
      <c r="AA67" s="3">
        <v>5.5733705693309474E-2</v>
      </c>
      <c r="AB67" s="3">
        <v>6.0989763352759907E-2</v>
      </c>
      <c r="AC67" s="3">
        <v>6.4327036642431695E-2</v>
      </c>
      <c r="AD67" s="3">
        <v>6.6690749612420913E-2</v>
      </c>
      <c r="AE67" s="3">
        <v>7.4419860058073883E-2</v>
      </c>
      <c r="AF67" s="3">
        <v>7.7365926051764178E-2</v>
      </c>
      <c r="AG67" s="3">
        <v>7.6587901413566958E-2</v>
      </c>
      <c r="AH67" s="3">
        <v>8.9992861093754623E-2</v>
      </c>
      <c r="AI67" s="3">
        <v>7.9738964897950099E-2</v>
      </c>
      <c r="AJ67" s="3">
        <v>0.11092708483544281</v>
      </c>
      <c r="AK67" s="3">
        <v>0.14469048553650632</v>
      </c>
      <c r="AL67" s="3">
        <v>0.11208402769059558</v>
      </c>
    </row>
    <row r="68" spans="1:38" x14ac:dyDescent="0.35">
      <c r="A68" s="7">
        <v>43101</v>
      </c>
      <c r="B68" s="7">
        <v>43190</v>
      </c>
      <c r="C68" t="s">
        <v>128</v>
      </c>
      <c r="D68" t="s">
        <v>125</v>
      </c>
      <c r="E68" s="4">
        <v>3</v>
      </c>
      <c r="F68" s="3">
        <v>3.0809313229369591E-2</v>
      </c>
      <c r="G68" s="3">
        <v>3.0205970811349712E-2</v>
      </c>
      <c r="H68" s="3">
        <v>3.3799404111945874E-2</v>
      </c>
      <c r="I68" s="3">
        <v>3.1780618839001906E-2</v>
      </c>
      <c r="J68" s="3">
        <v>3.4927313185709304E-2</v>
      </c>
      <c r="K68" s="3">
        <v>3.5058551719849632E-2</v>
      </c>
      <c r="L68" s="3">
        <v>3.6707387777530492E-2</v>
      </c>
      <c r="M68" s="3">
        <v>3.6118831932959117E-2</v>
      </c>
      <c r="N68" s="3">
        <v>4.0197139208795252E-2</v>
      </c>
      <c r="O68" s="3">
        <v>3.6479170774394741E-2</v>
      </c>
      <c r="P68" s="3">
        <v>4.2981297683726244E-2</v>
      </c>
      <c r="Q68" s="3">
        <v>3.7781588451177517E-2</v>
      </c>
      <c r="R68" s="3">
        <v>4.5192268792738501E-2</v>
      </c>
      <c r="S68" s="3">
        <v>3.9930679296247287E-2</v>
      </c>
      <c r="T68" s="3">
        <v>4.6601194914300655E-2</v>
      </c>
      <c r="U68" s="3">
        <v>4.2497633796527712E-2</v>
      </c>
      <c r="V68" s="3">
        <v>4.8767134065234197E-2</v>
      </c>
      <c r="W68" s="3">
        <v>4.3762297852789872E-2</v>
      </c>
      <c r="X68" s="3">
        <v>5.1956300324280599E-2</v>
      </c>
      <c r="Y68" s="3">
        <v>4.6292246292781981E-2</v>
      </c>
      <c r="Z68" s="3">
        <v>5.5504517540770237E-2</v>
      </c>
      <c r="AA68" s="3">
        <v>5.6730320407891131E-2</v>
      </c>
      <c r="AB68" s="3">
        <v>6.1903407085099338E-2</v>
      </c>
      <c r="AC68" s="3">
        <v>6.5289714971796503E-2</v>
      </c>
      <c r="AD68" s="3">
        <v>6.7671491768077574E-2</v>
      </c>
      <c r="AE68" s="3">
        <v>7.532529956267843E-2</v>
      </c>
      <c r="AF68" s="3">
        <v>7.8270462377958913E-2</v>
      </c>
      <c r="AG68" s="3">
        <v>7.7507018551669832E-2</v>
      </c>
      <c r="AH68" s="3">
        <v>9.092020182488339E-2</v>
      </c>
      <c r="AI68" s="3">
        <v>8.0656346334527174E-2</v>
      </c>
      <c r="AJ68" s="3">
        <v>0.11183415501933933</v>
      </c>
      <c r="AK68" s="3">
        <v>0.14563667660339871</v>
      </c>
      <c r="AL68" s="3">
        <v>0.11298752626621517</v>
      </c>
    </row>
    <row r="69" spans="1:38" x14ac:dyDescent="0.35">
      <c r="A69" s="7">
        <v>43101</v>
      </c>
      <c r="B69" s="7">
        <v>43190</v>
      </c>
      <c r="C69" t="s">
        <v>128</v>
      </c>
      <c r="D69" t="s">
        <v>125</v>
      </c>
      <c r="E69" s="4" t="s">
        <v>67</v>
      </c>
      <c r="F69" s="3">
        <v>3.1758338673687735E-2</v>
      </c>
      <c r="G69" s="3">
        <v>3.1114066860379219E-2</v>
      </c>
      <c r="H69" s="3">
        <v>3.4734961535117334E-2</v>
      </c>
      <c r="I69" s="3">
        <v>3.2716483633118978E-2</v>
      </c>
      <c r="J69" s="3">
        <v>3.5846367426793313E-2</v>
      </c>
      <c r="K69" s="3">
        <v>3.6010486371479272E-2</v>
      </c>
      <c r="L69" s="3">
        <v>3.7665024302281878E-2</v>
      </c>
      <c r="M69" s="3">
        <v>3.7085829953676569E-2</v>
      </c>
      <c r="N69" s="3">
        <v>4.1100322924584064E-2</v>
      </c>
      <c r="O69" s="3">
        <v>3.7446438544002564E-2</v>
      </c>
      <c r="P69" s="3">
        <v>4.3887358319701072E-2</v>
      </c>
      <c r="Q69" s="3">
        <v>3.8705992518516544E-2</v>
      </c>
      <c r="R69" s="3">
        <v>4.6104972754014865E-2</v>
      </c>
      <c r="S69" s="3">
        <v>4.0890796136354192E-2</v>
      </c>
      <c r="T69" s="3">
        <v>4.7517306360080142E-2</v>
      </c>
      <c r="U69" s="3">
        <v>4.3481023873773617E-2</v>
      </c>
      <c r="V69" s="3">
        <v>4.9733842563750845E-2</v>
      </c>
      <c r="W69" s="3">
        <v>4.4669938527937061E-2</v>
      </c>
      <c r="X69" s="3">
        <v>5.287578028254647E-2</v>
      </c>
      <c r="Y69" s="3">
        <v>4.7260285664062859E-2</v>
      </c>
      <c r="Z69" s="3">
        <v>5.6447037965201674E-2</v>
      </c>
      <c r="AA69" s="3">
        <v>5.768192984896605E-2</v>
      </c>
      <c r="AB69" s="3">
        <v>6.2820791014653321E-2</v>
      </c>
      <c r="AC69" s="3">
        <v>6.6225848263291698E-2</v>
      </c>
      <c r="AD69" s="3">
        <v>6.8575165230735008E-2</v>
      </c>
      <c r="AE69" s="3">
        <v>7.6305686528439109E-2</v>
      </c>
      <c r="AF69" s="3">
        <v>7.9233725413743877E-2</v>
      </c>
      <c r="AG69" s="3">
        <v>7.848281595435852E-2</v>
      </c>
      <c r="AH69" s="3">
        <v>9.1849924185783416E-2</v>
      </c>
      <c r="AI69" s="3">
        <v>8.1643603818231325E-2</v>
      </c>
      <c r="AJ69" s="3">
        <v>0.11279284637867448</v>
      </c>
      <c r="AK69" s="3">
        <v>0.14663408093916622</v>
      </c>
      <c r="AL69" s="3">
        <v>0.11395296391268561</v>
      </c>
    </row>
    <row r="70" spans="1:38" x14ac:dyDescent="0.35">
      <c r="A70" s="7">
        <v>43101</v>
      </c>
      <c r="B70" s="7">
        <v>43190</v>
      </c>
      <c r="C70" t="s">
        <v>128</v>
      </c>
      <c r="D70" t="s">
        <v>125</v>
      </c>
      <c r="E70" s="4" t="s">
        <v>68</v>
      </c>
      <c r="F70" s="3">
        <v>3.2739197622021779E-2</v>
      </c>
      <c r="G70" s="3">
        <v>3.204011238399887E-2</v>
      </c>
      <c r="H70" s="3">
        <v>3.5642241261176211E-2</v>
      </c>
      <c r="I70" s="3">
        <v>3.3708017045777729E-2</v>
      </c>
      <c r="J70" s="3">
        <v>3.6757571708418507E-2</v>
      </c>
      <c r="K70" s="3">
        <v>3.6966037413180705E-2</v>
      </c>
      <c r="L70" s="3">
        <v>3.8653307044733312E-2</v>
      </c>
      <c r="M70" s="3">
        <v>3.8027658446906205E-2</v>
      </c>
      <c r="N70" s="3">
        <v>4.2007721087298888E-2</v>
      </c>
      <c r="O70" s="3">
        <v>3.8405401536441369E-2</v>
      </c>
      <c r="P70" s="3">
        <v>4.4876462331655487E-2</v>
      </c>
      <c r="Q70" s="3">
        <v>3.9671343263786907E-2</v>
      </c>
      <c r="R70" s="3">
        <v>4.7034383018163428E-2</v>
      </c>
      <c r="S70" s="3">
        <v>4.1820873196983938E-2</v>
      </c>
      <c r="T70" s="3">
        <v>4.8433727451292763E-2</v>
      </c>
      <c r="U70" s="3">
        <v>4.4477800013649864E-2</v>
      </c>
      <c r="V70" s="3">
        <v>5.0709102113335694E-2</v>
      </c>
      <c r="W70" s="3">
        <v>4.5657989214654485E-2</v>
      </c>
      <c r="X70" s="3">
        <v>5.3801267945788961E-2</v>
      </c>
      <c r="Y70" s="3">
        <v>4.82076991944278E-2</v>
      </c>
      <c r="Z70" s="3">
        <v>5.7390312450374542E-2</v>
      </c>
      <c r="AA70" s="3">
        <v>5.8653090535508351E-2</v>
      </c>
      <c r="AB70" s="3">
        <v>6.3781201174315114E-2</v>
      </c>
      <c r="AC70" s="3">
        <v>6.7188469893734448E-2</v>
      </c>
      <c r="AD70" s="3">
        <v>6.9480376542508604E-2</v>
      </c>
      <c r="AE70" s="3">
        <v>7.7223518133722274E-2</v>
      </c>
      <c r="AF70" s="3">
        <v>8.0186289388047005E-2</v>
      </c>
      <c r="AG70" s="3">
        <v>7.9406298040132633E-2</v>
      </c>
      <c r="AH70" s="3">
        <v>9.2754335980998137E-2</v>
      </c>
      <c r="AI70" s="3">
        <v>8.2604606311731985E-2</v>
      </c>
      <c r="AJ70" s="3">
        <v>0.11377346034366118</v>
      </c>
      <c r="AK70" s="3">
        <v>0.147582909636502</v>
      </c>
      <c r="AL70" s="3">
        <v>0.11490085140852593</v>
      </c>
    </row>
    <row r="71" spans="1:38" x14ac:dyDescent="0.35">
      <c r="A71" s="7">
        <v>43101</v>
      </c>
      <c r="B71" s="7">
        <v>43190</v>
      </c>
      <c r="C71" t="s">
        <v>128</v>
      </c>
      <c r="D71" t="s">
        <v>125</v>
      </c>
      <c r="E71" s="4">
        <v>4</v>
      </c>
      <c r="F71" s="3">
        <v>3.3687111852765121E-2</v>
      </c>
      <c r="G71" s="3">
        <v>3.2955135834473626E-2</v>
      </c>
      <c r="H71" s="3">
        <v>3.6574657158047516E-2</v>
      </c>
      <c r="I71" s="3">
        <v>3.4649488595937111E-2</v>
      </c>
      <c r="J71" s="3">
        <v>3.772864995011424E-2</v>
      </c>
      <c r="K71" s="3">
        <v>3.7933984380575964E-2</v>
      </c>
      <c r="L71" s="3">
        <v>3.9600776368188248E-2</v>
      </c>
      <c r="M71" s="3">
        <v>3.8930131542778523E-2</v>
      </c>
      <c r="N71" s="3">
        <v>4.2946966069131613E-2</v>
      </c>
      <c r="O71" s="3">
        <v>3.9338873967426635E-2</v>
      </c>
      <c r="P71" s="3">
        <v>4.5856967046642348E-2</v>
      </c>
      <c r="Q71" s="3">
        <v>4.0664872848888506E-2</v>
      </c>
      <c r="R71" s="3">
        <v>4.7977525764767104E-2</v>
      </c>
      <c r="S71" s="3">
        <v>4.2791025093767296E-2</v>
      </c>
      <c r="T71" s="3">
        <v>4.9378022305578265E-2</v>
      </c>
      <c r="U71" s="3">
        <v>4.5468649631014296E-2</v>
      </c>
      <c r="V71" s="3">
        <v>5.1666048141618875E-2</v>
      </c>
      <c r="W71" s="3">
        <v>4.6580033371126338E-2</v>
      </c>
      <c r="X71" s="3">
        <v>5.4741895793428759E-2</v>
      </c>
      <c r="Y71" s="3">
        <v>4.9140618258473628E-2</v>
      </c>
      <c r="Z71" s="3">
        <v>5.8390188726632125E-2</v>
      </c>
      <c r="AA71" s="3">
        <v>5.9575139555686149E-2</v>
      </c>
      <c r="AB71" s="3">
        <v>6.4705172164359753E-2</v>
      </c>
      <c r="AC71" s="3">
        <v>6.8171971954915603E-2</v>
      </c>
      <c r="AD71" s="3">
        <v>7.0385210637260109E-2</v>
      </c>
      <c r="AE71" s="3">
        <v>7.8193441864314983E-2</v>
      </c>
      <c r="AF71" s="3">
        <v>8.1117816364555242E-2</v>
      </c>
      <c r="AG71" s="3">
        <v>8.034893925123901E-2</v>
      </c>
      <c r="AH71" s="3">
        <v>9.3749052053499315E-2</v>
      </c>
      <c r="AI71" s="3">
        <v>8.3571938732369372E-2</v>
      </c>
      <c r="AJ71" s="3">
        <v>0.11471542279930774</v>
      </c>
      <c r="AK71" s="3">
        <v>0.14856655400287083</v>
      </c>
      <c r="AL71" s="3">
        <v>0.11581786190012677</v>
      </c>
    </row>
    <row r="72" spans="1:38" x14ac:dyDescent="0.35">
      <c r="A72" s="7">
        <v>43101</v>
      </c>
      <c r="B72" s="7">
        <v>43190</v>
      </c>
      <c r="C72" t="s">
        <v>128</v>
      </c>
      <c r="D72" t="s">
        <v>125</v>
      </c>
      <c r="E72" s="4" t="s">
        <v>69</v>
      </c>
      <c r="F72" s="3">
        <v>3.4663340664242072E-2</v>
      </c>
      <c r="G72" s="3">
        <v>3.3856784187710133E-2</v>
      </c>
      <c r="H72" s="3">
        <v>3.7516670482588145E-2</v>
      </c>
      <c r="I72" s="3">
        <v>3.5613877354440146E-2</v>
      </c>
      <c r="J72" s="3">
        <v>3.8665005216227524E-2</v>
      </c>
      <c r="K72" s="3">
        <v>3.8896986844783432E-2</v>
      </c>
      <c r="L72" s="3">
        <v>4.0517567647322297E-2</v>
      </c>
      <c r="M72" s="3">
        <v>3.9913898212994445E-2</v>
      </c>
      <c r="N72" s="3">
        <v>4.3902640946801172E-2</v>
      </c>
      <c r="O72" s="3">
        <v>4.0285534809126985E-2</v>
      </c>
      <c r="P72" s="3">
        <v>4.6782291759152266E-2</v>
      </c>
      <c r="Q72" s="3">
        <v>4.1628695589264145E-2</v>
      </c>
      <c r="R72" s="3">
        <v>4.8914459651524841E-2</v>
      </c>
      <c r="S72" s="3">
        <v>4.3763060110870458E-2</v>
      </c>
      <c r="T72" s="3">
        <v>5.0316843693128624E-2</v>
      </c>
      <c r="U72" s="3">
        <v>4.6445309033417467E-2</v>
      </c>
      <c r="V72" s="3">
        <v>5.2583538133656127E-2</v>
      </c>
      <c r="W72" s="3">
        <v>4.7500495259273384E-2</v>
      </c>
      <c r="X72" s="3">
        <v>5.573055777351936E-2</v>
      </c>
      <c r="Y72" s="3">
        <v>5.0049873203161496E-2</v>
      </c>
      <c r="Z72" s="3">
        <v>5.9380516132835015E-2</v>
      </c>
      <c r="AA72" s="3">
        <v>6.0536616039588889E-2</v>
      </c>
      <c r="AB72" s="3">
        <v>6.5674492333929996E-2</v>
      </c>
      <c r="AC72" s="3">
        <v>6.9144902683848125E-2</v>
      </c>
      <c r="AD72" s="3">
        <v>7.1289604606180168E-2</v>
      </c>
      <c r="AE72" s="3">
        <v>7.9180960165628242E-2</v>
      </c>
      <c r="AF72" s="3">
        <v>8.2053919066883002E-2</v>
      </c>
      <c r="AG72" s="3">
        <v>8.1257482062810915E-2</v>
      </c>
      <c r="AH72" s="3">
        <v>9.4699819231343879E-2</v>
      </c>
      <c r="AI72" s="3">
        <v>8.4562776545488702E-2</v>
      </c>
      <c r="AJ72" s="3">
        <v>0.11570780016976628</v>
      </c>
      <c r="AK72" s="3">
        <v>0.14951313615786119</v>
      </c>
      <c r="AL72" s="3">
        <v>0.11673276764506546</v>
      </c>
    </row>
    <row r="73" spans="1:38" x14ac:dyDescent="0.35">
      <c r="A73" s="7">
        <v>43101</v>
      </c>
      <c r="B73" s="7">
        <v>43190</v>
      </c>
      <c r="C73" t="s">
        <v>128</v>
      </c>
      <c r="D73" t="s">
        <v>125</v>
      </c>
      <c r="E73" s="4" t="s">
        <v>70</v>
      </c>
      <c r="F73" s="3">
        <v>3.5615006950827519E-2</v>
      </c>
      <c r="G73" s="3">
        <v>3.4762917695688955E-2</v>
      </c>
      <c r="H73" s="3">
        <v>3.8502258168549956E-2</v>
      </c>
      <c r="I73" s="3">
        <v>3.6532143139689069E-2</v>
      </c>
      <c r="J73" s="3">
        <v>3.961025300053797E-2</v>
      </c>
      <c r="K73" s="3">
        <v>3.987124363395457E-2</v>
      </c>
      <c r="L73" s="3">
        <v>4.1506458227018359E-2</v>
      </c>
      <c r="M73" s="3">
        <v>4.0822139340595885E-2</v>
      </c>
      <c r="N73" s="3">
        <v>4.4879240678301117E-2</v>
      </c>
      <c r="O73" s="3">
        <v>4.1241603607676744E-2</v>
      </c>
      <c r="P73" s="3">
        <v>4.7699213581187005E-2</v>
      </c>
      <c r="Q73" s="3">
        <v>4.2624472251490894E-2</v>
      </c>
      <c r="R73" s="3">
        <v>4.9870656963362826E-2</v>
      </c>
      <c r="S73" s="3">
        <v>4.4729596604833867E-2</v>
      </c>
      <c r="T73" s="3">
        <v>5.1228818340475296E-2</v>
      </c>
      <c r="U73" s="3">
        <v>4.7352468210182241E-2</v>
      </c>
      <c r="V73" s="3">
        <v>5.3513458477405226E-2</v>
      </c>
      <c r="W73" s="3">
        <v>4.8496463931347891E-2</v>
      </c>
      <c r="X73" s="3">
        <v>5.6710259660029051E-2</v>
      </c>
      <c r="Y73" s="3">
        <v>5.1007331566039357E-2</v>
      </c>
      <c r="Z73" s="3">
        <v>6.0298731543727932E-2</v>
      </c>
      <c r="AA73" s="3">
        <v>6.1467788080590162E-2</v>
      </c>
      <c r="AB73" s="3">
        <v>6.6609447758682522E-2</v>
      </c>
      <c r="AC73" s="3">
        <v>7.0068521925419874E-2</v>
      </c>
      <c r="AD73" s="3">
        <v>7.2195598965229257E-2</v>
      </c>
      <c r="AE73" s="3">
        <v>8.0159910045503074E-2</v>
      </c>
      <c r="AF73" s="3">
        <v>8.3012610411531934E-2</v>
      </c>
      <c r="AG73" s="3">
        <v>8.2181077966933219E-2</v>
      </c>
      <c r="AH73" s="3">
        <v>9.5688238977401224E-2</v>
      </c>
      <c r="AI73" s="3">
        <v>8.5478159208486032E-2</v>
      </c>
      <c r="AJ73" s="3">
        <v>0.11661490997768822</v>
      </c>
      <c r="AK73" s="3">
        <v>0.15043690456744629</v>
      </c>
      <c r="AL73" s="3">
        <v>0.11771679418624389</v>
      </c>
    </row>
    <row r="74" spans="1:38" x14ac:dyDescent="0.35">
      <c r="A74" s="7">
        <v>43101</v>
      </c>
      <c r="B74" s="7">
        <v>43190</v>
      </c>
      <c r="C74" t="s">
        <v>128</v>
      </c>
      <c r="D74" t="s">
        <v>125</v>
      </c>
      <c r="E74" s="4">
        <v>5</v>
      </c>
      <c r="F74" s="3">
        <v>3.6537034616341946E-2</v>
      </c>
      <c r="G74" s="3">
        <v>3.5701871493965601E-2</v>
      </c>
      <c r="H74" s="3">
        <v>3.9445141600718853E-2</v>
      </c>
      <c r="I74" s="3">
        <v>3.7501354570931678E-2</v>
      </c>
      <c r="J74" s="3">
        <v>4.058716207653211E-2</v>
      </c>
      <c r="K74" s="3">
        <v>4.0857435763598307E-2</v>
      </c>
      <c r="L74" s="3">
        <v>4.2430411032710391E-2</v>
      </c>
      <c r="M74" s="3">
        <v>4.1758382469180053E-2</v>
      </c>
      <c r="N74" s="3">
        <v>4.5798630295579262E-2</v>
      </c>
      <c r="O74" s="3">
        <v>4.2204003559376604E-2</v>
      </c>
      <c r="P74" s="3">
        <v>4.8607872187442724E-2</v>
      </c>
      <c r="Q74" s="3">
        <v>4.3617434133182267E-2</v>
      </c>
      <c r="R74" s="3">
        <v>5.0787960327398796E-2</v>
      </c>
      <c r="S74" s="3">
        <v>4.5703405383414303E-2</v>
      </c>
      <c r="T74" s="3">
        <v>5.2149752994239303E-2</v>
      </c>
      <c r="U74" s="3">
        <v>4.8294855162885612E-2</v>
      </c>
      <c r="V74" s="3">
        <v>5.444515893877095E-2</v>
      </c>
      <c r="W74" s="3">
        <v>4.9435172399565144E-2</v>
      </c>
      <c r="X74" s="3">
        <v>5.7687938236702895E-2</v>
      </c>
      <c r="Y74" s="3">
        <v>5.1914191192636461E-2</v>
      </c>
      <c r="Z74" s="3">
        <v>6.1274350429703736E-2</v>
      </c>
      <c r="AA74" s="3">
        <v>6.2416623636127197E-2</v>
      </c>
      <c r="AB74" s="3">
        <v>6.7529849427629185E-2</v>
      </c>
      <c r="AC74" s="3">
        <v>7.1045960511612785E-2</v>
      </c>
      <c r="AD74" s="3">
        <v>7.312898886104055E-2</v>
      </c>
      <c r="AE74" s="3">
        <v>8.109584506138276E-2</v>
      </c>
      <c r="AF74" s="3">
        <v>8.3952002646676113E-2</v>
      </c>
      <c r="AG74" s="3">
        <v>8.3096016217194396E-2</v>
      </c>
      <c r="AH74" s="3">
        <v>9.663786526438084E-2</v>
      </c>
      <c r="AI74" s="3">
        <v>8.643913647029039E-2</v>
      </c>
      <c r="AJ74" s="3">
        <v>0.11755517391392323</v>
      </c>
      <c r="AK74" s="3">
        <v>0.15137465627533181</v>
      </c>
      <c r="AL74" s="3">
        <v>0.11863023727481434</v>
      </c>
    </row>
    <row r="75" spans="1:38" x14ac:dyDescent="0.35">
      <c r="A75" s="7">
        <v>43101</v>
      </c>
      <c r="B75" s="7">
        <v>43190</v>
      </c>
      <c r="C75" t="s">
        <v>128</v>
      </c>
      <c r="D75" t="s">
        <v>125</v>
      </c>
      <c r="E75" s="4" t="s">
        <v>71</v>
      </c>
      <c r="F75" s="3">
        <v>3.7452247532993511E-2</v>
      </c>
      <c r="G75" s="3">
        <v>3.6654426749807151E-2</v>
      </c>
      <c r="H75" s="3">
        <v>4.0363432166752956E-2</v>
      </c>
      <c r="I75" s="3">
        <v>3.8483817499054614E-2</v>
      </c>
      <c r="J75" s="3">
        <v>4.1515522119146914E-2</v>
      </c>
      <c r="K75" s="3">
        <v>4.1823752741559958E-2</v>
      </c>
      <c r="L75" s="3">
        <v>4.3378703526991809E-2</v>
      </c>
      <c r="M75" s="3">
        <v>4.2729505019661454E-2</v>
      </c>
      <c r="N75" s="3">
        <v>4.6743765763705467E-2</v>
      </c>
      <c r="O75" s="3">
        <v>4.3147549646481917E-2</v>
      </c>
      <c r="P75" s="3">
        <v>4.9550369849464024E-2</v>
      </c>
      <c r="Q75" s="3">
        <v>4.4553807159928724E-2</v>
      </c>
      <c r="R75" s="3">
        <v>5.1760856877947639E-2</v>
      </c>
      <c r="S75" s="3">
        <v>4.6632661459234698E-2</v>
      </c>
      <c r="T75" s="3">
        <v>5.3146085451574461E-2</v>
      </c>
      <c r="U75" s="3">
        <v>4.9256183992917528E-2</v>
      </c>
      <c r="V75" s="3">
        <v>5.5377722287246613E-2</v>
      </c>
      <c r="W75" s="3">
        <v>5.0363475537645863E-2</v>
      </c>
      <c r="X75" s="3">
        <v>5.8639852635564364E-2</v>
      </c>
      <c r="Y75" s="3">
        <v>5.2890286602368899E-2</v>
      </c>
      <c r="Z75" s="3">
        <v>6.2238787352116499E-2</v>
      </c>
      <c r="AA75" s="3">
        <v>6.3342734437073861E-2</v>
      </c>
      <c r="AB75" s="3">
        <v>6.8497644430090959E-2</v>
      </c>
      <c r="AC75" s="3">
        <v>7.1991828499182509E-2</v>
      </c>
      <c r="AD75" s="3">
        <v>7.4106986994260965E-2</v>
      </c>
      <c r="AE75" s="3">
        <v>8.1996109513219118E-2</v>
      </c>
      <c r="AF75" s="3">
        <v>8.494434711940485E-2</v>
      </c>
      <c r="AG75" s="3">
        <v>8.402457626539514E-2</v>
      </c>
      <c r="AH75" s="3">
        <v>9.7586131170948859E-2</v>
      </c>
      <c r="AI75" s="3">
        <v>8.735600796459006E-2</v>
      </c>
      <c r="AJ75" s="3">
        <v>0.11849176413878909</v>
      </c>
      <c r="AK75" s="3">
        <v>0.15233627909692013</v>
      </c>
      <c r="AL75" s="3">
        <v>0.11962032111917292</v>
      </c>
    </row>
    <row r="76" spans="1:38" x14ac:dyDescent="0.35">
      <c r="A76" s="7">
        <v>43101</v>
      </c>
      <c r="B76" s="7">
        <v>43190</v>
      </c>
      <c r="C76" t="s">
        <v>128</v>
      </c>
      <c r="D76" t="s">
        <v>125</v>
      </c>
      <c r="E76" s="4" t="s">
        <v>72</v>
      </c>
      <c r="F76" s="3">
        <v>3.8450044671522951E-2</v>
      </c>
      <c r="G76" s="3">
        <v>3.759738223377123E-2</v>
      </c>
      <c r="H76" s="3">
        <v>4.1342643582357917E-2</v>
      </c>
      <c r="I76" s="3">
        <v>3.9385083984993949E-2</v>
      </c>
      <c r="J76" s="3">
        <v>4.2439457241266826E-2</v>
      </c>
      <c r="K76" s="3">
        <v>4.2751167672111456E-2</v>
      </c>
      <c r="L76" s="3">
        <v>4.4302334066026031E-2</v>
      </c>
      <c r="M76" s="3">
        <v>4.3652328412065011E-2</v>
      </c>
      <c r="N76" s="3">
        <v>4.7725725299334887E-2</v>
      </c>
      <c r="O76" s="3">
        <v>4.4140423901663062E-2</v>
      </c>
      <c r="P76" s="3">
        <v>5.0457192690454407E-2</v>
      </c>
      <c r="Q76" s="3">
        <v>4.5480456218301685E-2</v>
      </c>
      <c r="R76" s="3">
        <v>5.2759113026973642E-2</v>
      </c>
      <c r="S76" s="3">
        <v>4.7599621500819395E-2</v>
      </c>
      <c r="T76" s="3">
        <v>5.4079397101071791E-2</v>
      </c>
      <c r="U76" s="3">
        <v>5.0217342664606347E-2</v>
      </c>
      <c r="V76" s="3">
        <v>5.6302257703269833E-2</v>
      </c>
      <c r="W76" s="3">
        <v>5.1357885367248682E-2</v>
      </c>
      <c r="X76" s="3">
        <v>5.9636155423697962E-2</v>
      </c>
      <c r="Y76" s="3">
        <v>5.3804233856917433E-2</v>
      </c>
      <c r="Z76" s="3">
        <v>6.3147907091145455E-2</v>
      </c>
      <c r="AA76" s="3">
        <v>6.4309724026127169E-2</v>
      </c>
      <c r="AB76" s="3">
        <v>6.9488798515799477E-2</v>
      </c>
      <c r="AC76" s="3">
        <v>7.2929846198278442E-2</v>
      </c>
      <c r="AD76" s="3">
        <v>7.508860820571106E-2</v>
      </c>
      <c r="AE76" s="3">
        <v>8.2913454609532256E-2</v>
      </c>
      <c r="AF76" s="3">
        <v>8.5888516304205159E-2</v>
      </c>
      <c r="AG76" s="3">
        <v>8.4967069472016529E-2</v>
      </c>
      <c r="AH76" s="3">
        <v>9.8548762409441132E-2</v>
      </c>
      <c r="AI76" s="3">
        <v>8.826572047558609E-2</v>
      </c>
      <c r="AJ76" s="3">
        <v>0.11942309530034587</v>
      </c>
      <c r="AK76" s="3">
        <v>0.15324715508668146</v>
      </c>
      <c r="AL76" s="3">
        <v>0.12059960676243339</v>
      </c>
    </row>
    <row r="77" spans="1:38" x14ac:dyDescent="0.35">
      <c r="A77" s="7">
        <v>43101</v>
      </c>
      <c r="B77" s="7">
        <v>43190</v>
      </c>
      <c r="C77" t="s">
        <v>128</v>
      </c>
      <c r="D77" t="s">
        <v>125</v>
      </c>
      <c r="E77" s="4">
        <v>6</v>
      </c>
      <c r="F77" s="3">
        <v>3.9354710843880238E-2</v>
      </c>
      <c r="G77" s="3">
        <v>3.851430046631589E-2</v>
      </c>
      <c r="H77" s="3">
        <v>4.2340015876603174E-2</v>
      </c>
      <c r="I77" s="3">
        <v>4.0287553075633288E-2</v>
      </c>
      <c r="J77" s="3">
        <v>4.3343677994122684E-2</v>
      </c>
      <c r="K77" s="3">
        <v>4.3711866595613345E-2</v>
      </c>
      <c r="L77" s="3">
        <v>4.5205108654712542E-2</v>
      </c>
      <c r="M77" s="3">
        <v>4.4600622392565029E-2</v>
      </c>
      <c r="N77" s="3">
        <v>4.8686311833625706E-2</v>
      </c>
      <c r="O77" s="3">
        <v>4.513277406792876E-2</v>
      </c>
      <c r="P77" s="3">
        <v>5.1358899286446991E-2</v>
      </c>
      <c r="Q77" s="3">
        <v>4.6464201327189189E-2</v>
      </c>
      <c r="R77" s="3">
        <v>5.3697114376885582E-2</v>
      </c>
      <c r="S77" s="3">
        <v>4.8529621074183446E-2</v>
      </c>
      <c r="T77" s="3">
        <v>5.5015743625293941E-2</v>
      </c>
      <c r="U77" s="3">
        <v>5.1216862234903307E-2</v>
      </c>
      <c r="V77" s="3">
        <v>5.7300735763207461E-2</v>
      </c>
      <c r="W77" s="3">
        <v>5.2262787163677035E-2</v>
      </c>
      <c r="X77" s="3">
        <v>6.0613698340490851E-2</v>
      </c>
      <c r="Y77" s="3">
        <v>5.4734757929811612E-2</v>
      </c>
      <c r="Z77" s="3">
        <v>6.4087418767790727E-2</v>
      </c>
      <c r="AA77" s="3">
        <v>6.5306843346533056E-2</v>
      </c>
      <c r="AB77" s="3">
        <v>7.0420502837275467E-2</v>
      </c>
      <c r="AC77" s="3">
        <v>7.3884595950778495E-2</v>
      </c>
      <c r="AD77" s="3">
        <v>7.6050407256270186E-2</v>
      </c>
      <c r="AE77" s="3">
        <v>8.3893066680813283E-2</v>
      </c>
      <c r="AF77" s="3">
        <v>8.6864382115662553E-2</v>
      </c>
      <c r="AG77" s="3">
        <v>8.5938529481590475E-2</v>
      </c>
      <c r="AH77" s="3">
        <v>9.9491883015531885E-2</v>
      </c>
      <c r="AI77" s="3">
        <v>8.9234623648672851E-2</v>
      </c>
      <c r="AJ77" s="3">
        <v>0.12035782494668729</v>
      </c>
      <c r="AK77" s="3">
        <v>0.1541501469799699</v>
      </c>
      <c r="AL77" s="3">
        <v>0.12155080099179458</v>
      </c>
    </row>
    <row r="78" spans="1:38" x14ac:dyDescent="0.35">
      <c r="A78" s="7">
        <v>43101</v>
      </c>
      <c r="B78" s="7">
        <v>43190</v>
      </c>
      <c r="C78" t="s">
        <v>128</v>
      </c>
      <c r="D78" t="s">
        <v>125</v>
      </c>
      <c r="E78" s="4" t="s">
        <v>73</v>
      </c>
      <c r="F78" s="3">
        <v>4.0312982379720072E-2</v>
      </c>
      <c r="G78" s="3">
        <v>3.9470863826427657E-2</v>
      </c>
      <c r="H78" s="3">
        <v>4.3272189463267365E-2</v>
      </c>
      <c r="I78" s="3">
        <v>4.1251364017709527E-2</v>
      </c>
      <c r="J78" s="3">
        <v>4.4343484503988229E-2</v>
      </c>
      <c r="K78" s="3">
        <v>4.469134201961851E-2</v>
      </c>
      <c r="L78" s="3">
        <v>4.616261233902301E-2</v>
      </c>
      <c r="M78" s="3">
        <v>4.5555545551511263E-2</v>
      </c>
      <c r="N78" s="3">
        <v>4.9618632179344743E-2</v>
      </c>
      <c r="O78" s="3">
        <v>4.6106025837637676E-2</v>
      </c>
      <c r="P78" s="3">
        <v>5.2346096550348664E-2</v>
      </c>
      <c r="Q78" s="3">
        <v>4.7377473187230706E-2</v>
      </c>
      <c r="R78" s="3">
        <v>5.4660540987732847E-2</v>
      </c>
      <c r="S78" s="3">
        <v>4.9450464703823915E-2</v>
      </c>
      <c r="T78" s="3">
        <v>5.5969993380739845E-2</v>
      </c>
      <c r="U78" s="3">
        <v>5.2159888659726594E-2</v>
      </c>
      <c r="V78" s="3">
        <v>5.825820570646436E-2</v>
      </c>
      <c r="W78" s="3">
        <v>5.3245864887336611E-2</v>
      </c>
      <c r="X78" s="3">
        <v>6.1565189098086059E-2</v>
      </c>
      <c r="Y78" s="3">
        <v>5.5693615381737824E-2</v>
      </c>
      <c r="Z78" s="3">
        <v>6.5085669834437115E-2</v>
      </c>
      <c r="AA78" s="3">
        <v>6.6226053950022679E-2</v>
      </c>
      <c r="AB78" s="3">
        <v>7.1387327504087467E-2</v>
      </c>
      <c r="AC78" s="3">
        <v>7.4850499388342873E-2</v>
      </c>
      <c r="AD78" s="3">
        <v>7.6995541721114058E-2</v>
      </c>
      <c r="AE78" s="3">
        <v>8.4813620383519556E-2</v>
      </c>
      <c r="AF78" s="3">
        <v>8.7833211364047287E-2</v>
      </c>
      <c r="AG78" s="3">
        <v>8.6856344163987464E-2</v>
      </c>
      <c r="AH78" s="3">
        <v>0.10040720305528478</v>
      </c>
      <c r="AI78" s="3">
        <v>9.0160503509014361E-2</v>
      </c>
      <c r="AJ78" s="3">
        <v>0.12130359887892328</v>
      </c>
      <c r="AK78" s="3">
        <v>0.15511849031913039</v>
      </c>
      <c r="AL78" s="3">
        <v>0.12246881254756178</v>
      </c>
    </row>
    <row r="79" spans="1:38" x14ac:dyDescent="0.35">
      <c r="A79" s="7">
        <v>43101</v>
      </c>
      <c r="B79" s="7">
        <v>43190</v>
      </c>
      <c r="C79" t="s">
        <v>128</v>
      </c>
      <c r="D79" t="s">
        <v>125</v>
      </c>
      <c r="E79" s="4" t="s">
        <v>74</v>
      </c>
      <c r="F79" s="3">
        <v>4.1290655936053605E-2</v>
      </c>
      <c r="G79" s="3">
        <v>4.0415482453008578E-2</v>
      </c>
      <c r="H79" s="3">
        <v>4.4192327521774252E-2</v>
      </c>
      <c r="I79" s="3">
        <v>4.2167024517393376E-2</v>
      </c>
      <c r="J79" s="3">
        <v>4.5298200600403266E-2</v>
      </c>
      <c r="K79" s="3">
        <v>4.5669033421348502E-2</v>
      </c>
      <c r="L79" s="3">
        <v>4.7106092157626928E-2</v>
      </c>
      <c r="M79" s="3">
        <v>4.6545130551937472E-2</v>
      </c>
      <c r="N79" s="3">
        <v>5.0578105083387996E-2</v>
      </c>
      <c r="O79" s="3">
        <v>4.7041206075774278E-2</v>
      </c>
      <c r="P79" s="3">
        <v>5.327222274277485E-2</v>
      </c>
      <c r="Q79" s="3">
        <v>4.8288973979576766E-2</v>
      </c>
      <c r="R79" s="3">
        <v>5.5609713962831181E-2</v>
      </c>
      <c r="S79" s="3">
        <v>5.0423367860062088E-2</v>
      </c>
      <c r="T79" s="3">
        <v>5.6900284765182829E-2</v>
      </c>
      <c r="U79" s="3">
        <v>5.3116043510631934E-2</v>
      </c>
      <c r="V79" s="3">
        <v>5.9186005067337316E-2</v>
      </c>
      <c r="W79" s="3">
        <v>5.4200134180994543E-2</v>
      </c>
      <c r="X79" s="3">
        <v>6.2472847689605308E-2</v>
      </c>
      <c r="Y79" s="3">
        <v>5.6598365149331156E-2</v>
      </c>
      <c r="Z79" s="3">
        <v>6.6011640450528097E-2</v>
      </c>
      <c r="AA79" s="3">
        <v>6.7220768312793527E-2</v>
      </c>
      <c r="AB79" s="3">
        <v>7.2295568211983768E-2</v>
      </c>
      <c r="AC79" s="3">
        <v>7.5817523142215126E-2</v>
      </c>
      <c r="AD79" s="3">
        <v>7.7934228027242786E-2</v>
      </c>
      <c r="AE79" s="3">
        <v>8.574256969342442E-2</v>
      </c>
      <c r="AF79" s="3">
        <v>8.8746419203997562E-2</v>
      </c>
      <c r="AG79" s="3">
        <v>8.7804327105100027E-2</v>
      </c>
      <c r="AH79" s="3">
        <v>0.10140355033089107</v>
      </c>
      <c r="AI79" s="3">
        <v>9.1092727841256105E-2</v>
      </c>
      <c r="AJ79" s="3">
        <v>0.12222033076272837</v>
      </c>
      <c r="AK79" s="3">
        <v>0.15606721062121739</v>
      </c>
      <c r="AL79" s="3">
        <v>0.12342501005957787</v>
      </c>
    </row>
    <row r="80" spans="1:38" x14ac:dyDescent="0.35">
      <c r="A80" s="7">
        <v>43101</v>
      </c>
      <c r="B80" s="7">
        <v>43190</v>
      </c>
      <c r="C80" t="s">
        <v>128</v>
      </c>
      <c r="D80" t="s">
        <v>125</v>
      </c>
      <c r="E80" s="4">
        <v>7</v>
      </c>
      <c r="F80" s="3">
        <v>4.2278276553716285E-2</v>
      </c>
      <c r="G80" s="3">
        <v>4.1329177705657583E-2</v>
      </c>
      <c r="H80" s="3">
        <v>4.5099318153345835E-2</v>
      </c>
      <c r="I80" s="3">
        <v>4.3083811526251507E-2</v>
      </c>
      <c r="J80" s="3">
        <v>4.6213419842575459E-2</v>
      </c>
      <c r="K80" s="3">
        <v>4.6583800859561021E-2</v>
      </c>
      <c r="L80" s="3">
        <v>4.8092812186156277E-2</v>
      </c>
      <c r="M80" s="3">
        <v>4.7540381363158704E-2</v>
      </c>
      <c r="N80" s="3">
        <v>5.1541323345427749E-2</v>
      </c>
      <c r="O80" s="3">
        <v>4.7991421638006952E-2</v>
      </c>
      <c r="P80" s="3">
        <v>5.4236981442763746E-2</v>
      </c>
      <c r="Q80" s="3">
        <v>4.9234541478731422E-2</v>
      </c>
      <c r="R80" s="3">
        <v>5.6559390111168402E-2</v>
      </c>
      <c r="S80" s="3">
        <v>5.1346904198118624E-2</v>
      </c>
      <c r="T80" s="3">
        <v>5.7816080504292426E-2</v>
      </c>
      <c r="U80" s="3">
        <v>5.4027736685895597E-2</v>
      </c>
      <c r="V80" s="3">
        <v>6.0124858987900855E-2</v>
      </c>
      <c r="W80" s="3">
        <v>5.5144763825180403E-2</v>
      </c>
      <c r="X80" s="3">
        <v>6.3388336794213074E-2</v>
      </c>
      <c r="Y80" s="3">
        <v>5.7591257052729682E-2</v>
      </c>
      <c r="Z80" s="3">
        <v>6.69770163473562E-2</v>
      </c>
      <c r="AA80" s="3">
        <v>6.8209543585266666E-2</v>
      </c>
      <c r="AB80" s="3">
        <v>7.3258125568611832E-2</v>
      </c>
      <c r="AC80" s="3">
        <v>7.6742287354191974E-2</v>
      </c>
      <c r="AD80" s="3">
        <v>7.8887157903794747E-2</v>
      </c>
      <c r="AE80" s="3">
        <v>8.6662762776687496E-2</v>
      </c>
      <c r="AF80" s="3">
        <v>8.971281396445252E-2</v>
      </c>
      <c r="AG80" s="3">
        <v>8.8782994599508808E-2</v>
      </c>
      <c r="AH80" s="3">
        <v>0.10238231580665266</v>
      </c>
      <c r="AI80" s="3">
        <v>9.2077913935211586E-2</v>
      </c>
      <c r="AJ80" s="3">
        <v>0.12320598351307099</v>
      </c>
      <c r="AK80" s="3">
        <v>0.15697013151438968</v>
      </c>
      <c r="AL80" s="3">
        <v>0.12438501633574686</v>
      </c>
    </row>
    <row r="81" spans="1:38" x14ac:dyDescent="0.35">
      <c r="A81" s="7">
        <v>43101</v>
      </c>
      <c r="B81" s="7">
        <v>43190</v>
      </c>
      <c r="C81" t="s">
        <v>128</v>
      </c>
      <c r="D81" t="s">
        <v>125</v>
      </c>
      <c r="E81" s="4" t="s">
        <v>75</v>
      </c>
      <c r="F81" s="3">
        <v>4.3182488272635211E-2</v>
      </c>
      <c r="G81" s="3">
        <v>4.2301753966505144E-2</v>
      </c>
      <c r="H81" s="3">
        <v>4.6026838639232931E-2</v>
      </c>
      <c r="I81" s="3">
        <v>4.4067557852125031E-2</v>
      </c>
      <c r="J81" s="3">
        <v>4.7201709327723482E-2</v>
      </c>
      <c r="K81" s="3">
        <v>4.7550622839863749E-2</v>
      </c>
      <c r="L81" s="3">
        <v>4.906601460175096E-2</v>
      </c>
      <c r="M81" s="3">
        <v>4.8515759061131508E-2</v>
      </c>
      <c r="N81" s="3">
        <v>5.2527017636710617E-2</v>
      </c>
      <c r="O81" s="3">
        <v>4.8956748998221201E-2</v>
      </c>
      <c r="P81" s="3">
        <v>5.5147315452805594E-2</v>
      </c>
      <c r="Q81" s="3">
        <v>5.0200116122030652E-2</v>
      </c>
      <c r="R81" s="3">
        <v>5.7524190394425523E-2</v>
      </c>
      <c r="S81" s="3">
        <v>5.2342902962852919E-2</v>
      </c>
      <c r="T81" s="3">
        <v>5.8756386656798408E-2</v>
      </c>
      <c r="U81" s="3">
        <v>5.5005559472231805E-2</v>
      </c>
      <c r="V81" s="3">
        <v>6.1047358524636865E-2</v>
      </c>
      <c r="W81" s="3">
        <v>5.6140598489951503E-2</v>
      </c>
      <c r="X81" s="3">
        <v>6.4328808699077422E-2</v>
      </c>
      <c r="Y81" s="3">
        <v>5.8560360891625425E-2</v>
      </c>
      <c r="Z81" s="3">
        <v>6.7974746221220003E-2</v>
      </c>
      <c r="AA81" s="3">
        <v>6.9143034001964809E-2</v>
      </c>
      <c r="AB81" s="3">
        <v>7.4196010653543365E-2</v>
      </c>
      <c r="AC81" s="3">
        <v>7.7649617469505106E-2</v>
      </c>
      <c r="AD81" s="3">
        <v>7.9819400436061255E-2</v>
      </c>
      <c r="AE81" s="3">
        <v>8.7639145127280965E-2</v>
      </c>
      <c r="AF81" s="3">
        <v>9.0675499657925512E-2</v>
      </c>
      <c r="AG81" s="3">
        <v>8.9723641932776488E-2</v>
      </c>
      <c r="AH81" s="3">
        <v>0.10331303051295471</v>
      </c>
      <c r="AI81" s="3">
        <v>9.3039773112474744E-2</v>
      </c>
      <c r="AJ81" s="3">
        <v>0.12416032095937948</v>
      </c>
      <c r="AK81" s="3">
        <v>0.15792404775594543</v>
      </c>
      <c r="AL81" s="3">
        <v>0.12532571407201984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0DBC-61FD-4AC7-A877-EF2456F30552}">
  <dimension ref="A1"/>
  <sheetViews>
    <sheetView topLeftCell="AC1"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1D9E-1E04-4A7A-96C3-2CCFB875498C}">
  <dimension ref="A5:C7"/>
  <sheetViews>
    <sheetView tabSelected="1" workbookViewId="0">
      <selection activeCell="C8" sqref="C8"/>
    </sheetView>
  </sheetViews>
  <sheetFormatPr baseColWidth="10" defaultRowHeight="14.5" x14ac:dyDescent="0.35"/>
  <cols>
    <col min="1" max="1" width="15.1796875" customWidth="1"/>
    <col min="2" max="2" width="22.26953125" bestFit="1" customWidth="1"/>
    <col min="3" max="3" width="27.26953125" bestFit="1" customWidth="1"/>
  </cols>
  <sheetData>
    <row r="5" spans="1:3" x14ac:dyDescent="0.35">
      <c r="A5" t="s">
        <v>213</v>
      </c>
      <c r="B5" t="s">
        <v>214</v>
      </c>
      <c r="C5" t="s">
        <v>100</v>
      </c>
    </row>
    <row r="6" spans="1:3" x14ac:dyDescent="0.35">
      <c r="A6" t="s">
        <v>216</v>
      </c>
      <c r="B6" t="s">
        <v>215</v>
      </c>
      <c r="C6" t="s">
        <v>218</v>
      </c>
    </row>
    <row r="7" spans="1:3" x14ac:dyDescent="0.35">
      <c r="A7" t="s">
        <v>217</v>
      </c>
      <c r="B7" t="s">
        <v>215</v>
      </c>
      <c r="C7" t="s">
        <v>219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B52A-E92F-4863-88CA-A857170A8CE2}">
  <sheetPr>
    <tabColor theme="4"/>
  </sheetPr>
  <dimension ref="A1:AJ119"/>
  <sheetViews>
    <sheetView topLeftCell="Q1" zoomScale="70" zoomScaleNormal="70" workbookViewId="0">
      <selection activeCell="D5" sqref="D5:AJ5"/>
    </sheetView>
  </sheetViews>
  <sheetFormatPr baseColWidth="10" defaultRowHeight="14.5" x14ac:dyDescent="0.35"/>
  <cols>
    <col min="1" max="1" width="16.453125" bestFit="1" customWidth="1"/>
    <col min="35" max="36" width="12.26953125" bestFit="1" customWidth="1"/>
  </cols>
  <sheetData>
    <row r="1" spans="1:36" x14ac:dyDescent="0.35">
      <c r="A1" t="s">
        <v>107</v>
      </c>
    </row>
    <row r="2" spans="1:36" x14ac:dyDescent="0.35">
      <c r="A2" t="s">
        <v>108</v>
      </c>
    </row>
    <row r="3" spans="1:36" x14ac:dyDescent="0.35">
      <c r="C3">
        <v>8.9999999999999998E-4</v>
      </c>
      <c r="D3">
        <v>1E-3</v>
      </c>
      <c r="E3">
        <v>3.0000000000000001E-3</v>
      </c>
      <c r="F3">
        <v>5.0000000000000001E-3</v>
      </c>
      <c r="G3">
        <v>7.0000000000000001E-3</v>
      </c>
      <c r="H3">
        <v>8.9999999999999993E-3</v>
      </c>
      <c r="I3">
        <v>1.0999999999999999E-2</v>
      </c>
      <c r="J3">
        <v>1.2999999999999999E-2</v>
      </c>
      <c r="K3">
        <v>1.4999999999999999E-2</v>
      </c>
      <c r="L3">
        <v>1.7000000000000001E-2</v>
      </c>
      <c r="M3">
        <v>1.9E-2</v>
      </c>
      <c r="N3">
        <v>2.1000000000000001E-2</v>
      </c>
      <c r="O3">
        <v>2.3E-2</v>
      </c>
      <c r="P3">
        <v>2.5000000000000001E-2</v>
      </c>
      <c r="Q3">
        <v>2.7E-2</v>
      </c>
      <c r="R3">
        <v>2.9000000000000001E-2</v>
      </c>
      <c r="S3">
        <v>3.1E-2</v>
      </c>
      <c r="T3">
        <v>3.3000000000000002E-2</v>
      </c>
      <c r="U3">
        <v>3.5000000000000003E-2</v>
      </c>
      <c r="V3">
        <v>3.6999999999999998E-2</v>
      </c>
      <c r="W3">
        <v>3.9E-2</v>
      </c>
      <c r="X3">
        <f>$W$3-$S$3+$W$3</f>
        <v>4.7E-2</v>
      </c>
      <c r="Y3">
        <f t="shared" ref="Y3:AG3" si="0">$W$3-$S$3+X3</f>
        <v>5.5E-2</v>
      </c>
      <c r="Z3">
        <f t="shared" si="0"/>
        <v>6.3E-2</v>
      </c>
      <c r="AA3">
        <f t="shared" si="0"/>
        <v>7.1000000000000008E-2</v>
      </c>
      <c r="AB3">
        <f t="shared" si="0"/>
        <v>7.9000000000000015E-2</v>
      </c>
      <c r="AC3">
        <f t="shared" si="0"/>
        <v>8.7000000000000022E-2</v>
      </c>
      <c r="AD3">
        <f t="shared" si="0"/>
        <v>9.5000000000000029E-2</v>
      </c>
      <c r="AE3">
        <f t="shared" si="0"/>
        <v>0.10300000000000004</v>
      </c>
      <c r="AF3">
        <f t="shared" si="0"/>
        <v>0.11100000000000004</v>
      </c>
      <c r="AG3">
        <f t="shared" si="0"/>
        <v>0.11900000000000005</v>
      </c>
      <c r="AH3">
        <f>AG3+($AG$3-$AB$3)</f>
        <v>0.15900000000000009</v>
      </c>
      <c r="AI3">
        <f t="shared" ref="AI3:AJ3" si="1">AH3+($AG$3-$AB$3)</f>
        <v>0.19900000000000012</v>
      </c>
      <c r="AJ3">
        <f t="shared" si="1"/>
        <v>0.23900000000000016</v>
      </c>
    </row>
    <row r="4" spans="1:36" x14ac:dyDescent="0.35">
      <c r="A4" t="s">
        <v>109</v>
      </c>
      <c r="D4">
        <v>3</v>
      </c>
      <c r="E4">
        <v>6</v>
      </c>
      <c r="F4">
        <v>9</v>
      </c>
      <c r="G4">
        <v>12</v>
      </c>
      <c r="H4">
        <v>15</v>
      </c>
      <c r="I4">
        <v>18</v>
      </c>
      <c r="J4">
        <v>21</v>
      </c>
      <c r="K4">
        <v>24</v>
      </c>
      <c r="L4">
        <v>27</v>
      </c>
      <c r="M4">
        <v>30</v>
      </c>
      <c r="N4">
        <v>33</v>
      </c>
      <c r="O4">
        <v>36</v>
      </c>
      <c r="P4">
        <v>39</v>
      </c>
      <c r="Q4">
        <v>42</v>
      </c>
      <c r="R4">
        <v>45</v>
      </c>
      <c r="S4">
        <v>48</v>
      </c>
      <c r="T4">
        <v>51</v>
      </c>
      <c r="U4">
        <v>54</v>
      </c>
      <c r="V4">
        <v>57</v>
      </c>
      <c r="W4">
        <v>60</v>
      </c>
      <c r="X4">
        <v>72</v>
      </c>
      <c r="Y4">
        <v>84</v>
      </c>
      <c r="Z4">
        <v>96</v>
      </c>
      <c r="AA4">
        <v>108</v>
      </c>
      <c r="AB4">
        <v>120</v>
      </c>
      <c r="AC4">
        <v>132</v>
      </c>
      <c r="AD4">
        <v>144</v>
      </c>
      <c r="AE4">
        <v>156</v>
      </c>
      <c r="AF4">
        <v>168</v>
      </c>
      <c r="AG4">
        <v>180</v>
      </c>
      <c r="AH4">
        <v>240</v>
      </c>
      <c r="AI4">
        <v>300</v>
      </c>
      <c r="AJ4">
        <v>360</v>
      </c>
    </row>
    <row r="5" spans="1:36" x14ac:dyDescent="0.35">
      <c r="A5" s="2" t="s">
        <v>140</v>
      </c>
      <c r="B5" s="2" t="s">
        <v>26</v>
      </c>
      <c r="C5" s="2" t="s">
        <v>27</v>
      </c>
      <c r="D5" s="2" t="s">
        <v>141</v>
      </c>
      <c r="E5" s="2" t="s">
        <v>142</v>
      </c>
      <c r="F5" s="2" t="s">
        <v>143</v>
      </c>
      <c r="G5" s="2" t="s">
        <v>144</v>
      </c>
      <c r="H5" s="2" t="s">
        <v>145</v>
      </c>
      <c r="I5" s="2" t="s">
        <v>146</v>
      </c>
      <c r="J5" s="2" t="s">
        <v>147</v>
      </c>
      <c r="K5" s="2" t="s">
        <v>148</v>
      </c>
      <c r="L5" s="2" t="s">
        <v>149</v>
      </c>
      <c r="M5" s="2" t="s">
        <v>150</v>
      </c>
      <c r="N5" s="2" t="s">
        <v>151</v>
      </c>
      <c r="O5" s="2" t="s">
        <v>152</v>
      </c>
      <c r="P5" s="2" t="s">
        <v>153</v>
      </c>
      <c r="Q5" s="2" t="s">
        <v>154</v>
      </c>
      <c r="R5" s="2" t="s">
        <v>155</v>
      </c>
      <c r="S5" s="2" t="s">
        <v>156</v>
      </c>
      <c r="T5" s="2" t="s">
        <v>157</v>
      </c>
      <c r="U5" s="2" t="s">
        <v>158</v>
      </c>
      <c r="V5" s="2" t="s">
        <v>159</v>
      </c>
      <c r="W5" s="2" t="s">
        <v>160</v>
      </c>
      <c r="X5" s="2" t="s">
        <v>161</v>
      </c>
      <c r="Y5" s="2" t="s">
        <v>162</v>
      </c>
      <c r="Z5" s="2" t="s">
        <v>163</v>
      </c>
      <c r="AA5" s="2" t="s">
        <v>164</v>
      </c>
      <c r="AB5" s="2" t="s">
        <v>165</v>
      </c>
      <c r="AC5" s="2" t="s">
        <v>166</v>
      </c>
      <c r="AD5" s="2" t="s">
        <v>167</v>
      </c>
      <c r="AE5" s="2" t="s">
        <v>168</v>
      </c>
      <c r="AF5" s="2" t="s">
        <v>169</v>
      </c>
      <c r="AG5" s="2" t="s">
        <v>170</v>
      </c>
      <c r="AH5" s="2" t="s">
        <v>171</v>
      </c>
      <c r="AI5" s="2" t="s">
        <v>172</v>
      </c>
      <c r="AJ5" s="2" t="s">
        <v>173</v>
      </c>
    </row>
    <row r="6" spans="1:36" x14ac:dyDescent="0.35">
      <c r="A6" t="s">
        <v>63</v>
      </c>
      <c r="B6" t="s">
        <v>76</v>
      </c>
      <c r="C6" s="4">
        <v>1</v>
      </c>
      <c r="D6" s="3">
        <f ca="1">RAND()*(D$3-C$3)+C$3</f>
        <v>9.6361065479329342E-4</v>
      </c>
      <c r="E6" s="3">
        <f ca="1">RAND()*(E$3-D$3)+D$3-D6</f>
        <v>9.8637864354822252E-4</v>
      </c>
      <c r="F6" s="3">
        <f t="shared" ref="F6:AJ6" ca="1" si="2">RAND()*(F$3-E$3)+E$3-E6</f>
        <v>3.8529262343175602E-3</v>
      </c>
      <c r="G6" s="3">
        <f t="shared" ca="1" si="2"/>
        <v>1.7321980780933975E-3</v>
      </c>
      <c r="H6" s="3">
        <f t="shared" ca="1" si="2"/>
        <v>6.0293680357212144E-3</v>
      </c>
      <c r="I6" s="3">
        <f t="shared" ca="1" si="2"/>
        <v>3.0585575268899309E-3</v>
      </c>
      <c r="J6" s="3">
        <f t="shared" ca="1" si="2"/>
        <v>9.7791425656847935E-3</v>
      </c>
      <c r="K6" s="3">
        <f t="shared" ca="1" si="2"/>
        <v>4.9711386836319479E-3</v>
      </c>
      <c r="L6" s="3">
        <f t="shared" ca="1" si="2"/>
        <v>1.1291874151644623E-2</v>
      </c>
      <c r="M6" s="3">
        <f t="shared" ca="1" si="2"/>
        <v>6.3112754425019377E-3</v>
      </c>
      <c r="N6" s="3">
        <f t="shared" ca="1" si="2"/>
        <v>1.3215547330367278E-2</v>
      </c>
      <c r="O6" s="3">
        <f t="shared" ca="1" si="2"/>
        <v>8.4415580930492246E-3</v>
      </c>
      <c r="P6" s="3">
        <f t="shared" ca="1" si="2"/>
        <v>1.4949604768809575E-2</v>
      </c>
      <c r="Q6" s="3">
        <f t="shared" ca="1" si="2"/>
        <v>1.0141476720116947E-2</v>
      </c>
      <c r="R6" s="3">
        <f t="shared" ca="1" si="2"/>
        <v>1.861749685836319E-2</v>
      </c>
      <c r="S6" s="3">
        <f t="shared" ca="1" si="2"/>
        <v>1.1295079226981496E-2</v>
      </c>
      <c r="T6" s="3">
        <f t="shared" ca="1" si="2"/>
        <v>2.1386816404777596E-2</v>
      </c>
      <c r="U6" s="3">
        <f t="shared" ca="1" si="2"/>
        <v>1.2415289082021858E-2</v>
      </c>
      <c r="V6" s="3">
        <f t="shared" ca="1" si="2"/>
        <v>2.3840662825578486E-2</v>
      </c>
      <c r="W6" s="3">
        <f t="shared" ca="1" si="2"/>
        <v>1.4756983466441921E-2</v>
      </c>
      <c r="X6" s="3">
        <f t="shared" ca="1" si="2"/>
        <v>2.9018810675467396E-2</v>
      </c>
      <c r="Y6" s="3">
        <f t="shared" ca="1" si="2"/>
        <v>2.4132018513747938E-2</v>
      </c>
      <c r="Z6" s="3">
        <f t="shared" ca="1" si="2"/>
        <v>3.8708291342225087E-2</v>
      </c>
      <c r="AA6" s="3">
        <f t="shared" ca="1" si="2"/>
        <v>3.121411920786904E-2</v>
      </c>
      <c r="AB6" s="3">
        <f t="shared" ca="1" si="2"/>
        <v>4.4971708097780352E-2</v>
      </c>
      <c r="AC6" s="3">
        <f t="shared" ca="1" si="2"/>
        <v>3.5510498544814167E-2</v>
      </c>
      <c r="AD6" s="3">
        <f t="shared" ca="1" si="2"/>
        <v>5.7099193380066679E-2</v>
      </c>
      <c r="AE6" s="3">
        <f t="shared" ca="1" si="2"/>
        <v>4.3151079453496374E-2</v>
      </c>
      <c r="AF6" s="3">
        <f t="shared" ca="1" si="2"/>
        <v>6.4121534079713161E-2</v>
      </c>
      <c r="AG6" s="3">
        <f t="shared" ca="1" si="2"/>
        <v>4.9200792786726177E-2</v>
      </c>
      <c r="AH6" s="3">
        <f t="shared" ca="1" si="2"/>
        <v>9.5564160288241468E-2</v>
      </c>
      <c r="AI6" s="3">
        <f t="shared" ca="1" si="2"/>
        <v>8.3136467397407543E-2</v>
      </c>
      <c r="AJ6" s="3">
        <f t="shared" ca="1" si="2"/>
        <v>0.1428712147902057</v>
      </c>
    </row>
    <row r="7" spans="1:36" x14ac:dyDescent="0.35">
      <c r="A7" t="s">
        <v>63</v>
      </c>
      <c r="B7" t="s">
        <v>76</v>
      </c>
      <c r="C7" s="4" t="s">
        <v>64</v>
      </c>
      <c r="D7" s="3">
        <f ca="1">D6+RAND()*($D$3-$C$3)+$C$3</f>
        <v>1.8956744961502506E-3</v>
      </c>
      <c r="E7" s="3">
        <f t="shared" ref="E7:AJ14" ca="1" si="3">E6+RAND()*($D$3-$C$3)+$C$3</f>
        <v>1.9131512295788679E-3</v>
      </c>
      <c r="F7" s="3">
        <f t="shared" ca="1" si="3"/>
        <v>4.7639472105704388E-3</v>
      </c>
      <c r="G7" s="3">
        <f t="shared" ca="1" si="3"/>
        <v>2.6613325505789004E-3</v>
      </c>
      <c r="H7" s="3">
        <f t="shared" ca="1" si="3"/>
        <v>7.0112866737076455E-3</v>
      </c>
      <c r="I7" s="3">
        <f t="shared" ca="1" si="3"/>
        <v>3.9769366376367484E-3</v>
      </c>
      <c r="J7" s="3">
        <f t="shared" ca="1" si="3"/>
        <v>1.0737502164343819E-2</v>
      </c>
      <c r="K7" s="3">
        <f t="shared" ca="1" si="3"/>
        <v>5.9333400366208709E-3</v>
      </c>
      <c r="L7" s="3">
        <f t="shared" ca="1" si="3"/>
        <v>1.2222726071191094E-2</v>
      </c>
      <c r="M7" s="3">
        <f t="shared" ca="1" si="3"/>
        <v>7.2168645191956707E-3</v>
      </c>
      <c r="N7" s="3">
        <f t="shared" ca="1" si="3"/>
        <v>1.4145445645127857E-2</v>
      </c>
      <c r="O7" s="3">
        <f t="shared" ca="1" si="3"/>
        <v>9.3807052258406756E-3</v>
      </c>
      <c r="P7" s="3">
        <f t="shared" ca="1" si="3"/>
        <v>1.5916524675471583E-2</v>
      </c>
      <c r="Q7" s="3">
        <f t="shared" ca="1" si="3"/>
        <v>1.1091829185656432E-2</v>
      </c>
      <c r="R7" s="3">
        <f t="shared" ca="1" si="3"/>
        <v>1.9521037891602713E-2</v>
      </c>
      <c r="S7" s="3">
        <f t="shared" ca="1" si="3"/>
        <v>1.223988253162886E-2</v>
      </c>
      <c r="T7" s="3">
        <f t="shared" ca="1" si="3"/>
        <v>2.236272925274135E-2</v>
      </c>
      <c r="U7" s="3">
        <f t="shared" ca="1" si="3"/>
        <v>1.3344626709085981E-2</v>
      </c>
      <c r="V7" s="3">
        <f t="shared" ca="1" si="3"/>
        <v>2.4755388032904935E-2</v>
      </c>
      <c r="W7" s="3">
        <f t="shared" ca="1" si="3"/>
        <v>1.5732336389798925E-2</v>
      </c>
      <c r="X7" s="3">
        <f t="shared" ca="1" si="3"/>
        <v>2.9969765923460501E-2</v>
      </c>
      <c r="Y7" s="3">
        <f t="shared" ca="1" si="3"/>
        <v>2.5033732646481493E-2</v>
      </c>
      <c r="Z7" s="3">
        <f t="shared" ca="1" si="3"/>
        <v>3.96400180303349E-2</v>
      </c>
      <c r="AA7" s="3">
        <f t="shared" ca="1" si="3"/>
        <v>3.2114930541868321E-2</v>
      </c>
      <c r="AB7" s="3">
        <f t="shared" ca="1" si="3"/>
        <v>4.5891609798219032E-2</v>
      </c>
      <c r="AC7" s="3">
        <f t="shared" ca="1" si="3"/>
        <v>3.6506805844557559E-2</v>
      </c>
      <c r="AD7" s="3">
        <f t="shared" ca="1" si="3"/>
        <v>5.8042860136960375E-2</v>
      </c>
      <c r="AE7" s="3">
        <f t="shared" ca="1" si="3"/>
        <v>4.407595771742262E-2</v>
      </c>
      <c r="AF7" s="3">
        <f t="shared" ca="1" si="3"/>
        <v>6.5103765089266005E-2</v>
      </c>
      <c r="AG7" s="3">
        <f t="shared" ca="1" si="3"/>
        <v>5.0114089815503707E-2</v>
      </c>
      <c r="AH7" s="3">
        <f t="shared" ca="1" si="3"/>
        <v>9.6528670032478045E-2</v>
      </c>
      <c r="AI7" s="3">
        <f t="shared" ca="1" si="3"/>
        <v>8.4046111532614848E-2</v>
      </c>
      <c r="AJ7" s="3">
        <f t="shared" ca="1" si="3"/>
        <v>0.14385152375639068</v>
      </c>
    </row>
    <row r="8" spans="1:36" x14ac:dyDescent="0.35">
      <c r="A8" t="s">
        <v>63</v>
      </c>
      <c r="B8" t="s">
        <v>76</v>
      </c>
      <c r="C8" s="4">
        <v>2</v>
      </c>
      <c r="D8" s="3">
        <f t="shared" ref="D8:D24" ca="1" si="4">D7+RAND()*($D$3-$C$3)+$C$3</f>
        <v>2.8216320482666421E-3</v>
      </c>
      <c r="E8" s="3">
        <f t="shared" ca="1" si="3"/>
        <v>2.8813266674094428E-3</v>
      </c>
      <c r="F8" s="3">
        <f t="shared" ca="1" si="3"/>
        <v>5.7452212164588691E-3</v>
      </c>
      <c r="G8" s="3">
        <f t="shared" ca="1" si="3"/>
        <v>3.5813444554601013E-3</v>
      </c>
      <c r="H8" s="3">
        <f t="shared" ca="1" si="3"/>
        <v>7.9272126123610138E-3</v>
      </c>
      <c r="I8" s="3">
        <f t="shared" ca="1" si="3"/>
        <v>4.8820046959229379E-3</v>
      </c>
      <c r="J8" s="3">
        <f t="shared" ca="1" si="3"/>
        <v>1.1667351914065541E-2</v>
      </c>
      <c r="K8" s="3">
        <f t="shared" ca="1" si="3"/>
        <v>6.9278125784584298E-3</v>
      </c>
      <c r="L8" s="3">
        <f t="shared" ca="1" si="3"/>
        <v>1.3147081007738082E-2</v>
      </c>
      <c r="M8" s="3">
        <f t="shared" ca="1" si="3"/>
        <v>8.1540360651234118E-3</v>
      </c>
      <c r="N8" s="3">
        <f t="shared" ca="1" si="3"/>
        <v>1.5137716243787677E-2</v>
      </c>
      <c r="O8" s="3">
        <f t="shared" ca="1" si="3"/>
        <v>1.029841259059947E-2</v>
      </c>
      <c r="P8" s="3">
        <f t="shared" ca="1" si="3"/>
        <v>1.6905856216276244E-2</v>
      </c>
      <c r="Q8" s="3">
        <f t="shared" ca="1" si="3"/>
        <v>1.2045135373585276E-2</v>
      </c>
      <c r="R8" s="3">
        <f t="shared" ca="1" si="3"/>
        <v>2.042958883660571E-2</v>
      </c>
      <c r="S8" s="3">
        <f t="shared" ca="1" si="3"/>
        <v>1.3185928747438139E-2</v>
      </c>
      <c r="T8" s="3">
        <f t="shared" ca="1" si="3"/>
        <v>2.3342687261826377E-2</v>
      </c>
      <c r="U8" s="3">
        <f t="shared" ca="1" si="3"/>
        <v>1.4337164190721891E-2</v>
      </c>
      <c r="V8" s="3">
        <f t="shared" ca="1" si="3"/>
        <v>2.5675416397122335E-2</v>
      </c>
      <c r="W8" s="3">
        <f t="shared" ca="1" si="3"/>
        <v>1.6730733342937724E-2</v>
      </c>
      <c r="X8" s="3">
        <f t="shared" ca="1" si="3"/>
        <v>3.0891797710573165E-2</v>
      </c>
      <c r="Y8" s="3">
        <f t="shared" ca="1" si="3"/>
        <v>2.6033109927439076E-2</v>
      </c>
      <c r="Z8" s="3">
        <f t="shared" ca="1" si="3"/>
        <v>4.061125023783714E-2</v>
      </c>
      <c r="AA8" s="3">
        <f t="shared" ca="1" si="3"/>
        <v>3.3071368324505732E-2</v>
      </c>
      <c r="AB8" s="3">
        <f t="shared" ca="1" si="3"/>
        <v>4.6858461869391896E-2</v>
      </c>
      <c r="AC8" s="3">
        <f t="shared" ca="1" si="3"/>
        <v>3.7499331606229612E-2</v>
      </c>
      <c r="AD8" s="3">
        <f t="shared" ca="1" si="3"/>
        <v>5.8959287196309634E-2</v>
      </c>
      <c r="AE8" s="3">
        <f t="shared" ca="1" si="3"/>
        <v>4.4999456248432879E-2</v>
      </c>
      <c r="AF8" s="3">
        <f t="shared" ca="1" si="3"/>
        <v>6.6101944943421476E-2</v>
      </c>
      <c r="AG8" s="3">
        <f t="shared" ca="1" si="3"/>
        <v>5.1062559886522335E-2</v>
      </c>
      <c r="AH8" s="3">
        <f t="shared" ca="1" si="3"/>
        <v>9.7522140645597888E-2</v>
      </c>
      <c r="AI8" s="3">
        <f t="shared" ca="1" si="3"/>
        <v>8.4970971293723718E-2</v>
      </c>
      <c r="AJ8" s="3">
        <f t="shared" ca="1" si="3"/>
        <v>0.144832443908785</v>
      </c>
    </row>
    <row r="9" spans="1:36" x14ac:dyDescent="0.35">
      <c r="A9" t="s">
        <v>63</v>
      </c>
      <c r="B9" t="s">
        <v>76</v>
      </c>
      <c r="C9" s="4" t="s">
        <v>65</v>
      </c>
      <c r="D9" s="3">
        <f t="shared" ca="1" si="4"/>
        <v>3.7958952075931307E-3</v>
      </c>
      <c r="E9" s="3">
        <f t="shared" ca="1" si="3"/>
        <v>3.8401088094539709E-3</v>
      </c>
      <c r="F9" s="3">
        <f t="shared" ca="1" si="3"/>
        <v>6.7414921404466846E-3</v>
      </c>
      <c r="G9" s="3">
        <f t="shared" ca="1" si="3"/>
        <v>4.5024650085994725E-3</v>
      </c>
      <c r="H9" s="3">
        <f t="shared" ca="1" si="3"/>
        <v>8.8418281329604321E-3</v>
      </c>
      <c r="I9" s="3">
        <f t="shared" ca="1" si="3"/>
        <v>5.8392798660723937E-3</v>
      </c>
      <c r="J9" s="3">
        <f t="shared" ca="1" si="3"/>
        <v>1.2630177288603639E-2</v>
      </c>
      <c r="K9" s="3">
        <f t="shared" ca="1" si="3"/>
        <v>7.9003394381269628E-3</v>
      </c>
      <c r="L9" s="3">
        <f t="shared" ca="1" si="3"/>
        <v>1.4145960609541493E-2</v>
      </c>
      <c r="M9" s="3">
        <f t="shared" ca="1" si="3"/>
        <v>9.1508521846849749E-3</v>
      </c>
      <c r="N9" s="3">
        <f t="shared" ca="1" si="3"/>
        <v>1.6112036345857114E-2</v>
      </c>
      <c r="O9" s="3">
        <f t="shared" ca="1" si="3"/>
        <v>1.1274637448645137E-2</v>
      </c>
      <c r="P9" s="3">
        <f t="shared" ca="1" si="3"/>
        <v>1.789849021076249E-2</v>
      </c>
      <c r="Q9" s="3">
        <f t="shared" ca="1" si="3"/>
        <v>1.2963244489139242E-2</v>
      </c>
      <c r="R9" s="3">
        <f t="shared" ca="1" si="3"/>
        <v>2.1388105366261862E-2</v>
      </c>
      <c r="S9" s="3">
        <f t="shared" ca="1" si="3"/>
        <v>1.4115891148335096E-2</v>
      </c>
      <c r="T9" s="3">
        <f t="shared" ca="1" si="3"/>
        <v>2.4336634618697877E-2</v>
      </c>
      <c r="U9" s="3">
        <f t="shared" ca="1" si="3"/>
        <v>1.5265356228156718E-2</v>
      </c>
      <c r="V9" s="3">
        <f t="shared" ca="1" si="3"/>
        <v>2.6643132128602205E-2</v>
      </c>
      <c r="W9" s="3">
        <f t="shared" ca="1" si="3"/>
        <v>1.7665900796183503E-2</v>
      </c>
      <c r="X9" s="3">
        <f t="shared" ca="1" si="3"/>
        <v>3.1797122156003152E-2</v>
      </c>
      <c r="Y9" s="3">
        <f t="shared" ca="1" si="3"/>
        <v>2.7030831300711478E-2</v>
      </c>
      <c r="Z9" s="3">
        <f t="shared" ca="1" si="3"/>
        <v>4.151165973896892E-2</v>
      </c>
      <c r="AA9" s="3">
        <f t="shared" ca="1" si="3"/>
        <v>3.4019110935936243E-2</v>
      </c>
      <c r="AB9" s="3">
        <f t="shared" ca="1" si="3"/>
        <v>4.7829398594925229E-2</v>
      </c>
      <c r="AC9" s="3">
        <f t="shared" ca="1" si="3"/>
        <v>3.8433912361452265E-2</v>
      </c>
      <c r="AD9" s="3">
        <f t="shared" ca="1" si="3"/>
        <v>5.9933831114099945E-2</v>
      </c>
      <c r="AE9" s="3">
        <f t="shared" ca="1" si="3"/>
        <v>4.5977912431164086E-2</v>
      </c>
      <c r="AF9" s="3">
        <f t="shared" ca="1" si="3"/>
        <v>6.7076410212584286E-2</v>
      </c>
      <c r="AG9" s="3">
        <f t="shared" ca="1" si="3"/>
        <v>5.2020526637825901E-2</v>
      </c>
      <c r="AH9" s="3">
        <f t="shared" ca="1" si="3"/>
        <v>9.8445665159326623E-2</v>
      </c>
      <c r="AI9" s="3">
        <f t="shared" ca="1" si="3"/>
        <v>8.5959108591476152E-2</v>
      </c>
      <c r="AJ9" s="3">
        <f t="shared" ca="1" si="3"/>
        <v>0.14580013731177766</v>
      </c>
    </row>
    <row r="10" spans="1:36" x14ac:dyDescent="0.35">
      <c r="A10" t="s">
        <v>63</v>
      </c>
      <c r="B10" t="s">
        <v>76</v>
      </c>
      <c r="C10" s="4" t="s">
        <v>66</v>
      </c>
      <c r="D10" s="3">
        <f t="shared" ca="1" si="4"/>
        <v>4.7381579241636195E-3</v>
      </c>
      <c r="E10" s="3">
        <f t="shared" ca="1" si="3"/>
        <v>4.7530019331908412E-3</v>
      </c>
      <c r="F10" s="3">
        <f t="shared" ca="1" si="3"/>
        <v>7.7140461592243781E-3</v>
      </c>
      <c r="G10" s="3">
        <f t="shared" ca="1" si="3"/>
        <v>5.4104596663111021E-3</v>
      </c>
      <c r="H10" s="3">
        <f t="shared" ca="1" si="3"/>
        <v>9.7980341888981113E-3</v>
      </c>
      <c r="I10" s="3">
        <f t="shared" ca="1" si="3"/>
        <v>6.771855789401638E-3</v>
      </c>
      <c r="J10" s="3">
        <f t="shared" ca="1" si="3"/>
        <v>1.3600994063881664E-2</v>
      </c>
      <c r="K10" s="3">
        <f t="shared" ca="1" si="3"/>
        <v>8.803710122416283E-3</v>
      </c>
      <c r="L10" s="3">
        <f t="shared" ca="1" si="3"/>
        <v>1.5143807515253993E-2</v>
      </c>
      <c r="M10" s="3">
        <f t="shared" ca="1" si="3"/>
        <v>1.0073595419630687E-2</v>
      </c>
      <c r="N10" s="3">
        <f t="shared" ca="1" si="3"/>
        <v>1.705862191454283E-2</v>
      </c>
      <c r="O10" s="3">
        <f t="shared" ca="1" si="3"/>
        <v>1.2223107852569491E-2</v>
      </c>
      <c r="P10" s="3">
        <f t="shared" ca="1" si="3"/>
        <v>1.8847514753066601E-2</v>
      </c>
      <c r="Q10" s="3">
        <f t="shared" ca="1" si="3"/>
        <v>1.3874488541864906E-2</v>
      </c>
      <c r="R10" s="3">
        <f t="shared" ca="1" si="3"/>
        <v>2.2292268621443258E-2</v>
      </c>
      <c r="S10" s="3">
        <f t="shared" ca="1" si="3"/>
        <v>1.5045455968365845E-2</v>
      </c>
      <c r="T10" s="3">
        <f t="shared" ca="1" si="3"/>
        <v>2.5266931006342759E-2</v>
      </c>
      <c r="U10" s="3">
        <f t="shared" ca="1" si="3"/>
        <v>1.6193013443737084E-2</v>
      </c>
      <c r="V10" s="3">
        <f t="shared" ca="1" si="3"/>
        <v>2.7608950403480607E-2</v>
      </c>
      <c r="W10" s="3">
        <f t="shared" ca="1" si="3"/>
        <v>1.8594399889035801E-2</v>
      </c>
      <c r="X10" s="3">
        <f t="shared" ca="1" si="3"/>
        <v>3.277493769766314E-2</v>
      </c>
      <c r="Y10" s="3">
        <f t="shared" ca="1" si="3"/>
        <v>2.8012536993972128E-2</v>
      </c>
      <c r="Z10" s="3">
        <f t="shared" ca="1" si="3"/>
        <v>4.2440237226901392E-2</v>
      </c>
      <c r="AA10" s="3">
        <f t="shared" ca="1" si="3"/>
        <v>3.4974583166414885E-2</v>
      </c>
      <c r="AB10" s="3">
        <f t="shared" ca="1" si="3"/>
        <v>4.8821233798801662E-2</v>
      </c>
      <c r="AC10" s="3">
        <f t="shared" ca="1" si="3"/>
        <v>3.9367269863840183E-2</v>
      </c>
      <c r="AD10" s="3">
        <f t="shared" ca="1" si="3"/>
        <v>6.0869738761045303E-2</v>
      </c>
      <c r="AE10" s="3">
        <f t="shared" ca="1" si="3"/>
        <v>4.6950086949822396E-2</v>
      </c>
      <c r="AF10" s="3">
        <f t="shared" ca="1" si="3"/>
        <v>6.8055947160218899E-2</v>
      </c>
      <c r="AG10" s="3">
        <f t="shared" ca="1" si="3"/>
        <v>5.2974291600568969E-2</v>
      </c>
      <c r="AH10" s="3">
        <f t="shared" ca="1" si="3"/>
        <v>9.9380687703996606E-2</v>
      </c>
      <c r="AI10" s="3">
        <f t="shared" ca="1" si="3"/>
        <v>8.6876164989238502E-2</v>
      </c>
      <c r="AJ10" s="3">
        <f t="shared" ca="1" si="3"/>
        <v>0.14672257710998501</v>
      </c>
    </row>
    <row r="11" spans="1:36" x14ac:dyDescent="0.35">
      <c r="A11" t="s">
        <v>63</v>
      </c>
      <c r="B11" t="s">
        <v>76</v>
      </c>
      <c r="C11" s="4">
        <v>3</v>
      </c>
      <c r="D11" s="3">
        <f t="shared" ca="1" si="4"/>
        <v>5.6693597184554623E-3</v>
      </c>
      <c r="E11" s="3">
        <f t="shared" ca="1" si="3"/>
        <v>5.6662406218269089E-3</v>
      </c>
      <c r="F11" s="3">
        <f t="shared" ca="1" si="3"/>
        <v>8.6825920077576446E-3</v>
      </c>
      <c r="G11" s="3">
        <f t="shared" ca="1" si="3"/>
        <v>6.3400461386088017E-3</v>
      </c>
      <c r="H11" s="3">
        <f t="shared" ca="1" si="3"/>
        <v>1.0772945413609474E-2</v>
      </c>
      <c r="I11" s="3">
        <f t="shared" ca="1" si="3"/>
        <v>7.7666094867904125E-3</v>
      </c>
      <c r="J11" s="3">
        <f t="shared" ca="1" si="3"/>
        <v>1.4573344506647422E-2</v>
      </c>
      <c r="K11" s="3">
        <f t="shared" ca="1" si="3"/>
        <v>9.7488496232782749E-3</v>
      </c>
      <c r="L11" s="3">
        <f t="shared" ca="1" si="3"/>
        <v>1.6070659984928966E-2</v>
      </c>
      <c r="M11" s="3">
        <f t="shared" ca="1" si="3"/>
        <v>1.0979809971407704E-2</v>
      </c>
      <c r="N11" s="3">
        <f t="shared" ca="1" si="3"/>
        <v>1.7958931459472957E-2</v>
      </c>
      <c r="O11" s="3">
        <f t="shared" ca="1" si="3"/>
        <v>1.3202359955625962E-2</v>
      </c>
      <c r="P11" s="3">
        <f t="shared" ca="1" si="3"/>
        <v>1.9770199779425929E-2</v>
      </c>
      <c r="Q11" s="3">
        <f t="shared" ca="1" si="3"/>
        <v>1.4795084812374503E-2</v>
      </c>
      <c r="R11" s="3">
        <f t="shared" ca="1" si="3"/>
        <v>2.3203671507448554E-2</v>
      </c>
      <c r="S11" s="3">
        <f t="shared" ca="1" si="3"/>
        <v>1.6017340461537154E-2</v>
      </c>
      <c r="T11" s="3">
        <f t="shared" ca="1" si="3"/>
        <v>2.6251911535335379E-2</v>
      </c>
      <c r="U11" s="3">
        <f t="shared" ca="1" si="3"/>
        <v>1.7116404116747457E-2</v>
      </c>
      <c r="V11" s="3">
        <f t="shared" ca="1" si="3"/>
        <v>2.8593747347461135E-2</v>
      </c>
      <c r="W11" s="3">
        <f t="shared" ca="1" si="3"/>
        <v>1.9593499936989209E-2</v>
      </c>
      <c r="X11" s="3">
        <f t="shared" ca="1" si="3"/>
        <v>3.3753372640952461E-2</v>
      </c>
      <c r="Y11" s="3">
        <f t="shared" ca="1" si="3"/>
        <v>2.8989290267113162E-2</v>
      </c>
      <c r="Z11" s="3">
        <f t="shared" ca="1" si="3"/>
        <v>4.3429384288995815E-2</v>
      </c>
      <c r="AA11" s="3">
        <f t="shared" ca="1" si="3"/>
        <v>3.5897187753335107E-2</v>
      </c>
      <c r="AB11" s="3">
        <f t="shared" ca="1" si="3"/>
        <v>4.9743369845187548E-2</v>
      </c>
      <c r="AC11" s="3">
        <f t="shared" ca="1" si="3"/>
        <v>4.0355880227485284E-2</v>
      </c>
      <c r="AD11" s="3">
        <f t="shared" ca="1" si="3"/>
        <v>6.185245722763124E-2</v>
      </c>
      <c r="AE11" s="3">
        <f t="shared" ca="1" si="3"/>
        <v>4.7945981465828763E-2</v>
      </c>
      <c r="AF11" s="3">
        <f t="shared" ca="1" si="3"/>
        <v>6.9036065324911827E-2</v>
      </c>
      <c r="AG11" s="3">
        <f t="shared" ca="1" si="3"/>
        <v>5.3914164907409468E-2</v>
      </c>
      <c r="AH11" s="3">
        <f t="shared" ca="1" si="3"/>
        <v>0.10034730881982606</v>
      </c>
      <c r="AI11" s="3">
        <f t="shared" ca="1" si="3"/>
        <v>8.7806285983430696E-2</v>
      </c>
      <c r="AJ11" s="3">
        <f t="shared" ca="1" si="3"/>
        <v>0.14767869475161424</v>
      </c>
    </row>
    <row r="12" spans="1:36" x14ac:dyDescent="0.35">
      <c r="A12" t="s">
        <v>63</v>
      </c>
      <c r="B12" t="s">
        <v>76</v>
      </c>
      <c r="C12" s="4" t="s">
        <v>67</v>
      </c>
      <c r="D12" s="3">
        <f t="shared" ca="1" si="4"/>
        <v>6.6097843918957429E-3</v>
      </c>
      <c r="E12" s="3">
        <f t="shared" ca="1" si="3"/>
        <v>6.6370798614334182E-3</v>
      </c>
      <c r="F12" s="3">
        <f t="shared" ca="1" si="3"/>
        <v>9.6385628295747559E-3</v>
      </c>
      <c r="G12" s="3">
        <f t="shared" ca="1" si="3"/>
        <v>7.2539957885231566E-3</v>
      </c>
      <c r="H12" s="3">
        <f t="shared" ca="1" si="3"/>
        <v>1.1716007484139425E-2</v>
      </c>
      <c r="I12" s="3">
        <f t="shared" ca="1" si="3"/>
        <v>8.7145632452523755E-3</v>
      </c>
      <c r="J12" s="3">
        <f t="shared" ca="1" si="3"/>
        <v>1.5506029205336825E-2</v>
      </c>
      <c r="K12" s="3">
        <f t="shared" ca="1" si="3"/>
        <v>1.066948478125428E-2</v>
      </c>
      <c r="L12" s="3">
        <f t="shared" ca="1" si="3"/>
        <v>1.698894646286524E-2</v>
      </c>
      <c r="M12" s="3">
        <f t="shared" ca="1" si="3"/>
        <v>1.1954249364166426E-2</v>
      </c>
      <c r="N12" s="3">
        <f t="shared" ca="1" si="3"/>
        <v>1.8947564407299798E-2</v>
      </c>
      <c r="O12" s="3">
        <f t="shared" ca="1" si="3"/>
        <v>1.4105791073401829E-2</v>
      </c>
      <c r="P12" s="3">
        <f t="shared" ca="1" si="3"/>
        <v>2.0671471193201289E-2</v>
      </c>
      <c r="Q12" s="3">
        <f t="shared" ca="1" si="3"/>
        <v>1.5763867289089187E-2</v>
      </c>
      <c r="R12" s="3">
        <f t="shared" ca="1" si="3"/>
        <v>2.4151736727915842E-2</v>
      </c>
      <c r="S12" s="3">
        <f t="shared" ca="1" si="3"/>
        <v>1.694557901057998E-2</v>
      </c>
      <c r="T12" s="3">
        <f t="shared" ca="1" si="3"/>
        <v>2.7190276389162306E-2</v>
      </c>
      <c r="U12" s="3">
        <f t="shared" ca="1" si="3"/>
        <v>1.805076657217182E-2</v>
      </c>
      <c r="V12" s="3">
        <f t="shared" ca="1" si="3"/>
        <v>2.9560243023749256E-2</v>
      </c>
      <c r="W12" s="3">
        <f t="shared" ca="1" si="3"/>
        <v>2.0533068446941003E-2</v>
      </c>
      <c r="X12" s="3">
        <f t="shared" ca="1" si="3"/>
        <v>3.4740686148998008E-2</v>
      </c>
      <c r="Y12" s="3">
        <f t="shared" ca="1" si="3"/>
        <v>2.9905389952033564E-2</v>
      </c>
      <c r="Z12" s="3">
        <f t="shared" ca="1" si="3"/>
        <v>4.4428403292747866E-2</v>
      </c>
      <c r="AA12" s="3">
        <f t="shared" ca="1" si="3"/>
        <v>3.6862424695422474E-2</v>
      </c>
      <c r="AB12" s="3">
        <f t="shared" ca="1" si="3"/>
        <v>5.0716111888956604E-2</v>
      </c>
      <c r="AC12" s="3">
        <f t="shared" ca="1" si="3"/>
        <v>4.1279953613157103E-2</v>
      </c>
      <c r="AD12" s="3">
        <f t="shared" ca="1" si="3"/>
        <v>6.2759064276979276E-2</v>
      </c>
      <c r="AE12" s="3">
        <f t="shared" ca="1" si="3"/>
        <v>4.8852611762909809E-2</v>
      </c>
      <c r="AF12" s="3">
        <f t="shared" ca="1" si="3"/>
        <v>7.0008131839625731E-2</v>
      </c>
      <c r="AG12" s="3">
        <f t="shared" ca="1" si="3"/>
        <v>5.4821814817648133E-2</v>
      </c>
      <c r="AH12" s="3">
        <f t="shared" ca="1" si="3"/>
        <v>0.101310697728347</v>
      </c>
      <c r="AI12" s="3">
        <f t="shared" ca="1" si="3"/>
        <v>8.872605083131313E-2</v>
      </c>
      <c r="AJ12" s="3">
        <f t="shared" ca="1" si="3"/>
        <v>0.14865119939555119</v>
      </c>
    </row>
    <row r="13" spans="1:36" x14ac:dyDescent="0.35">
      <c r="A13" t="s">
        <v>63</v>
      </c>
      <c r="B13" t="s">
        <v>76</v>
      </c>
      <c r="C13" s="4" t="s">
        <v>68</v>
      </c>
      <c r="D13" s="3">
        <f t="shared" ca="1" si="4"/>
        <v>7.5146268929214338E-3</v>
      </c>
      <c r="E13" s="3">
        <f t="shared" ca="1" si="3"/>
        <v>7.5604810516372101E-3</v>
      </c>
      <c r="F13" s="3">
        <f t="shared" ca="1" si="3"/>
        <v>1.0577015999812082E-2</v>
      </c>
      <c r="G13" s="3">
        <f t="shared" ca="1" si="3"/>
        <v>8.1699584275366655E-3</v>
      </c>
      <c r="H13" s="3">
        <f t="shared" ca="1" si="3"/>
        <v>1.2657134417089754E-2</v>
      </c>
      <c r="I13" s="3">
        <f t="shared" ca="1" si="3"/>
        <v>9.6153202690354329E-3</v>
      </c>
      <c r="J13" s="3">
        <f t="shared" ca="1" si="3"/>
        <v>1.6412456339383808E-2</v>
      </c>
      <c r="K13" s="3">
        <f t="shared" ca="1" si="3"/>
        <v>1.1614859108795813E-2</v>
      </c>
      <c r="L13" s="3">
        <f t="shared" ca="1" si="3"/>
        <v>1.7893771048734221E-2</v>
      </c>
      <c r="M13" s="3">
        <f t="shared" ca="1" si="3"/>
        <v>1.2921256037177069E-2</v>
      </c>
      <c r="N13" s="3">
        <f t="shared" ca="1" si="3"/>
        <v>1.98919432237269E-2</v>
      </c>
      <c r="O13" s="3">
        <f t="shared" ca="1" si="3"/>
        <v>1.5075533665439204E-2</v>
      </c>
      <c r="P13" s="3">
        <f t="shared" ca="1" si="3"/>
        <v>2.1588156290569399E-2</v>
      </c>
      <c r="Q13" s="3">
        <f t="shared" ca="1" si="3"/>
        <v>1.6735288639125351E-2</v>
      </c>
      <c r="R13" s="3">
        <f t="shared" ca="1" si="3"/>
        <v>2.5062237012516735E-2</v>
      </c>
      <c r="S13" s="3">
        <f t="shared" ca="1" si="3"/>
        <v>1.7874124100872898E-2</v>
      </c>
      <c r="T13" s="3">
        <f t="shared" ca="1" si="3"/>
        <v>2.8185086397123308E-2</v>
      </c>
      <c r="U13" s="3">
        <f t="shared" ca="1" si="3"/>
        <v>1.9021988726707434E-2</v>
      </c>
      <c r="V13" s="3">
        <f t="shared" ca="1" si="3"/>
        <v>3.0470076140881947E-2</v>
      </c>
      <c r="W13" s="3">
        <f t="shared" ca="1" si="3"/>
        <v>2.1459328376510611E-2</v>
      </c>
      <c r="X13" s="3">
        <f t="shared" ca="1" si="3"/>
        <v>3.5721483647560073E-2</v>
      </c>
      <c r="Y13" s="3">
        <f t="shared" ca="1" si="3"/>
        <v>3.0813263717884148E-2</v>
      </c>
      <c r="Z13" s="3">
        <f t="shared" ca="1" si="3"/>
        <v>4.5335735657418566E-2</v>
      </c>
      <c r="AA13" s="3">
        <f t="shared" ca="1" si="3"/>
        <v>3.7818446840070116E-2</v>
      </c>
      <c r="AB13" s="3">
        <f t="shared" ca="1" si="3"/>
        <v>5.1628033584131386E-2</v>
      </c>
      <c r="AC13" s="3">
        <f t="shared" ca="1" si="3"/>
        <v>4.2180968156039382E-2</v>
      </c>
      <c r="AD13" s="3">
        <f t="shared" ca="1" si="3"/>
        <v>6.3673298902339484E-2</v>
      </c>
      <c r="AE13" s="3">
        <f t="shared" ca="1" si="3"/>
        <v>4.9759844697054946E-2</v>
      </c>
      <c r="AF13" s="3">
        <f t="shared" ca="1" si="3"/>
        <v>7.0939674133183625E-2</v>
      </c>
      <c r="AG13" s="3">
        <f t="shared" ca="1" si="3"/>
        <v>5.5734280172886418E-2</v>
      </c>
      <c r="AH13" s="3">
        <f t="shared" ca="1" si="3"/>
        <v>0.10221538888427549</v>
      </c>
      <c r="AI13" s="3">
        <f t="shared" ca="1" si="3"/>
        <v>8.9725387029693071E-2</v>
      </c>
      <c r="AJ13" s="3">
        <f t="shared" ca="1" si="3"/>
        <v>0.14960688788931284</v>
      </c>
    </row>
    <row r="14" spans="1:36" x14ac:dyDescent="0.35">
      <c r="A14" t="s">
        <v>63</v>
      </c>
      <c r="B14" t="s">
        <v>76</v>
      </c>
      <c r="C14" s="4">
        <v>4</v>
      </c>
      <c r="D14" s="3">
        <f t="shared" ca="1" si="4"/>
        <v>8.4345991474832592E-3</v>
      </c>
      <c r="E14" s="3">
        <f t="shared" ca="1" si="3"/>
        <v>8.4698961238682119E-3</v>
      </c>
      <c r="F14" s="3">
        <f t="shared" ca="1" si="3"/>
        <v>1.1548285470761345E-2</v>
      </c>
      <c r="G14" s="3">
        <f t="shared" ca="1" si="3"/>
        <v>9.1145299937952281E-3</v>
      </c>
      <c r="H14" s="3">
        <f t="shared" ca="1" si="3"/>
        <v>1.3604507945391893E-2</v>
      </c>
      <c r="I14" s="3">
        <f t="shared" ca="1" si="3"/>
        <v>1.0587131639926819E-2</v>
      </c>
      <c r="J14" s="3">
        <f t="shared" ca="1" si="3"/>
        <v>1.7385860734487779E-2</v>
      </c>
      <c r="K14" s="3">
        <f t="shared" ca="1" si="3"/>
        <v>1.255580767519616E-2</v>
      </c>
      <c r="L14" s="3">
        <f t="shared" ca="1" si="3"/>
        <v>1.8798101036850992E-2</v>
      </c>
      <c r="M14" s="3">
        <f t="shared" ca="1" si="3"/>
        <v>1.3843904955614609E-2</v>
      </c>
      <c r="N14" s="3">
        <f t="shared" ca="1" si="3"/>
        <v>2.0816789454752037E-2</v>
      </c>
      <c r="O14" s="3">
        <f t="shared" ca="1" si="3"/>
        <v>1.6033001669030829E-2</v>
      </c>
      <c r="P14" s="3">
        <f t="shared" ca="1" si="3"/>
        <v>2.2583330612562669E-2</v>
      </c>
      <c r="Q14" s="3">
        <f t="shared" ca="1" si="3"/>
        <v>1.7649984960146234E-2</v>
      </c>
      <c r="R14" s="3">
        <f t="shared" ca="1" si="3"/>
        <v>2.6039073792018065E-2</v>
      </c>
      <c r="S14" s="3">
        <f t="shared" ca="1" si="3"/>
        <v>1.8864880486290946E-2</v>
      </c>
      <c r="T14" s="3">
        <f t="shared" ca="1" si="3"/>
        <v>2.9161731581030748E-2</v>
      </c>
      <c r="U14" s="3">
        <f t="shared" ca="1" si="3"/>
        <v>2.0000614096510088E-2</v>
      </c>
      <c r="V14" s="3">
        <f t="shared" ca="1" si="3"/>
        <v>3.1420192427099057E-2</v>
      </c>
      <c r="W14" s="3">
        <f t="shared" ca="1" si="3"/>
        <v>2.2409699368010159E-2</v>
      </c>
      <c r="X14" s="3">
        <f t="shared" ca="1" si="3"/>
        <v>3.6708701127595132E-2</v>
      </c>
      <c r="Y14" s="3">
        <f t="shared" ca="1" si="3"/>
        <v>3.17653741667418E-2</v>
      </c>
      <c r="Z14" s="3">
        <f t="shared" ca="1" si="3"/>
        <v>4.627042821657E-2</v>
      </c>
      <c r="AA14" s="3">
        <f t="shared" ca="1" si="3"/>
        <v>3.8753183848065711E-2</v>
      </c>
      <c r="AB14" s="3">
        <f t="shared" ca="1" si="3"/>
        <v>5.254298405162932E-2</v>
      </c>
      <c r="AC14" s="3">
        <f t="shared" ca="1" si="3"/>
        <v>4.3154279584718652E-2</v>
      </c>
      <c r="AD14" s="3">
        <f t="shared" ca="1" si="3"/>
        <v>6.4586704413309562E-2</v>
      </c>
      <c r="AE14" s="3">
        <f t="shared" ca="1" si="3"/>
        <v>5.0662484970836183E-2</v>
      </c>
      <c r="AF14" s="3">
        <f t="shared" ca="1" si="3"/>
        <v>7.1867610315478933E-2</v>
      </c>
      <c r="AG14" s="3">
        <f t="shared" ca="1" si="3"/>
        <v>5.6695770139133191E-2</v>
      </c>
      <c r="AH14" s="3">
        <f t="shared" ca="1" si="3"/>
        <v>0.10320260001787468</v>
      </c>
      <c r="AI14" s="3">
        <f t="shared" ca="1" si="3"/>
        <v>9.069329072769132E-2</v>
      </c>
      <c r="AJ14" s="3">
        <f t="shared" ref="AJ14:AJ24" ca="1" si="5">AJ13+RAND()*($D$3-$C$3)+$C$3</f>
        <v>0.15056612343656839</v>
      </c>
    </row>
    <row r="15" spans="1:36" x14ac:dyDescent="0.35">
      <c r="A15" t="s">
        <v>63</v>
      </c>
      <c r="B15" t="s">
        <v>76</v>
      </c>
      <c r="C15" s="4" t="s">
        <v>69</v>
      </c>
      <c r="D15" s="3">
        <f t="shared" ca="1" si="4"/>
        <v>9.4081854181722133E-3</v>
      </c>
      <c r="E15" s="3">
        <f t="shared" ref="E15:E24" ca="1" si="6">E14+RAND()*($D$3-$C$3)+$C$3</f>
        <v>9.441696195564387E-3</v>
      </c>
      <c r="F15" s="3">
        <f t="shared" ref="F15:F24" ca="1" si="7">F14+RAND()*($D$3-$C$3)+$C$3</f>
        <v>1.2511172737799855E-2</v>
      </c>
      <c r="G15" s="3">
        <f t="shared" ref="G15:G24" ca="1" si="8">G14+RAND()*($D$3-$C$3)+$C$3</f>
        <v>1.0058594454961987E-2</v>
      </c>
      <c r="H15" s="3">
        <f t="shared" ref="H15:H24" ca="1" si="9">H14+RAND()*($D$3-$C$3)+$C$3</f>
        <v>1.453835575518614E-2</v>
      </c>
      <c r="I15" s="3">
        <f t="shared" ref="I15:I24" ca="1" si="10">I14+RAND()*($D$3-$C$3)+$C$3</f>
        <v>1.1518066694897657E-2</v>
      </c>
      <c r="J15" s="3">
        <f t="shared" ref="J15:J24" ca="1" si="11">J14+RAND()*($D$3-$C$3)+$C$3</f>
        <v>1.8302681791716187E-2</v>
      </c>
      <c r="K15" s="3">
        <f t="shared" ref="K15:K24" ca="1" si="12">K14+RAND()*($D$3-$C$3)+$C$3</f>
        <v>1.3530367286194099E-2</v>
      </c>
      <c r="L15" s="3">
        <f t="shared" ref="L15:L24" ca="1" si="13">L14+RAND()*($D$3-$C$3)+$C$3</f>
        <v>1.9779489932963305E-2</v>
      </c>
      <c r="M15" s="3">
        <f t="shared" ref="M15:M24" ca="1" si="14">M14+RAND()*($D$3-$C$3)+$C$3</f>
        <v>1.4779153519085883E-2</v>
      </c>
      <c r="N15" s="3">
        <f t="shared" ref="N15:N24" ca="1" si="15">N14+RAND()*($D$3-$C$3)+$C$3</f>
        <v>2.1771803780739656E-2</v>
      </c>
      <c r="O15" s="3">
        <f t="shared" ref="O15:O24" ca="1" si="16">O14+RAND()*($D$3-$C$3)+$C$3</f>
        <v>1.6976346235376003E-2</v>
      </c>
      <c r="P15" s="3">
        <f t="shared" ref="P15:P24" ca="1" si="17">P14+RAND()*($D$3-$C$3)+$C$3</f>
        <v>2.3546762219440201E-2</v>
      </c>
      <c r="Q15" s="3">
        <f t="shared" ref="Q15:Q24" ca="1" si="18">Q14+RAND()*($D$3-$C$3)+$C$3</f>
        <v>1.8559259860613658E-2</v>
      </c>
      <c r="R15" s="3">
        <f t="shared" ref="R15:R24" ca="1" si="19">R14+RAND()*($D$3-$C$3)+$C$3</f>
        <v>2.6939231392549581E-2</v>
      </c>
      <c r="S15" s="3">
        <f t="shared" ref="S15:S24" ca="1" si="20">S14+RAND()*($D$3-$C$3)+$C$3</f>
        <v>1.9796291657058773E-2</v>
      </c>
      <c r="T15" s="3">
        <f t="shared" ref="T15:T24" ca="1" si="21">T14+RAND()*($D$3-$C$3)+$C$3</f>
        <v>3.0101036866897919E-2</v>
      </c>
      <c r="U15" s="3">
        <f t="shared" ref="U15:U24" ca="1" si="22">U14+RAND()*($D$3-$C$3)+$C$3</f>
        <v>2.0957882205879554E-2</v>
      </c>
      <c r="V15" s="3">
        <f t="shared" ref="V15:V24" ca="1" si="23">V14+RAND()*($D$3-$C$3)+$C$3</f>
        <v>3.2408106648694722E-2</v>
      </c>
      <c r="W15" s="3">
        <f t="shared" ref="W15:W24" ca="1" si="24">W14+RAND()*($D$3-$C$3)+$C$3</f>
        <v>2.3409102240684397E-2</v>
      </c>
      <c r="X15" s="3">
        <f t="shared" ref="X15:X24" ca="1" si="25">X14+RAND()*($D$3-$C$3)+$C$3</f>
        <v>3.7646229357098444E-2</v>
      </c>
      <c r="Y15" s="3">
        <f t="shared" ref="Y15:Y24" ca="1" si="26">Y14+RAND()*($D$3-$C$3)+$C$3</f>
        <v>3.268959670819082E-2</v>
      </c>
      <c r="Z15" s="3">
        <f t="shared" ref="Z15:Z24" ca="1" si="27">Z14+RAND()*($D$3-$C$3)+$C$3</f>
        <v>4.725576197569753E-2</v>
      </c>
      <c r="AA15" s="3">
        <f t="shared" ref="AA15:AA24" ca="1" si="28">AA14+RAND()*($D$3-$C$3)+$C$3</f>
        <v>3.9745541297092027E-2</v>
      </c>
      <c r="AB15" s="3">
        <f t="shared" ref="AB15:AB24" ca="1" si="29">AB14+RAND()*($D$3-$C$3)+$C$3</f>
        <v>5.3448325725640462E-2</v>
      </c>
      <c r="AC15" s="3">
        <f t="shared" ref="AC15:AC24" ca="1" si="30">AC14+RAND()*($D$3-$C$3)+$C$3</f>
        <v>4.4142096348510997E-2</v>
      </c>
      <c r="AD15" s="3">
        <f t="shared" ref="AD15:AD24" ca="1" si="31">AD14+RAND()*($D$3-$C$3)+$C$3</f>
        <v>6.5567941771360536E-2</v>
      </c>
      <c r="AE15" s="3">
        <f t="shared" ref="AE15:AE24" ca="1" si="32">AE14+RAND()*($D$3-$C$3)+$C$3</f>
        <v>5.1607974614669386E-2</v>
      </c>
      <c r="AF15" s="3">
        <f t="shared" ref="AF15:AF24" ca="1" si="33">AF14+RAND()*($D$3-$C$3)+$C$3</f>
        <v>7.2852071641408236E-2</v>
      </c>
      <c r="AG15" s="3">
        <f t="shared" ref="AG15:AG24" ca="1" si="34">AG14+RAND()*($D$3-$C$3)+$C$3</f>
        <v>5.7635292898063781E-2</v>
      </c>
      <c r="AH15" s="3">
        <f t="shared" ref="AH15:AH24" ca="1" si="35">AH14+RAND()*($D$3-$C$3)+$C$3</f>
        <v>0.10415324735661818</v>
      </c>
      <c r="AI15" s="3">
        <f t="shared" ref="AI15:AI24" ca="1" si="36">AI14+RAND()*($D$3-$C$3)+$C$3</f>
        <v>9.1627992432679883E-2</v>
      </c>
      <c r="AJ15" s="3">
        <f t="shared" ca="1" si="5"/>
        <v>0.1515400331152611</v>
      </c>
    </row>
    <row r="16" spans="1:36" x14ac:dyDescent="0.35">
      <c r="A16" t="s">
        <v>63</v>
      </c>
      <c r="B16" t="s">
        <v>76</v>
      </c>
      <c r="C16" s="4" t="s">
        <v>70</v>
      </c>
      <c r="D16" s="3">
        <f t="shared" ca="1" si="4"/>
        <v>1.0317542773828577E-2</v>
      </c>
      <c r="E16" s="3">
        <f t="shared" ca="1" si="6"/>
        <v>1.0407039152101451E-2</v>
      </c>
      <c r="F16" s="3">
        <f t="shared" ca="1" si="7"/>
        <v>1.341477253366233E-2</v>
      </c>
      <c r="G16" s="3">
        <f t="shared" ca="1" si="8"/>
        <v>1.102224014433793E-2</v>
      </c>
      <c r="H16" s="3">
        <f t="shared" ca="1" si="9"/>
        <v>1.5522354140553363E-2</v>
      </c>
      <c r="I16" s="3">
        <f t="shared" ca="1" si="10"/>
        <v>1.2447846504871596E-2</v>
      </c>
      <c r="J16" s="3">
        <f t="shared" ca="1" si="11"/>
        <v>1.9294863382542642E-2</v>
      </c>
      <c r="K16" s="3">
        <f t="shared" ca="1" si="12"/>
        <v>1.4465800133560622E-2</v>
      </c>
      <c r="L16" s="3">
        <f t="shared" ca="1" si="13"/>
        <v>2.0735027543955665E-2</v>
      </c>
      <c r="M16" s="3">
        <f t="shared" ca="1" si="14"/>
        <v>1.5713112513556358E-2</v>
      </c>
      <c r="N16" s="3">
        <f t="shared" ca="1" si="15"/>
        <v>2.2672114160175772E-2</v>
      </c>
      <c r="O16" s="3">
        <f t="shared" ca="1" si="16"/>
        <v>1.7956084208662414E-2</v>
      </c>
      <c r="P16" s="3">
        <f t="shared" ca="1" si="17"/>
        <v>2.4474623554382045E-2</v>
      </c>
      <c r="Q16" s="3">
        <f t="shared" ca="1" si="18"/>
        <v>1.9541999312176581E-2</v>
      </c>
      <c r="R16" s="3">
        <f t="shared" ca="1" si="19"/>
        <v>2.7869778407794383E-2</v>
      </c>
      <c r="S16" s="3">
        <f t="shared" ca="1" si="20"/>
        <v>2.0744876197004759E-2</v>
      </c>
      <c r="T16" s="3">
        <f t="shared" ca="1" si="21"/>
        <v>3.1022845908059357E-2</v>
      </c>
      <c r="U16" s="3">
        <f t="shared" ca="1" si="22"/>
        <v>2.1951980035256561E-2</v>
      </c>
      <c r="V16" s="3">
        <f t="shared" ca="1" si="23"/>
        <v>3.3402841823526409E-2</v>
      </c>
      <c r="W16" s="3">
        <f t="shared" ca="1" si="24"/>
        <v>2.4402258690421317E-2</v>
      </c>
      <c r="X16" s="3">
        <f t="shared" ca="1" si="25"/>
        <v>3.8567902592149449E-2</v>
      </c>
      <c r="Y16" s="3">
        <f t="shared" ca="1" si="26"/>
        <v>3.3620877961553323E-2</v>
      </c>
      <c r="Z16" s="3">
        <f t="shared" ca="1" si="27"/>
        <v>4.8193254216070798E-2</v>
      </c>
      <c r="AA16" s="3">
        <f t="shared" ca="1" si="28"/>
        <v>4.0728623610690941E-2</v>
      </c>
      <c r="AB16" s="3">
        <f t="shared" ca="1" si="29"/>
        <v>5.4418983494675686E-2</v>
      </c>
      <c r="AC16" s="3">
        <f t="shared" ca="1" si="30"/>
        <v>4.5105130423717166E-2</v>
      </c>
      <c r="AD16" s="3">
        <f t="shared" ca="1" si="31"/>
        <v>6.6561101797659894E-2</v>
      </c>
      <c r="AE16" s="3">
        <f t="shared" ca="1" si="32"/>
        <v>5.255953632782151E-2</v>
      </c>
      <c r="AF16" s="3">
        <f t="shared" ca="1" si="33"/>
        <v>7.3799853274363697E-2</v>
      </c>
      <c r="AG16" s="3">
        <f t="shared" ca="1" si="34"/>
        <v>5.8564960024732077E-2</v>
      </c>
      <c r="AH16" s="3">
        <f t="shared" ca="1" si="35"/>
        <v>0.10513661533902355</v>
      </c>
      <c r="AI16" s="3">
        <f t="shared" ca="1" si="36"/>
        <v>9.2545604322796238E-2</v>
      </c>
      <c r="AJ16" s="3">
        <f t="shared" ca="1" si="5"/>
        <v>0.15249710609399017</v>
      </c>
    </row>
    <row r="17" spans="1:36" x14ac:dyDescent="0.35">
      <c r="A17" t="s">
        <v>63</v>
      </c>
      <c r="B17" t="s">
        <v>76</v>
      </c>
      <c r="C17" s="4">
        <v>5</v>
      </c>
      <c r="D17" s="3">
        <f t="shared" ca="1" si="4"/>
        <v>1.1278276665449685E-2</v>
      </c>
      <c r="E17" s="3">
        <f t="shared" ca="1" si="6"/>
        <v>1.1350397253026015E-2</v>
      </c>
      <c r="F17" s="3">
        <f t="shared" ca="1" si="7"/>
        <v>1.4352751453999592E-2</v>
      </c>
      <c r="G17" s="3">
        <f t="shared" ca="1" si="8"/>
        <v>1.1963690130217097E-2</v>
      </c>
      <c r="H17" s="3">
        <f t="shared" ca="1" si="9"/>
        <v>1.6497164379325194E-2</v>
      </c>
      <c r="I17" s="3">
        <f t="shared" ca="1" si="10"/>
        <v>1.3348659280301396E-2</v>
      </c>
      <c r="J17" s="3">
        <f t="shared" ca="1" si="11"/>
        <v>2.0284793965583275E-2</v>
      </c>
      <c r="K17" s="3">
        <f t="shared" ca="1" si="12"/>
        <v>1.5393352112012074E-2</v>
      </c>
      <c r="L17" s="3">
        <f t="shared" ca="1" si="13"/>
        <v>2.1731237942804189E-2</v>
      </c>
      <c r="M17" s="3">
        <f t="shared" ca="1" si="14"/>
        <v>1.6649145729671296E-2</v>
      </c>
      <c r="N17" s="3">
        <f t="shared" ca="1" si="15"/>
        <v>2.3626897571473161E-2</v>
      </c>
      <c r="O17" s="3">
        <f t="shared" ca="1" si="16"/>
        <v>1.8887852778356772E-2</v>
      </c>
      <c r="P17" s="3">
        <f t="shared" ca="1" si="17"/>
        <v>2.544003430800865E-2</v>
      </c>
      <c r="Q17" s="3">
        <f t="shared" ca="1" si="18"/>
        <v>2.0481320900152013E-2</v>
      </c>
      <c r="R17" s="3">
        <f t="shared" ca="1" si="19"/>
        <v>2.8797862299913313E-2</v>
      </c>
      <c r="S17" s="3">
        <f t="shared" ca="1" si="20"/>
        <v>2.1744245949930911E-2</v>
      </c>
      <c r="T17" s="3">
        <f t="shared" ca="1" si="21"/>
        <v>3.1974457777620147E-2</v>
      </c>
      <c r="U17" s="3">
        <f t="shared" ca="1" si="22"/>
        <v>2.2899781034648639E-2</v>
      </c>
      <c r="V17" s="3">
        <f t="shared" ca="1" si="23"/>
        <v>3.4332998605004418E-2</v>
      </c>
      <c r="W17" s="3">
        <f t="shared" ca="1" si="24"/>
        <v>2.5342358039597657E-2</v>
      </c>
      <c r="X17" s="3">
        <f t="shared" ca="1" si="25"/>
        <v>3.9482059374819127E-2</v>
      </c>
      <c r="Y17" s="3">
        <f t="shared" ca="1" si="26"/>
        <v>3.4569242562660016E-2</v>
      </c>
      <c r="Z17" s="3">
        <f t="shared" ca="1" si="27"/>
        <v>4.9161754567345547E-2</v>
      </c>
      <c r="AA17" s="3">
        <f t="shared" ca="1" si="28"/>
        <v>4.1695991764628348E-2</v>
      </c>
      <c r="AB17" s="3">
        <f t="shared" ca="1" si="29"/>
        <v>5.5339331469253246E-2</v>
      </c>
      <c r="AC17" s="3">
        <f t="shared" ca="1" si="30"/>
        <v>4.6043196818381857E-2</v>
      </c>
      <c r="AD17" s="3">
        <f t="shared" ca="1" si="31"/>
        <v>6.7498224781989885E-2</v>
      </c>
      <c r="AE17" s="3">
        <f t="shared" ca="1" si="32"/>
        <v>5.3520924554888133E-2</v>
      </c>
      <c r="AF17" s="3">
        <f t="shared" ca="1" si="33"/>
        <v>7.476549556198768E-2</v>
      </c>
      <c r="AG17" s="3">
        <f t="shared" ca="1" si="34"/>
        <v>5.9485286242682026E-2</v>
      </c>
      <c r="AH17" s="3">
        <f t="shared" ca="1" si="35"/>
        <v>0.10606357850662544</v>
      </c>
      <c r="AI17" s="3">
        <f t="shared" ca="1" si="36"/>
        <v>9.347837735867795E-2</v>
      </c>
      <c r="AJ17" s="3">
        <f t="shared" ca="1" si="5"/>
        <v>0.15343229218851601</v>
      </c>
    </row>
    <row r="18" spans="1:36" x14ac:dyDescent="0.35">
      <c r="A18" t="s">
        <v>63</v>
      </c>
      <c r="B18" t="s">
        <v>76</v>
      </c>
      <c r="C18" s="4" t="s">
        <v>71</v>
      </c>
      <c r="D18" s="3">
        <f t="shared" ca="1" si="4"/>
        <v>1.2212129306174888E-2</v>
      </c>
      <c r="E18" s="3">
        <f t="shared" ca="1" si="6"/>
        <v>1.2345087175522631E-2</v>
      </c>
      <c r="F18" s="3">
        <f t="shared" ca="1" si="7"/>
        <v>1.5339071726916688E-2</v>
      </c>
      <c r="G18" s="3">
        <f t="shared" ca="1" si="8"/>
        <v>1.2883523303339755E-2</v>
      </c>
      <c r="H18" s="3">
        <f t="shared" ca="1" si="9"/>
        <v>1.7490949478404131E-2</v>
      </c>
      <c r="I18" s="3">
        <f t="shared" ca="1" si="10"/>
        <v>1.4252056401569527E-2</v>
      </c>
      <c r="J18" s="3">
        <f t="shared" ca="1" si="11"/>
        <v>2.1200645433838046E-2</v>
      </c>
      <c r="K18" s="3">
        <f t="shared" ca="1" si="12"/>
        <v>1.6351370924962985E-2</v>
      </c>
      <c r="L18" s="3">
        <f t="shared" ca="1" si="13"/>
        <v>2.2693984896337421E-2</v>
      </c>
      <c r="M18" s="3">
        <f t="shared" ca="1" si="14"/>
        <v>1.7612620384975165E-2</v>
      </c>
      <c r="N18" s="3">
        <f t="shared" ca="1" si="15"/>
        <v>2.4624602150411713E-2</v>
      </c>
      <c r="O18" s="3">
        <f t="shared" ca="1" si="16"/>
        <v>1.9811645434830317E-2</v>
      </c>
      <c r="P18" s="3">
        <f t="shared" ca="1" si="17"/>
        <v>2.635097937354788E-2</v>
      </c>
      <c r="Q18" s="3">
        <f t="shared" ca="1" si="18"/>
        <v>2.1407377716922849E-2</v>
      </c>
      <c r="R18" s="3">
        <f t="shared" ca="1" si="19"/>
        <v>2.9727355535961966E-2</v>
      </c>
      <c r="S18" s="3">
        <f t="shared" ca="1" si="20"/>
        <v>2.2733348931272435E-2</v>
      </c>
      <c r="T18" s="3">
        <f t="shared" ca="1" si="21"/>
        <v>3.2963322534819178E-2</v>
      </c>
      <c r="U18" s="3">
        <f t="shared" ca="1" si="22"/>
        <v>2.3897869207785302E-2</v>
      </c>
      <c r="V18" s="3">
        <f t="shared" ca="1" si="23"/>
        <v>3.524593200796073E-2</v>
      </c>
      <c r="W18" s="3">
        <f t="shared" ca="1" si="24"/>
        <v>2.6317228953962053E-2</v>
      </c>
      <c r="X18" s="3">
        <f t="shared" ca="1" si="25"/>
        <v>4.0442640487239563E-2</v>
      </c>
      <c r="Y18" s="3">
        <f t="shared" ca="1" si="26"/>
        <v>3.5549016605743486E-2</v>
      </c>
      <c r="Z18" s="3">
        <f t="shared" ca="1" si="27"/>
        <v>5.0154473615062187E-2</v>
      </c>
      <c r="AA18" s="3">
        <f t="shared" ca="1" si="28"/>
        <v>4.2621092780161206E-2</v>
      </c>
      <c r="AB18" s="3">
        <f t="shared" ca="1" si="29"/>
        <v>5.6261489218278608E-2</v>
      </c>
      <c r="AC18" s="3">
        <f t="shared" ca="1" si="30"/>
        <v>4.6955665569841563E-2</v>
      </c>
      <c r="AD18" s="3">
        <f t="shared" ca="1" si="31"/>
        <v>6.843340229495061E-2</v>
      </c>
      <c r="AE18" s="3">
        <f t="shared" ca="1" si="32"/>
        <v>5.4447459554089521E-2</v>
      </c>
      <c r="AF18" s="3">
        <f t="shared" ca="1" si="33"/>
        <v>7.5667892818718829E-2</v>
      </c>
      <c r="AG18" s="3">
        <f t="shared" ca="1" si="34"/>
        <v>6.0470211501170108E-2</v>
      </c>
      <c r="AH18" s="3">
        <f t="shared" ca="1" si="35"/>
        <v>0.10704945136478938</v>
      </c>
      <c r="AI18" s="3">
        <f t="shared" ca="1" si="36"/>
        <v>9.4459070922661661E-2</v>
      </c>
      <c r="AJ18" s="3">
        <f t="shared" ca="1" si="5"/>
        <v>0.15435566424944286</v>
      </c>
    </row>
    <row r="19" spans="1:36" x14ac:dyDescent="0.35">
      <c r="A19" t="s">
        <v>63</v>
      </c>
      <c r="B19" t="s">
        <v>76</v>
      </c>
      <c r="C19" s="4" t="s">
        <v>72</v>
      </c>
      <c r="D19" s="3">
        <f t="shared" ca="1" si="4"/>
        <v>1.3128185099006314E-2</v>
      </c>
      <c r="E19" s="3">
        <f t="shared" ca="1" si="6"/>
        <v>1.3247151516542805E-2</v>
      </c>
      <c r="F19" s="3">
        <f t="shared" ca="1" si="7"/>
        <v>1.6242444686108217E-2</v>
      </c>
      <c r="G19" s="3">
        <f t="shared" ca="1" si="8"/>
        <v>1.3856606566587482E-2</v>
      </c>
      <c r="H19" s="3">
        <f t="shared" ca="1" si="9"/>
        <v>1.8442503313797043E-2</v>
      </c>
      <c r="I19" s="3">
        <f t="shared" ca="1" si="10"/>
        <v>1.5197687483148831E-2</v>
      </c>
      <c r="J19" s="3">
        <f t="shared" ca="1" si="11"/>
        <v>2.2197168872614935E-2</v>
      </c>
      <c r="K19" s="3">
        <f t="shared" ca="1" si="12"/>
        <v>1.7300935379595327E-2</v>
      </c>
      <c r="L19" s="3">
        <f t="shared" ca="1" si="13"/>
        <v>2.3617443192611831E-2</v>
      </c>
      <c r="M19" s="3">
        <f t="shared" ca="1" si="14"/>
        <v>1.854036592614727E-2</v>
      </c>
      <c r="N19" s="3">
        <f t="shared" ca="1" si="15"/>
        <v>2.5535343661582981E-2</v>
      </c>
      <c r="O19" s="3">
        <f t="shared" ca="1" si="16"/>
        <v>2.0739832601578516E-2</v>
      </c>
      <c r="P19" s="3">
        <f t="shared" ca="1" si="17"/>
        <v>2.7307615178540114E-2</v>
      </c>
      <c r="Q19" s="3">
        <f t="shared" ca="1" si="18"/>
        <v>2.2325803822732439E-2</v>
      </c>
      <c r="R19" s="3">
        <f t="shared" ca="1" si="19"/>
        <v>3.0629303917077362E-2</v>
      </c>
      <c r="S19" s="3">
        <f t="shared" ca="1" si="20"/>
        <v>2.3664726196192396E-2</v>
      </c>
      <c r="T19" s="3">
        <f t="shared" ca="1" si="21"/>
        <v>3.391587212953303E-2</v>
      </c>
      <c r="U19" s="3">
        <f t="shared" ca="1" si="22"/>
        <v>2.4823514320029001E-2</v>
      </c>
      <c r="V19" s="3">
        <f t="shared" ca="1" si="23"/>
        <v>3.6203515218075161E-2</v>
      </c>
      <c r="W19" s="3">
        <f t="shared" ca="1" si="24"/>
        <v>2.7231918438233596E-2</v>
      </c>
      <c r="X19" s="3">
        <f t="shared" ca="1" si="25"/>
        <v>4.142548783107057E-2</v>
      </c>
      <c r="Y19" s="3">
        <f t="shared" ca="1" si="26"/>
        <v>3.6473784649613705E-2</v>
      </c>
      <c r="Z19" s="3">
        <f t="shared" ca="1" si="27"/>
        <v>5.1055830245674803E-2</v>
      </c>
      <c r="AA19" s="3">
        <f t="shared" ca="1" si="28"/>
        <v>4.35864542492755E-2</v>
      </c>
      <c r="AB19" s="3">
        <f t="shared" ca="1" si="29"/>
        <v>5.7217342464777582E-2</v>
      </c>
      <c r="AC19" s="3">
        <f t="shared" ca="1" si="30"/>
        <v>4.7951463955215039E-2</v>
      </c>
      <c r="AD19" s="3">
        <f t="shared" ca="1" si="31"/>
        <v>6.9370000945281785E-2</v>
      </c>
      <c r="AE19" s="3">
        <f t="shared" ca="1" si="32"/>
        <v>5.5377878909033382E-2</v>
      </c>
      <c r="AF19" s="3">
        <f t="shared" ca="1" si="33"/>
        <v>7.6641492006359391E-2</v>
      </c>
      <c r="AG19" s="3">
        <f t="shared" ca="1" si="34"/>
        <v>6.144186757343794E-2</v>
      </c>
      <c r="AH19" s="3">
        <f t="shared" ca="1" si="35"/>
        <v>0.1079927086563124</v>
      </c>
      <c r="AI19" s="3">
        <f t="shared" ca="1" si="36"/>
        <v>9.5428481025978493E-2</v>
      </c>
      <c r="AJ19" s="3">
        <f t="shared" ca="1" si="5"/>
        <v>0.15533425837581455</v>
      </c>
    </row>
    <row r="20" spans="1:36" x14ac:dyDescent="0.35">
      <c r="A20" t="s">
        <v>63</v>
      </c>
      <c r="B20" t="s">
        <v>76</v>
      </c>
      <c r="C20" s="4">
        <v>6</v>
      </c>
      <c r="D20" s="3">
        <f t="shared" ca="1" si="4"/>
        <v>1.4051078000001367E-2</v>
      </c>
      <c r="E20" s="3">
        <f t="shared" ca="1" si="6"/>
        <v>1.4201160510151457E-2</v>
      </c>
      <c r="F20" s="3">
        <f t="shared" ca="1" si="7"/>
        <v>1.7153316338432444E-2</v>
      </c>
      <c r="G20" s="3">
        <f t="shared" ca="1" si="8"/>
        <v>1.4832942048262066E-2</v>
      </c>
      <c r="H20" s="3">
        <f t="shared" ca="1" si="9"/>
        <v>1.939522502489233E-2</v>
      </c>
      <c r="I20" s="3">
        <f t="shared" ca="1" si="10"/>
        <v>1.6100007425419945E-2</v>
      </c>
      <c r="J20" s="3">
        <f t="shared" ca="1" si="11"/>
        <v>2.3127650876456921E-2</v>
      </c>
      <c r="K20" s="3">
        <f t="shared" ca="1" si="12"/>
        <v>1.8291575939216223E-2</v>
      </c>
      <c r="L20" s="3">
        <f t="shared" ca="1" si="13"/>
        <v>2.4586231582569486E-2</v>
      </c>
      <c r="M20" s="3">
        <f t="shared" ca="1" si="14"/>
        <v>1.9501244944021712E-2</v>
      </c>
      <c r="N20" s="3">
        <f t="shared" ca="1" si="15"/>
        <v>2.6459755313059601E-2</v>
      </c>
      <c r="O20" s="3">
        <f t="shared" ca="1" si="16"/>
        <v>2.1715274962924472E-2</v>
      </c>
      <c r="P20" s="3">
        <f t="shared" ca="1" si="17"/>
        <v>2.823120755482058E-2</v>
      </c>
      <c r="Q20" s="3">
        <f t="shared" ca="1" si="18"/>
        <v>2.3298810263202029E-2</v>
      </c>
      <c r="R20" s="3">
        <f t="shared" ca="1" si="19"/>
        <v>3.1531895968191802E-2</v>
      </c>
      <c r="S20" s="3">
        <f t="shared" ca="1" si="20"/>
        <v>2.4645095987074879E-2</v>
      </c>
      <c r="T20" s="3">
        <f t="shared" ca="1" si="21"/>
        <v>3.4882931097634087E-2</v>
      </c>
      <c r="U20" s="3">
        <f t="shared" ca="1" si="22"/>
        <v>2.5741613395099051E-2</v>
      </c>
      <c r="V20" s="3">
        <f t="shared" ca="1" si="23"/>
        <v>3.7169494192171353E-2</v>
      </c>
      <c r="W20" s="3">
        <f t="shared" ca="1" si="24"/>
        <v>2.8192383888055055E-2</v>
      </c>
      <c r="X20" s="3">
        <f t="shared" ca="1" si="25"/>
        <v>4.2403332879757158E-2</v>
      </c>
      <c r="Y20" s="3">
        <f t="shared" ca="1" si="26"/>
        <v>3.7378109657716416E-2</v>
      </c>
      <c r="Z20" s="3">
        <f t="shared" ca="1" si="27"/>
        <v>5.1958267387872487E-2</v>
      </c>
      <c r="AA20" s="3">
        <f t="shared" ca="1" si="28"/>
        <v>4.4557768322229185E-2</v>
      </c>
      <c r="AB20" s="3">
        <f t="shared" ca="1" si="29"/>
        <v>5.8212420651349614E-2</v>
      </c>
      <c r="AC20" s="3">
        <f t="shared" ca="1" si="30"/>
        <v>4.8887769107564621E-2</v>
      </c>
      <c r="AD20" s="3">
        <f t="shared" ca="1" si="31"/>
        <v>7.0293805489971856E-2</v>
      </c>
      <c r="AE20" s="3">
        <f t="shared" ca="1" si="32"/>
        <v>5.6282633303114053E-2</v>
      </c>
      <c r="AF20" s="3">
        <f t="shared" ca="1" si="33"/>
        <v>7.7614933311661249E-2</v>
      </c>
      <c r="AG20" s="3">
        <f t="shared" ca="1" si="34"/>
        <v>6.2368838791105705E-2</v>
      </c>
      <c r="AH20" s="3">
        <f t="shared" ca="1" si="35"/>
        <v>0.10890584860430748</v>
      </c>
      <c r="AI20" s="3">
        <f t="shared" ca="1" si="36"/>
        <v>9.635427138821151E-2</v>
      </c>
      <c r="AJ20" s="3">
        <f t="shared" ca="1" si="5"/>
        <v>0.15630918441522249</v>
      </c>
    </row>
    <row r="21" spans="1:36" x14ac:dyDescent="0.35">
      <c r="A21" t="s">
        <v>63</v>
      </c>
      <c r="B21" t="s">
        <v>76</v>
      </c>
      <c r="C21" s="4" t="s">
        <v>73</v>
      </c>
      <c r="D21" s="3">
        <f t="shared" ca="1" si="4"/>
        <v>1.5047662455575029E-2</v>
      </c>
      <c r="E21" s="3">
        <f t="shared" ca="1" si="6"/>
        <v>1.5167957091932563E-2</v>
      </c>
      <c r="F21" s="3">
        <f t="shared" ca="1" si="7"/>
        <v>1.8134386193298511E-2</v>
      </c>
      <c r="G21" s="3">
        <f t="shared" ca="1" si="8"/>
        <v>1.5734548024131854E-2</v>
      </c>
      <c r="H21" s="3">
        <f t="shared" ca="1" si="9"/>
        <v>2.0383142705779709E-2</v>
      </c>
      <c r="I21" s="3">
        <f t="shared" ca="1" si="10"/>
        <v>1.7070177772854116E-2</v>
      </c>
      <c r="J21" s="3">
        <f t="shared" ca="1" si="11"/>
        <v>2.4116681581614754E-2</v>
      </c>
      <c r="K21" s="3">
        <f t="shared" ca="1" si="12"/>
        <v>1.9269726577750116E-2</v>
      </c>
      <c r="L21" s="3">
        <f t="shared" ca="1" si="13"/>
        <v>2.5496602354504683E-2</v>
      </c>
      <c r="M21" s="3">
        <f t="shared" ca="1" si="14"/>
        <v>2.049692085132079E-2</v>
      </c>
      <c r="N21" s="3">
        <f t="shared" ca="1" si="15"/>
        <v>2.7439036848392655E-2</v>
      </c>
      <c r="O21" s="3">
        <f t="shared" ca="1" si="16"/>
        <v>2.268686800827141E-2</v>
      </c>
      <c r="P21" s="3">
        <f t="shared" ca="1" si="17"/>
        <v>2.9207940185442798E-2</v>
      </c>
      <c r="Q21" s="3">
        <f t="shared" ca="1" si="18"/>
        <v>2.4231349607093351E-2</v>
      </c>
      <c r="R21" s="3">
        <f t="shared" ca="1" si="19"/>
        <v>3.2462258911113408E-2</v>
      </c>
      <c r="S21" s="3">
        <f t="shared" ca="1" si="20"/>
        <v>2.5622200406470889E-2</v>
      </c>
      <c r="T21" s="3">
        <f t="shared" ca="1" si="21"/>
        <v>3.5879524885207618E-2</v>
      </c>
      <c r="U21" s="3">
        <f t="shared" ca="1" si="22"/>
        <v>2.6723808910012792E-2</v>
      </c>
      <c r="V21" s="3">
        <f t="shared" ca="1" si="23"/>
        <v>3.8119645947732088E-2</v>
      </c>
      <c r="W21" s="3">
        <f t="shared" ca="1" si="24"/>
        <v>2.9103971075882456E-2</v>
      </c>
      <c r="X21" s="3">
        <f t="shared" ca="1" si="25"/>
        <v>4.3351206467032055E-2</v>
      </c>
      <c r="Y21" s="3">
        <f t="shared" ca="1" si="26"/>
        <v>3.8348125495202383E-2</v>
      </c>
      <c r="Z21" s="3">
        <f t="shared" ca="1" si="27"/>
        <v>5.2865874921204578E-2</v>
      </c>
      <c r="AA21" s="3">
        <f t="shared" ca="1" si="28"/>
        <v>4.5472841807936461E-2</v>
      </c>
      <c r="AB21" s="3">
        <f t="shared" ca="1" si="29"/>
        <v>5.9172256348590753E-2</v>
      </c>
      <c r="AC21" s="3">
        <f t="shared" ca="1" si="30"/>
        <v>4.9803451265321735E-2</v>
      </c>
      <c r="AD21" s="3">
        <f t="shared" ca="1" si="31"/>
        <v>7.1251331751850916E-2</v>
      </c>
      <c r="AE21" s="3">
        <f t="shared" ca="1" si="32"/>
        <v>5.7242253874024006E-2</v>
      </c>
      <c r="AF21" s="3">
        <f t="shared" ca="1" si="33"/>
        <v>7.8515300968100638E-2</v>
      </c>
      <c r="AG21" s="3">
        <f t="shared" ca="1" si="34"/>
        <v>6.3350059734375491E-2</v>
      </c>
      <c r="AH21" s="3">
        <f t="shared" ca="1" si="35"/>
        <v>0.10986511519689948</v>
      </c>
      <c r="AI21" s="3">
        <f t="shared" ca="1" si="36"/>
        <v>9.7301316492912057E-2</v>
      </c>
      <c r="AJ21" s="3">
        <f t="shared" ca="1" si="5"/>
        <v>0.15728721798427361</v>
      </c>
    </row>
    <row r="22" spans="1:36" x14ac:dyDescent="0.35">
      <c r="A22" t="s">
        <v>63</v>
      </c>
      <c r="B22" t="s">
        <v>76</v>
      </c>
      <c r="C22" s="4" t="s">
        <v>74</v>
      </c>
      <c r="D22" s="3">
        <f t="shared" ca="1" si="4"/>
        <v>1.6020747840983049E-2</v>
      </c>
      <c r="E22" s="3">
        <f t="shared" ca="1" si="6"/>
        <v>1.6094534043477188E-2</v>
      </c>
      <c r="F22" s="3">
        <f t="shared" ca="1" si="7"/>
        <v>1.9059084693179448E-2</v>
      </c>
      <c r="G22" s="3">
        <f t="shared" ca="1" si="8"/>
        <v>1.6641128864361372E-2</v>
      </c>
      <c r="H22" s="3">
        <f t="shared" ca="1" si="9"/>
        <v>2.1360842807264146E-2</v>
      </c>
      <c r="I22" s="3">
        <f t="shared" ca="1" si="10"/>
        <v>1.8027254721049629E-2</v>
      </c>
      <c r="J22" s="3">
        <f t="shared" ca="1" si="11"/>
        <v>2.5063784014990508E-2</v>
      </c>
      <c r="K22" s="3">
        <f t="shared" ca="1" si="12"/>
        <v>2.0248501720931129E-2</v>
      </c>
      <c r="L22" s="3">
        <f t="shared" ca="1" si="13"/>
        <v>2.6480606259042843E-2</v>
      </c>
      <c r="M22" s="3">
        <f t="shared" ca="1" si="14"/>
        <v>2.1490783078957552E-2</v>
      </c>
      <c r="N22" s="3">
        <f t="shared" ca="1" si="15"/>
        <v>2.836084846544637E-2</v>
      </c>
      <c r="O22" s="3">
        <f t="shared" ca="1" si="16"/>
        <v>2.3624566540011608E-2</v>
      </c>
      <c r="P22" s="3">
        <f t="shared" ca="1" si="17"/>
        <v>3.0200615451437304E-2</v>
      </c>
      <c r="Q22" s="3">
        <f t="shared" ca="1" si="18"/>
        <v>2.5159465917760096E-2</v>
      </c>
      <c r="R22" s="3">
        <f t="shared" ca="1" si="19"/>
        <v>3.3432347481547525E-2</v>
      </c>
      <c r="S22" s="3">
        <f t="shared" ca="1" si="20"/>
        <v>2.6592849640076275E-2</v>
      </c>
      <c r="T22" s="3">
        <f t="shared" ca="1" si="21"/>
        <v>3.6837020412524256E-2</v>
      </c>
      <c r="U22" s="3">
        <f t="shared" ca="1" si="22"/>
        <v>2.770653577279112E-2</v>
      </c>
      <c r="V22" s="3">
        <f t="shared" ca="1" si="23"/>
        <v>3.9027220245693071E-2</v>
      </c>
      <c r="W22" s="3">
        <f t="shared" ca="1" si="24"/>
        <v>3.0102577206807271E-2</v>
      </c>
      <c r="X22" s="3">
        <f t="shared" ca="1" si="25"/>
        <v>4.4301104546630804E-2</v>
      </c>
      <c r="Y22" s="3">
        <f t="shared" ca="1" si="26"/>
        <v>3.9255816155555068E-2</v>
      </c>
      <c r="Z22" s="3">
        <f t="shared" ca="1" si="27"/>
        <v>5.3785686065572436E-2</v>
      </c>
      <c r="AA22" s="3">
        <f t="shared" ca="1" si="28"/>
        <v>4.6449611393887424E-2</v>
      </c>
      <c r="AB22" s="3">
        <f t="shared" ca="1" si="29"/>
        <v>6.0168463042633943E-2</v>
      </c>
      <c r="AC22" s="3">
        <f t="shared" ca="1" si="30"/>
        <v>5.0798272709414082E-2</v>
      </c>
      <c r="AD22" s="3">
        <f t="shared" ca="1" si="31"/>
        <v>7.2185801822216691E-2</v>
      </c>
      <c r="AE22" s="3">
        <f t="shared" ca="1" si="32"/>
        <v>5.8155793297869796E-2</v>
      </c>
      <c r="AF22" s="3">
        <f t="shared" ca="1" si="33"/>
        <v>7.9497727974679466E-2</v>
      </c>
      <c r="AG22" s="3">
        <f t="shared" ca="1" si="34"/>
        <v>6.4263833395342015E-2</v>
      </c>
      <c r="AH22" s="3">
        <f t="shared" ca="1" si="35"/>
        <v>0.11078506008438303</v>
      </c>
      <c r="AI22" s="3">
        <f t="shared" ca="1" si="36"/>
        <v>9.8272464155963302E-2</v>
      </c>
      <c r="AJ22" s="3">
        <f t="shared" ca="1" si="5"/>
        <v>0.15828377184732714</v>
      </c>
    </row>
    <row r="23" spans="1:36" x14ac:dyDescent="0.35">
      <c r="A23" t="s">
        <v>63</v>
      </c>
      <c r="B23" t="s">
        <v>76</v>
      </c>
      <c r="C23" s="4">
        <v>7</v>
      </c>
      <c r="D23" s="3">
        <f t="shared" ca="1" si="4"/>
        <v>1.6924079137333493E-2</v>
      </c>
      <c r="E23" s="3">
        <f t="shared" ca="1" si="6"/>
        <v>1.705690303072558E-2</v>
      </c>
      <c r="F23" s="3">
        <f t="shared" ca="1" si="7"/>
        <v>2.0027810803992938E-2</v>
      </c>
      <c r="G23" s="3">
        <f t="shared" ca="1" si="8"/>
        <v>1.7568272190976991E-2</v>
      </c>
      <c r="H23" s="3">
        <f t="shared" ca="1" si="9"/>
        <v>2.2277759922571198E-2</v>
      </c>
      <c r="I23" s="3">
        <f t="shared" ca="1" si="10"/>
        <v>1.9005318830442344E-2</v>
      </c>
      <c r="J23" s="3">
        <f t="shared" ca="1" si="11"/>
        <v>2.6011108696630515E-2</v>
      </c>
      <c r="K23" s="3">
        <f t="shared" ca="1" si="12"/>
        <v>2.1244925429034462E-2</v>
      </c>
      <c r="L23" s="3">
        <f t="shared" ca="1" si="13"/>
        <v>2.738397597196866E-2</v>
      </c>
      <c r="M23" s="3">
        <f t="shared" ca="1" si="14"/>
        <v>2.2453256663753626E-2</v>
      </c>
      <c r="N23" s="3">
        <f t="shared" ca="1" si="15"/>
        <v>2.9308686583069551E-2</v>
      </c>
      <c r="O23" s="3">
        <f t="shared" ca="1" si="16"/>
        <v>2.4579893309022643E-2</v>
      </c>
      <c r="P23" s="3">
        <f t="shared" ca="1" si="17"/>
        <v>3.1181477688766827E-2</v>
      </c>
      <c r="Q23" s="3">
        <f t="shared" ca="1" si="18"/>
        <v>2.6066321530640448E-2</v>
      </c>
      <c r="R23" s="3">
        <f t="shared" ca="1" si="19"/>
        <v>3.4350403069878972E-2</v>
      </c>
      <c r="S23" s="3">
        <f t="shared" ca="1" si="20"/>
        <v>2.7575560272319763E-2</v>
      </c>
      <c r="T23" s="3">
        <f t="shared" ca="1" si="21"/>
        <v>3.7775367178758845E-2</v>
      </c>
      <c r="U23" s="3">
        <f t="shared" ca="1" si="22"/>
        <v>2.8620598985571368E-2</v>
      </c>
      <c r="V23" s="3">
        <f t="shared" ca="1" si="23"/>
        <v>4.0020167173230224E-2</v>
      </c>
      <c r="W23" s="3">
        <f t="shared" ca="1" si="24"/>
        <v>3.1034637869438074E-2</v>
      </c>
      <c r="X23" s="3">
        <f t="shared" ca="1" si="25"/>
        <v>4.5213200824799515E-2</v>
      </c>
      <c r="Y23" s="3">
        <f t="shared" ca="1" si="26"/>
        <v>4.022044241713929E-2</v>
      </c>
      <c r="Z23" s="3">
        <f t="shared" ca="1" si="27"/>
        <v>5.4705744925759373E-2</v>
      </c>
      <c r="AA23" s="3">
        <f t="shared" ca="1" si="28"/>
        <v>4.7437354915034396E-2</v>
      </c>
      <c r="AB23" s="3">
        <f t="shared" ca="1" si="29"/>
        <v>6.1098521658857367E-2</v>
      </c>
      <c r="AC23" s="3">
        <f t="shared" ca="1" si="30"/>
        <v>5.1763808687455018E-2</v>
      </c>
      <c r="AD23" s="3">
        <f t="shared" ca="1" si="31"/>
        <v>7.311507549529106E-2</v>
      </c>
      <c r="AE23" s="3">
        <f t="shared" ca="1" si="32"/>
        <v>5.9076532847619857E-2</v>
      </c>
      <c r="AF23" s="3">
        <f t="shared" ca="1" si="33"/>
        <v>8.0460529243596979E-2</v>
      </c>
      <c r="AG23" s="3">
        <f t="shared" ca="1" si="34"/>
        <v>6.519796655272754E-2</v>
      </c>
      <c r="AH23" s="3">
        <f t="shared" ca="1" si="35"/>
        <v>0.11171931802701131</v>
      </c>
      <c r="AI23" s="3">
        <f t="shared" ca="1" si="36"/>
        <v>9.9236993068304816E-2</v>
      </c>
      <c r="AJ23" s="3">
        <f t="shared" ca="1" si="5"/>
        <v>0.15922507544920605</v>
      </c>
    </row>
    <row r="24" spans="1:36" x14ac:dyDescent="0.35">
      <c r="A24" t="s">
        <v>63</v>
      </c>
      <c r="B24" t="s">
        <v>76</v>
      </c>
      <c r="C24" s="4" t="s">
        <v>75</v>
      </c>
      <c r="D24" s="3">
        <f t="shared" ca="1" si="4"/>
        <v>1.7897349017169391E-2</v>
      </c>
      <c r="E24" s="3">
        <f t="shared" ca="1" si="6"/>
        <v>1.799303611835314E-2</v>
      </c>
      <c r="F24" s="3">
        <f t="shared" ca="1" si="7"/>
        <v>2.0988557339824829E-2</v>
      </c>
      <c r="G24" s="3">
        <f t="shared" ca="1" si="8"/>
        <v>1.8561854570311124E-2</v>
      </c>
      <c r="H24" s="3">
        <f t="shared" ca="1" si="9"/>
        <v>2.3214599472825243E-2</v>
      </c>
      <c r="I24" s="3">
        <f t="shared" ca="1" si="10"/>
        <v>1.9931157587923066E-2</v>
      </c>
      <c r="J24" s="3">
        <f t="shared" ca="1" si="11"/>
        <v>2.7007776111423097E-2</v>
      </c>
      <c r="K24" s="3">
        <f t="shared" ca="1" si="12"/>
        <v>2.2153353763690108E-2</v>
      </c>
      <c r="L24" s="3">
        <f t="shared" ca="1" si="13"/>
        <v>2.8379392755382898E-2</v>
      </c>
      <c r="M24" s="3">
        <f t="shared" ca="1" si="14"/>
        <v>2.3407803697912288E-2</v>
      </c>
      <c r="N24" s="3">
        <f t="shared" ca="1" si="15"/>
        <v>3.0275861455660549E-2</v>
      </c>
      <c r="O24" s="3">
        <f t="shared" ca="1" si="16"/>
        <v>2.5518188071535327E-2</v>
      </c>
      <c r="P24" s="3">
        <f t="shared" ca="1" si="17"/>
        <v>3.2157032819406205E-2</v>
      </c>
      <c r="Q24" s="3">
        <f t="shared" ca="1" si="18"/>
        <v>2.6986113440450619E-2</v>
      </c>
      <c r="R24" s="3">
        <f t="shared" ca="1" si="19"/>
        <v>3.5260511586442833E-2</v>
      </c>
      <c r="S24" s="3">
        <f t="shared" ca="1" si="20"/>
        <v>2.8502379878107952E-2</v>
      </c>
      <c r="T24" s="3">
        <f t="shared" ca="1" si="21"/>
        <v>3.8720510047526933E-2</v>
      </c>
      <c r="U24" s="3">
        <f t="shared" ca="1" si="22"/>
        <v>2.9562212148225471E-2</v>
      </c>
      <c r="V24" s="3">
        <f t="shared" ca="1" si="23"/>
        <v>4.0952679457509057E-2</v>
      </c>
      <c r="W24" s="3">
        <f t="shared" ca="1" si="24"/>
        <v>3.2023179116663143E-2</v>
      </c>
      <c r="X24" s="3">
        <f t="shared" ca="1" si="25"/>
        <v>4.6167818110563565E-2</v>
      </c>
      <c r="Y24" s="3">
        <f t="shared" ca="1" si="26"/>
        <v>4.1199603190695502E-2</v>
      </c>
      <c r="Z24" s="3">
        <f t="shared" ca="1" si="27"/>
        <v>5.5607178509014879E-2</v>
      </c>
      <c r="AA24" s="3">
        <f t="shared" ca="1" si="28"/>
        <v>4.8345372926057506E-2</v>
      </c>
      <c r="AB24" s="3">
        <f t="shared" ca="1" si="29"/>
        <v>6.2071263165112196E-2</v>
      </c>
      <c r="AC24" s="3">
        <f t="shared" ca="1" si="30"/>
        <v>5.2690535688989654E-2</v>
      </c>
      <c r="AD24" s="3">
        <f t="shared" ca="1" si="31"/>
        <v>7.4065978168155258E-2</v>
      </c>
      <c r="AE24" s="3">
        <f t="shared" ca="1" si="32"/>
        <v>6.0021728333656287E-2</v>
      </c>
      <c r="AF24" s="3">
        <f t="shared" ca="1" si="33"/>
        <v>8.1451035795815405E-2</v>
      </c>
      <c r="AG24" s="3">
        <f t="shared" ca="1" si="34"/>
        <v>6.6109674479155098E-2</v>
      </c>
      <c r="AH24" s="3">
        <f t="shared" ca="1" si="35"/>
        <v>0.11262679196357307</v>
      </c>
      <c r="AI24" s="3">
        <f t="shared" ca="1" si="36"/>
        <v>0.1001983179183886</v>
      </c>
      <c r="AJ24" s="3">
        <f t="shared" ca="1" si="5"/>
        <v>0.16014245105247474</v>
      </c>
    </row>
    <row r="25" spans="1:36" x14ac:dyDescent="0.35">
      <c r="A25" t="s">
        <v>63</v>
      </c>
      <c r="B25" t="s">
        <v>61</v>
      </c>
      <c r="C25" s="4">
        <v>1</v>
      </c>
      <c r="D25" s="3">
        <f ca="1">MIN(0.99,D6+$D$3)</f>
        <v>1.9636106547932936E-3</v>
      </c>
      <c r="E25" s="3">
        <f t="shared" ref="E25:AJ25" ca="1" si="37">MIN(0.99,E6+$D$3)</f>
        <v>1.9863786435482225E-3</v>
      </c>
      <c r="F25" s="3">
        <f t="shared" ca="1" si="37"/>
        <v>4.8529262343175606E-3</v>
      </c>
      <c r="G25" s="3">
        <f t="shared" ca="1" si="37"/>
        <v>2.7321980780933976E-3</v>
      </c>
      <c r="H25" s="3">
        <f t="shared" ca="1" si="37"/>
        <v>7.0293680357212144E-3</v>
      </c>
      <c r="I25" s="3">
        <f t="shared" ca="1" si="37"/>
        <v>4.058557526889931E-3</v>
      </c>
      <c r="J25" s="3">
        <f t="shared" ca="1" si="37"/>
        <v>1.0779142565684793E-2</v>
      </c>
      <c r="K25" s="3">
        <f t="shared" ca="1" si="37"/>
        <v>5.9711386836319479E-3</v>
      </c>
      <c r="L25" s="3">
        <f t="shared" ca="1" si="37"/>
        <v>1.2291874151644622E-2</v>
      </c>
      <c r="M25" s="3">
        <f t="shared" ca="1" si="37"/>
        <v>7.3112754425019378E-3</v>
      </c>
      <c r="N25" s="3">
        <f t="shared" ca="1" si="37"/>
        <v>1.4215547330367277E-2</v>
      </c>
      <c r="O25" s="3">
        <f t="shared" ca="1" si="37"/>
        <v>9.4415580930492238E-3</v>
      </c>
      <c r="P25" s="3">
        <f t="shared" ca="1" si="37"/>
        <v>1.5949604768809574E-2</v>
      </c>
      <c r="Q25" s="3">
        <f t="shared" ca="1" si="37"/>
        <v>1.1141476720116946E-2</v>
      </c>
      <c r="R25" s="3">
        <f t="shared" ca="1" si="37"/>
        <v>1.9617496858363191E-2</v>
      </c>
      <c r="S25" s="3">
        <f t="shared" ca="1" si="37"/>
        <v>1.2295079226981497E-2</v>
      </c>
      <c r="T25" s="3">
        <f t="shared" ca="1" si="37"/>
        <v>2.2386816404777597E-2</v>
      </c>
      <c r="U25" s="3">
        <f t="shared" ca="1" si="37"/>
        <v>1.3415289082021858E-2</v>
      </c>
      <c r="V25" s="3">
        <f t="shared" ca="1" si="37"/>
        <v>2.4840662825578487E-2</v>
      </c>
      <c r="W25" s="3">
        <f t="shared" ca="1" si="37"/>
        <v>1.5756983466441922E-2</v>
      </c>
      <c r="X25" s="3">
        <f t="shared" ca="1" si="37"/>
        <v>3.0018810675467397E-2</v>
      </c>
      <c r="Y25" s="3">
        <f t="shared" ca="1" si="37"/>
        <v>2.5132018513747939E-2</v>
      </c>
      <c r="Z25" s="3">
        <f t="shared" ca="1" si="37"/>
        <v>3.9708291342225088E-2</v>
      </c>
      <c r="AA25" s="3">
        <f t="shared" ca="1" si="37"/>
        <v>3.2214119207869041E-2</v>
      </c>
      <c r="AB25" s="3">
        <f t="shared" ca="1" si="37"/>
        <v>4.5971708097780353E-2</v>
      </c>
      <c r="AC25" s="3">
        <f t="shared" ca="1" si="37"/>
        <v>3.6510498544814168E-2</v>
      </c>
      <c r="AD25" s="3">
        <f t="shared" ca="1" si="37"/>
        <v>5.809919338006668E-2</v>
      </c>
      <c r="AE25" s="3">
        <f t="shared" ca="1" si="37"/>
        <v>4.4151079453496375E-2</v>
      </c>
      <c r="AF25" s="3">
        <f t="shared" ca="1" si="37"/>
        <v>6.5121534079713161E-2</v>
      </c>
      <c r="AG25" s="3">
        <f t="shared" ca="1" si="37"/>
        <v>5.0200792786726178E-2</v>
      </c>
      <c r="AH25" s="3">
        <f t="shared" ca="1" si="37"/>
        <v>9.6564160288241468E-2</v>
      </c>
      <c r="AI25" s="3">
        <f t="shared" ca="1" si="37"/>
        <v>8.4136467397407544E-2</v>
      </c>
      <c r="AJ25" s="3">
        <f t="shared" ca="1" si="37"/>
        <v>0.1438712147902057</v>
      </c>
    </row>
    <row r="26" spans="1:36" x14ac:dyDescent="0.35">
      <c r="A26" t="s">
        <v>63</v>
      </c>
      <c r="B26" t="s">
        <v>61</v>
      </c>
      <c r="C26" s="4" t="s">
        <v>64</v>
      </c>
      <c r="D26" s="3">
        <f t="shared" ref="D26:AJ26" ca="1" si="38">MIN(0.99,D7+$D$3)</f>
        <v>2.8956744961502506E-3</v>
      </c>
      <c r="E26" s="3">
        <f t="shared" ca="1" si="38"/>
        <v>2.9131512295788682E-3</v>
      </c>
      <c r="F26" s="3">
        <f t="shared" ca="1" si="38"/>
        <v>5.7639472105704389E-3</v>
      </c>
      <c r="G26" s="3">
        <f t="shared" ca="1" si="38"/>
        <v>3.6613325505789004E-3</v>
      </c>
      <c r="H26" s="3">
        <f t="shared" ca="1" si="38"/>
        <v>8.0112866737076446E-3</v>
      </c>
      <c r="I26" s="3">
        <f t="shared" ca="1" si="38"/>
        <v>4.9769366376367485E-3</v>
      </c>
      <c r="J26" s="3">
        <f t="shared" ca="1" si="38"/>
        <v>1.173750216434382E-2</v>
      </c>
      <c r="K26" s="3">
        <f t="shared" ca="1" si="38"/>
        <v>6.9333400366208709E-3</v>
      </c>
      <c r="L26" s="3">
        <f t="shared" ca="1" si="38"/>
        <v>1.3222726071191095E-2</v>
      </c>
      <c r="M26" s="3">
        <f t="shared" ca="1" si="38"/>
        <v>8.2168645191956699E-3</v>
      </c>
      <c r="N26" s="3">
        <f t="shared" ca="1" si="38"/>
        <v>1.5145445645127858E-2</v>
      </c>
      <c r="O26" s="3">
        <f t="shared" ca="1" si="38"/>
        <v>1.0380705225840677E-2</v>
      </c>
      <c r="P26" s="3">
        <f t="shared" ca="1" si="38"/>
        <v>1.6916524675471584E-2</v>
      </c>
      <c r="Q26" s="3">
        <f t="shared" ca="1" si="38"/>
        <v>1.2091829185656433E-2</v>
      </c>
      <c r="R26" s="3">
        <f t="shared" ca="1" si="38"/>
        <v>2.0521037891602714E-2</v>
      </c>
      <c r="S26" s="3">
        <f t="shared" ca="1" si="38"/>
        <v>1.323988253162886E-2</v>
      </c>
      <c r="T26" s="3">
        <f t="shared" ca="1" si="38"/>
        <v>2.3362729252741351E-2</v>
      </c>
      <c r="U26" s="3">
        <f t="shared" ca="1" si="38"/>
        <v>1.434462670908598E-2</v>
      </c>
      <c r="V26" s="3">
        <f t="shared" ca="1" si="38"/>
        <v>2.5755388032904936E-2</v>
      </c>
      <c r="W26" s="3">
        <f t="shared" ca="1" si="38"/>
        <v>1.6732336389798926E-2</v>
      </c>
      <c r="X26" s="3">
        <f t="shared" ca="1" si="38"/>
        <v>3.0969765923460502E-2</v>
      </c>
      <c r="Y26" s="3">
        <f t="shared" ca="1" si="38"/>
        <v>2.6033732646481494E-2</v>
      </c>
      <c r="Z26" s="3">
        <f t="shared" ca="1" si="38"/>
        <v>4.0640018030334901E-2</v>
      </c>
      <c r="AA26" s="3">
        <f t="shared" ca="1" si="38"/>
        <v>3.3114930541868322E-2</v>
      </c>
      <c r="AB26" s="3">
        <f t="shared" ca="1" si="38"/>
        <v>4.6891609798219033E-2</v>
      </c>
      <c r="AC26" s="3">
        <f t="shared" ca="1" si="38"/>
        <v>3.750680584455756E-2</v>
      </c>
      <c r="AD26" s="3">
        <f t="shared" ca="1" si="38"/>
        <v>5.9042860136960376E-2</v>
      </c>
      <c r="AE26" s="3">
        <f t="shared" ca="1" si="38"/>
        <v>4.5075957717422621E-2</v>
      </c>
      <c r="AF26" s="3">
        <f t="shared" ca="1" si="38"/>
        <v>6.6103765089266006E-2</v>
      </c>
      <c r="AG26" s="3">
        <f t="shared" ca="1" si="38"/>
        <v>5.1114089815503708E-2</v>
      </c>
      <c r="AH26" s="3">
        <f t="shared" ca="1" si="38"/>
        <v>9.7528670032478046E-2</v>
      </c>
      <c r="AI26" s="3">
        <f t="shared" ca="1" si="38"/>
        <v>8.5046111532614849E-2</v>
      </c>
      <c r="AJ26" s="3">
        <f t="shared" ca="1" si="38"/>
        <v>0.14485152375639068</v>
      </c>
    </row>
    <row r="27" spans="1:36" x14ac:dyDescent="0.35">
      <c r="A27" t="s">
        <v>63</v>
      </c>
      <c r="B27" t="s">
        <v>61</v>
      </c>
      <c r="C27" s="4">
        <v>2</v>
      </c>
      <c r="D27" s="3">
        <f t="shared" ref="D27:AJ27" ca="1" si="39">MIN(0.99,D8+$D$3)</f>
        <v>3.8216320482666421E-3</v>
      </c>
      <c r="E27" s="3">
        <f t="shared" ca="1" si="39"/>
        <v>3.8813266674094429E-3</v>
      </c>
      <c r="F27" s="3">
        <f t="shared" ca="1" si="39"/>
        <v>6.7452212164588691E-3</v>
      </c>
      <c r="G27" s="3">
        <f t="shared" ca="1" si="39"/>
        <v>4.5813444554601013E-3</v>
      </c>
      <c r="H27" s="3">
        <f t="shared" ca="1" si="39"/>
        <v>8.9272126123610129E-3</v>
      </c>
      <c r="I27" s="3">
        <f t="shared" ca="1" si="39"/>
        <v>5.8820046959229379E-3</v>
      </c>
      <c r="J27" s="3">
        <f t="shared" ca="1" si="39"/>
        <v>1.2667351914065542E-2</v>
      </c>
      <c r="K27" s="3">
        <f t="shared" ca="1" si="39"/>
        <v>7.9278125784584298E-3</v>
      </c>
      <c r="L27" s="3">
        <f t="shared" ca="1" si="39"/>
        <v>1.4147081007738083E-2</v>
      </c>
      <c r="M27" s="3">
        <f t="shared" ca="1" si="39"/>
        <v>9.1540360651234109E-3</v>
      </c>
      <c r="N27" s="3">
        <f t="shared" ca="1" si="39"/>
        <v>1.6137716243787677E-2</v>
      </c>
      <c r="O27" s="3">
        <f t="shared" ca="1" si="39"/>
        <v>1.1298412590599469E-2</v>
      </c>
      <c r="P27" s="3">
        <f t="shared" ca="1" si="39"/>
        <v>1.7905856216276245E-2</v>
      </c>
      <c r="Q27" s="3">
        <f t="shared" ca="1" si="39"/>
        <v>1.3045135373585277E-2</v>
      </c>
      <c r="R27" s="3">
        <f t="shared" ca="1" si="39"/>
        <v>2.1429588836605711E-2</v>
      </c>
      <c r="S27" s="3">
        <f t="shared" ca="1" si="39"/>
        <v>1.418592874743814E-2</v>
      </c>
      <c r="T27" s="3">
        <f t="shared" ca="1" si="39"/>
        <v>2.4342687261826378E-2</v>
      </c>
      <c r="U27" s="3">
        <f t="shared" ca="1" si="39"/>
        <v>1.533716419072189E-2</v>
      </c>
      <c r="V27" s="3">
        <f t="shared" ca="1" si="39"/>
        <v>2.6675416397122335E-2</v>
      </c>
      <c r="W27" s="3">
        <f t="shared" ca="1" si="39"/>
        <v>1.7730733342937725E-2</v>
      </c>
      <c r="X27" s="3">
        <f t="shared" ca="1" si="39"/>
        <v>3.1891797710573162E-2</v>
      </c>
      <c r="Y27" s="3">
        <f t="shared" ca="1" si="39"/>
        <v>2.7033109927439077E-2</v>
      </c>
      <c r="Z27" s="3">
        <f t="shared" ca="1" si="39"/>
        <v>4.1611250237837141E-2</v>
      </c>
      <c r="AA27" s="3">
        <f t="shared" ca="1" si="39"/>
        <v>3.4071368324505732E-2</v>
      </c>
      <c r="AB27" s="3">
        <f t="shared" ca="1" si="39"/>
        <v>4.7858461869391897E-2</v>
      </c>
      <c r="AC27" s="3">
        <f t="shared" ca="1" si="39"/>
        <v>3.8499331606229613E-2</v>
      </c>
      <c r="AD27" s="3">
        <f t="shared" ca="1" si="39"/>
        <v>5.9959287196309635E-2</v>
      </c>
      <c r="AE27" s="3">
        <f t="shared" ca="1" si="39"/>
        <v>4.599945624843288E-2</v>
      </c>
      <c r="AF27" s="3">
        <f t="shared" ca="1" si="39"/>
        <v>6.7101944943421477E-2</v>
      </c>
      <c r="AG27" s="3">
        <f t="shared" ca="1" si="39"/>
        <v>5.2062559886522336E-2</v>
      </c>
      <c r="AH27" s="3">
        <f t="shared" ca="1" si="39"/>
        <v>9.8522140645597889E-2</v>
      </c>
      <c r="AI27" s="3">
        <f t="shared" ca="1" si="39"/>
        <v>8.5970971293723719E-2</v>
      </c>
      <c r="AJ27" s="3">
        <f t="shared" ca="1" si="39"/>
        <v>0.145832443908785</v>
      </c>
    </row>
    <row r="28" spans="1:36" x14ac:dyDescent="0.35">
      <c r="A28" t="s">
        <v>63</v>
      </c>
      <c r="B28" t="s">
        <v>61</v>
      </c>
      <c r="C28" s="4" t="s">
        <v>65</v>
      </c>
      <c r="D28" s="3">
        <f t="shared" ref="D28:AJ28" ca="1" si="40">MIN(0.99,D9+$D$3)</f>
        <v>4.7958952075931307E-3</v>
      </c>
      <c r="E28" s="3">
        <f t="shared" ca="1" si="40"/>
        <v>4.8401088094539709E-3</v>
      </c>
      <c r="F28" s="3">
        <f t="shared" ca="1" si="40"/>
        <v>7.7414921404466847E-3</v>
      </c>
      <c r="G28" s="3">
        <f t="shared" ca="1" si="40"/>
        <v>5.5024650085994725E-3</v>
      </c>
      <c r="H28" s="3">
        <f t="shared" ca="1" si="40"/>
        <v>9.8418281329604312E-3</v>
      </c>
      <c r="I28" s="3">
        <f t="shared" ca="1" si="40"/>
        <v>6.8392798660723937E-3</v>
      </c>
      <c r="J28" s="3">
        <f t="shared" ca="1" si="40"/>
        <v>1.3630177288603638E-2</v>
      </c>
      <c r="K28" s="3">
        <f t="shared" ca="1" si="40"/>
        <v>8.900339438126962E-3</v>
      </c>
      <c r="L28" s="3">
        <f t="shared" ca="1" si="40"/>
        <v>1.5145960609541494E-2</v>
      </c>
      <c r="M28" s="3">
        <f t="shared" ca="1" si="40"/>
        <v>1.0150852184684974E-2</v>
      </c>
      <c r="N28" s="3">
        <f t="shared" ca="1" si="40"/>
        <v>1.7112036345857114E-2</v>
      </c>
      <c r="O28" s="3">
        <f t="shared" ca="1" si="40"/>
        <v>1.2274637448645136E-2</v>
      </c>
      <c r="P28" s="3">
        <f t="shared" ca="1" si="40"/>
        <v>1.8898490210762491E-2</v>
      </c>
      <c r="Q28" s="3">
        <f t="shared" ca="1" si="40"/>
        <v>1.3963244489139243E-2</v>
      </c>
      <c r="R28" s="3">
        <f t="shared" ca="1" si="40"/>
        <v>2.2388105366261863E-2</v>
      </c>
      <c r="S28" s="3">
        <f t="shared" ca="1" si="40"/>
        <v>1.5115891148335097E-2</v>
      </c>
      <c r="T28" s="3">
        <f t="shared" ca="1" si="40"/>
        <v>2.5336634618697878E-2</v>
      </c>
      <c r="U28" s="3">
        <f t="shared" ca="1" si="40"/>
        <v>1.6265356228156717E-2</v>
      </c>
      <c r="V28" s="3">
        <f t="shared" ca="1" si="40"/>
        <v>2.7643132128602206E-2</v>
      </c>
      <c r="W28" s="3">
        <f t="shared" ca="1" si="40"/>
        <v>1.8665900796183504E-2</v>
      </c>
      <c r="X28" s="3">
        <f t="shared" ca="1" si="40"/>
        <v>3.2797122156003153E-2</v>
      </c>
      <c r="Y28" s="3">
        <f t="shared" ca="1" si="40"/>
        <v>2.8030831300711479E-2</v>
      </c>
      <c r="Z28" s="3">
        <f t="shared" ca="1" si="40"/>
        <v>4.2511659738968921E-2</v>
      </c>
      <c r="AA28" s="3">
        <f t="shared" ca="1" si="40"/>
        <v>3.5019110935936244E-2</v>
      </c>
      <c r="AB28" s="3">
        <f t="shared" ca="1" si="40"/>
        <v>4.882939859492523E-2</v>
      </c>
      <c r="AC28" s="3">
        <f t="shared" ca="1" si="40"/>
        <v>3.9433912361452265E-2</v>
      </c>
      <c r="AD28" s="3">
        <f t="shared" ca="1" si="40"/>
        <v>6.0933831114099946E-2</v>
      </c>
      <c r="AE28" s="3">
        <f t="shared" ca="1" si="40"/>
        <v>4.6977912431164087E-2</v>
      </c>
      <c r="AF28" s="3">
        <f t="shared" ca="1" si="40"/>
        <v>6.8076410212584287E-2</v>
      </c>
      <c r="AG28" s="3">
        <f t="shared" ca="1" si="40"/>
        <v>5.3020526637825902E-2</v>
      </c>
      <c r="AH28" s="3">
        <f t="shared" ca="1" si="40"/>
        <v>9.9445665159326624E-2</v>
      </c>
      <c r="AI28" s="3">
        <f t="shared" ca="1" si="40"/>
        <v>8.6959108591476153E-2</v>
      </c>
      <c r="AJ28" s="3">
        <f t="shared" ca="1" si="40"/>
        <v>0.14680013731177766</v>
      </c>
    </row>
    <row r="29" spans="1:36" x14ac:dyDescent="0.35">
      <c r="A29" t="s">
        <v>63</v>
      </c>
      <c r="B29" t="s">
        <v>61</v>
      </c>
      <c r="C29" s="4" t="s">
        <v>66</v>
      </c>
      <c r="D29" s="3">
        <f t="shared" ref="D29:AJ29" ca="1" si="41">MIN(0.99,D10+$D$3)</f>
        <v>5.7381579241636196E-3</v>
      </c>
      <c r="E29" s="3">
        <f t="shared" ca="1" si="41"/>
        <v>5.7530019331908412E-3</v>
      </c>
      <c r="F29" s="3">
        <f t="shared" ca="1" si="41"/>
        <v>8.7140461592243781E-3</v>
      </c>
      <c r="G29" s="3">
        <f t="shared" ca="1" si="41"/>
        <v>6.4104596663111021E-3</v>
      </c>
      <c r="H29" s="3">
        <f t="shared" ca="1" si="41"/>
        <v>1.079803418889811E-2</v>
      </c>
      <c r="I29" s="3">
        <f t="shared" ca="1" si="41"/>
        <v>7.7718557894016381E-3</v>
      </c>
      <c r="J29" s="3">
        <f t="shared" ca="1" si="41"/>
        <v>1.4600994063881663E-2</v>
      </c>
      <c r="K29" s="3">
        <f t="shared" ca="1" si="41"/>
        <v>9.8037101224162822E-3</v>
      </c>
      <c r="L29" s="3">
        <f t="shared" ca="1" si="41"/>
        <v>1.6143807515253992E-2</v>
      </c>
      <c r="M29" s="3">
        <f t="shared" ca="1" si="41"/>
        <v>1.1073595419630686E-2</v>
      </c>
      <c r="N29" s="3">
        <f t="shared" ca="1" si="41"/>
        <v>1.8058621914542831E-2</v>
      </c>
      <c r="O29" s="3">
        <f t="shared" ca="1" si="41"/>
        <v>1.3223107852569492E-2</v>
      </c>
      <c r="P29" s="3">
        <f t="shared" ca="1" si="41"/>
        <v>1.9847514753066602E-2</v>
      </c>
      <c r="Q29" s="3">
        <f t="shared" ca="1" si="41"/>
        <v>1.4874488541864905E-2</v>
      </c>
      <c r="R29" s="3">
        <f t="shared" ca="1" si="41"/>
        <v>2.3292268621443259E-2</v>
      </c>
      <c r="S29" s="3">
        <f t="shared" ca="1" si="41"/>
        <v>1.6045455968365846E-2</v>
      </c>
      <c r="T29" s="3">
        <f t="shared" ca="1" si="41"/>
        <v>2.626693100634276E-2</v>
      </c>
      <c r="U29" s="3">
        <f t="shared" ca="1" si="41"/>
        <v>1.7193013443737085E-2</v>
      </c>
      <c r="V29" s="3">
        <f t="shared" ca="1" si="41"/>
        <v>2.8608950403480608E-2</v>
      </c>
      <c r="W29" s="3">
        <f t="shared" ca="1" si="41"/>
        <v>1.9594399889035802E-2</v>
      </c>
      <c r="X29" s="3">
        <f t="shared" ca="1" si="41"/>
        <v>3.377493769766314E-2</v>
      </c>
      <c r="Y29" s="3">
        <f t="shared" ca="1" si="41"/>
        <v>2.9012536993972129E-2</v>
      </c>
      <c r="Z29" s="3">
        <f t="shared" ca="1" si="41"/>
        <v>4.3440237226901393E-2</v>
      </c>
      <c r="AA29" s="3">
        <f t="shared" ca="1" si="41"/>
        <v>3.5974583166414886E-2</v>
      </c>
      <c r="AB29" s="3">
        <f t="shared" ca="1" si="41"/>
        <v>4.9821233798801663E-2</v>
      </c>
      <c r="AC29" s="3">
        <f t="shared" ca="1" si="41"/>
        <v>4.0367269863840184E-2</v>
      </c>
      <c r="AD29" s="3">
        <f t="shared" ca="1" si="41"/>
        <v>6.1869738761045304E-2</v>
      </c>
      <c r="AE29" s="3">
        <f t="shared" ca="1" si="41"/>
        <v>4.7950086949822397E-2</v>
      </c>
      <c r="AF29" s="3">
        <f t="shared" ca="1" si="41"/>
        <v>6.90559471602189E-2</v>
      </c>
      <c r="AG29" s="3">
        <f t="shared" ca="1" si="41"/>
        <v>5.397429160056897E-2</v>
      </c>
      <c r="AH29" s="3">
        <f t="shared" ca="1" si="41"/>
        <v>0.10038068770399661</v>
      </c>
      <c r="AI29" s="3">
        <f t="shared" ca="1" si="41"/>
        <v>8.7876164989238503E-2</v>
      </c>
      <c r="AJ29" s="3">
        <f t="shared" ca="1" si="41"/>
        <v>0.14772257710998501</v>
      </c>
    </row>
    <row r="30" spans="1:36" x14ac:dyDescent="0.35">
      <c r="A30" t="s">
        <v>63</v>
      </c>
      <c r="B30" t="s">
        <v>61</v>
      </c>
      <c r="C30" s="4">
        <v>3</v>
      </c>
      <c r="D30" s="3">
        <f t="shared" ref="D30:AJ30" ca="1" si="42">MIN(0.99,D11+$D$3)</f>
        <v>6.6693597184554624E-3</v>
      </c>
      <c r="E30" s="3">
        <f t="shared" ca="1" si="42"/>
        <v>6.6662406218269089E-3</v>
      </c>
      <c r="F30" s="3">
        <f t="shared" ca="1" si="42"/>
        <v>9.6825920077576455E-3</v>
      </c>
      <c r="G30" s="3">
        <f t="shared" ca="1" si="42"/>
        <v>7.3400461386088018E-3</v>
      </c>
      <c r="H30" s="3">
        <f t="shared" ca="1" si="42"/>
        <v>1.1772945413609473E-2</v>
      </c>
      <c r="I30" s="3">
        <f t="shared" ca="1" si="42"/>
        <v>8.7666094867904117E-3</v>
      </c>
      <c r="J30" s="3">
        <f t="shared" ca="1" si="42"/>
        <v>1.5573344506647421E-2</v>
      </c>
      <c r="K30" s="3">
        <f t="shared" ca="1" si="42"/>
        <v>1.0748849623278274E-2</v>
      </c>
      <c r="L30" s="3">
        <f t="shared" ca="1" si="42"/>
        <v>1.7070659984928967E-2</v>
      </c>
      <c r="M30" s="3">
        <f t="shared" ca="1" si="42"/>
        <v>1.1979809971407705E-2</v>
      </c>
      <c r="N30" s="3">
        <f t="shared" ca="1" si="42"/>
        <v>1.8958931459472958E-2</v>
      </c>
      <c r="O30" s="3">
        <f t="shared" ca="1" si="42"/>
        <v>1.4202359955625962E-2</v>
      </c>
      <c r="P30" s="3">
        <f t="shared" ca="1" si="42"/>
        <v>2.077019977942593E-2</v>
      </c>
      <c r="Q30" s="3">
        <f t="shared" ca="1" si="42"/>
        <v>1.5795084812374502E-2</v>
      </c>
      <c r="R30" s="3">
        <f t="shared" ca="1" si="42"/>
        <v>2.4203671507448555E-2</v>
      </c>
      <c r="S30" s="3">
        <f t="shared" ca="1" si="42"/>
        <v>1.7017340461537155E-2</v>
      </c>
      <c r="T30" s="3">
        <f t="shared" ca="1" si="42"/>
        <v>2.725191153533538E-2</v>
      </c>
      <c r="U30" s="3">
        <f t="shared" ca="1" si="42"/>
        <v>1.8116404116747458E-2</v>
      </c>
      <c r="V30" s="3">
        <f t="shared" ca="1" si="42"/>
        <v>2.9593747347461136E-2</v>
      </c>
      <c r="W30" s="3">
        <f t="shared" ca="1" si="42"/>
        <v>2.059349993698921E-2</v>
      </c>
      <c r="X30" s="3">
        <f t="shared" ca="1" si="42"/>
        <v>3.4753372640952462E-2</v>
      </c>
      <c r="Y30" s="3">
        <f t="shared" ca="1" si="42"/>
        <v>2.9989290267113163E-2</v>
      </c>
      <c r="Z30" s="3">
        <f t="shared" ca="1" si="42"/>
        <v>4.4429384288995816E-2</v>
      </c>
      <c r="AA30" s="3">
        <f t="shared" ca="1" si="42"/>
        <v>3.6897187753335108E-2</v>
      </c>
      <c r="AB30" s="3">
        <f t="shared" ca="1" si="42"/>
        <v>5.0743369845187548E-2</v>
      </c>
      <c r="AC30" s="3">
        <f t="shared" ca="1" si="42"/>
        <v>4.1355880227485285E-2</v>
      </c>
      <c r="AD30" s="3">
        <f t="shared" ca="1" si="42"/>
        <v>6.2852457227631234E-2</v>
      </c>
      <c r="AE30" s="3">
        <f t="shared" ca="1" si="42"/>
        <v>4.8945981465828764E-2</v>
      </c>
      <c r="AF30" s="3">
        <f t="shared" ca="1" si="42"/>
        <v>7.0036065324911828E-2</v>
      </c>
      <c r="AG30" s="3">
        <f t="shared" ca="1" si="42"/>
        <v>5.4914164907409468E-2</v>
      </c>
      <c r="AH30" s="3">
        <f t="shared" ca="1" si="42"/>
        <v>0.10134730881982607</v>
      </c>
      <c r="AI30" s="3">
        <f t="shared" ca="1" si="42"/>
        <v>8.8806285983430697E-2</v>
      </c>
      <c r="AJ30" s="3">
        <f t="shared" ca="1" si="42"/>
        <v>0.14867869475161424</v>
      </c>
    </row>
    <row r="31" spans="1:36" x14ac:dyDescent="0.35">
      <c r="A31" t="s">
        <v>63</v>
      </c>
      <c r="B31" t="s">
        <v>61</v>
      </c>
      <c r="C31" s="4" t="s">
        <v>67</v>
      </c>
      <c r="D31" s="3">
        <f t="shared" ref="D31:AJ31" ca="1" si="43">MIN(0.99,D12+$D$3)</f>
        <v>7.6097843918957429E-3</v>
      </c>
      <c r="E31" s="3">
        <f t="shared" ca="1" si="43"/>
        <v>7.6370798614334183E-3</v>
      </c>
      <c r="F31" s="3">
        <f t="shared" ca="1" si="43"/>
        <v>1.0638562829574757E-2</v>
      </c>
      <c r="G31" s="3">
        <f t="shared" ca="1" si="43"/>
        <v>8.2539957885231566E-3</v>
      </c>
      <c r="H31" s="3">
        <f t="shared" ca="1" si="43"/>
        <v>1.2716007484139424E-2</v>
      </c>
      <c r="I31" s="3">
        <f t="shared" ca="1" si="43"/>
        <v>9.7145632452523764E-3</v>
      </c>
      <c r="J31" s="3">
        <f t="shared" ca="1" si="43"/>
        <v>1.6506029205336826E-2</v>
      </c>
      <c r="K31" s="3">
        <f t="shared" ca="1" si="43"/>
        <v>1.1669484781254281E-2</v>
      </c>
      <c r="L31" s="3">
        <f t="shared" ca="1" si="43"/>
        <v>1.7988946462865241E-2</v>
      </c>
      <c r="M31" s="3">
        <f t="shared" ca="1" si="43"/>
        <v>1.2954249364166427E-2</v>
      </c>
      <c r="N31" s="3">
        <f t="shared" ca="1" si="43"/>
        <v>1.9947564407299799E-2</v>
      </c>
      <c r="O31" s="3">
        <f t="shared" ca="1" si="43"/>
        <v>1.510579107340183E-2</v>
      </c>
      <c r="P31" s="3">
        <f t="shared" ca="1" si="43"/>
        <v>2.1671471193201289E-2</v>
      </c>
      <c r="Q31" s="3">
        <f t="shared" ca="1" si="43"/>
        <v>1.6763867289089188E-2</v>
      </c>
      <c r="R31" s="3">
        <f t="shared" ca="1" si="43"/>
        <v>2.5151736727915843E-2</v>
      </c>
      <c r="S31" s="3">
        <f t="shared" ca="1" si="43"/>
        <v>1.7945579010579981E-2</v>
      </c>
      <c r="T31" s="3">
        <f t="shared" ca="1" si="43"/>
        <v>2.8190276389162307E-2</v>
      </c>
      <c r="U31" s="3">
        <f t="shared" ca="1" si="43"/>
        <v>1.9050766572171821E-2</v>
      </c>
      <c r="V31" s="3">
        <f t="shared" ca="1" si="43"/>
        <v>3.0560243023749257E-2</v>
      </c>
      <c r="W31" s="3">
        <f t="shared" ca="1" si="43"/>
        <v>2.1533068446941004E-2</v>
      </c>
      <c r="X31" s="3">
        <f t="shared" ca="1" si="43"/>
        <v>3.5740686148998009E-2</v>
      </c>
      <c r="Y31" s="3">
        <f t="shared" ca="1" si="43"/>
        <v>3.0905389952033565E-2</v>
      </c>
      <c r="Z31" s="3">
        <f t="shared" ca="1" si="43"/>
        <v>4.5428403292747867E-2</v>
      </c>
      <c r="AA31" s="3">
        <f t="shared" ca="1" si="43"/>
        <v>3.7862424695422475E-2</v>
      </c>
      <c r="AB31" s="3">
        <f t="shared" ca="1" si="43"/>
        <v>5.1716111888956605E-2</v>
      </c>
      <c r="AC31" s="3">
        <f t="shared" ca="1" si="43"/>
        <v>4.2279953613157104E-2</v>
      </c>
      <c r="AD31" s="3">
        <f t="shared" ca="1" si="43"/>
        <v>6.3759064276979277E-2</v>
      </c>
      <c r="AE31" s="3">
        <f t="shared" ca="1" si="43"/>
        <v>4.985261176290981E-2</v>
      </c>
      <c r="AF31" s="3">
        <f t="shared" ca="1" si="43"/>
        <v>7.1008131839625732E-2</v>
      </c>
      <c r="AG31" s="3">
        <f t="shared" ca="1" si="43"/>
        <v>5.5821814817648134E-2</v>
      </c>
      <c r="AH31" s="3">
        <f t="shared" ca="1" si="43"/>
        <v>0.102310697728347</v>
      </c>
      <c r="AI31" s="3">
        <f t="shared" ca="1" si="43"/>
        <v>8.9726050831313131E-2</v>
      </c>
      <c r="AJ31" s="3">
        <f t="shared" ca="1" si="43"/>
        <v>0.14965119939555119</v>
      </c>
    </row>
    <row r="32" spans="1:36" x14ac:dyDescent="0.35">
      <c r="A32" t="s">
        <v>63</v>
      </c>
      <c r="B32" t="s">
        <v>61</v>
      </c>
      <c r="C32" s="4" t="s">
        <v>68</v>
      </c>
      <c r="D32" s="3">
        <f t="shared" ref="D32:AJ32" ca="1" si="44">MIN(0.99,D13+$D$3)</f>
        <v>8.5146268929214338E-3</v>
      </c>
      <c r="E32" s="3">
        <f t="shared" ca="1" si="44"/>
        <v>8.5604810516372101E-3</v>
      </c>
      <c r="F32" s="3">
        <f t="shared" ca="1" si="44"/>
        <v>1.1577015999812083E-2</v>
      </c>
      <c r="G32" s="3">
        <f t="shared" ca="1" si="44"/>
        <v>9.1699584275366647E-3</v>
      </c>
      <c r="H32" s="3">
        <f t="shared" ca="1" si="44"/>
        <v>1.3657134417089753E-2</v>
      </c>
      <c r="I32" s="3">
        <f t="shared" ca="1" si="44"/>
        <v>1.0615320269035434E-2</v>
      </c>
      <c r="J32" s="3">
        <f t="shared" ca="1" si="44"/>
        <v>1.7412456339383809E-2</v>
      </c>
      <c r="K32" s="3">
        <f t="shared" ca="1" si="44"/>
        <v>1.2614859108795812E-2</v>
      </c>
      <c r="L32" s="3">
        <f t="shared" ca="1" si="44"/>
        <v>1.8893771048734222E-2</v>
      </c>
      <c r="M32" s="3">
        <f t="shared" ca="1" si="44"/>
        <v>1.392125603717707E-2</v>
      </c>
      <c r="N32" s="3">
        <f t="shared" ca="1" si="44"/>
        <v>2.0891943223726901E-2</v>
      </c>
      <c r="O32" s="3">
        <f t="shared" ca="1" si="44"/>
        <v>1.6075533665439203E-2</v>
      </c>
      <c r="P32" s="3">
        <f t="shared" ca="1" si="44"/>
        <v>2.25881562905694E-2</v>
      </c>
      <c r="Q32" s="3">
        <f t="shared" ca="1" si="44"/>
        <v>1.7735288639125352E-2</v>
      </c>
      <c r="R32" s="3">
        <f t="shared" ca="1" si="44"/>
        <v>2.6062237012516736E-2</v>
      </c>
      <c r="S32" s="3">
        <f t="shared" ca="1" si="44"/>
        <v>1.8874124100872899E-2</v>
      </c>
      <c r="T32" s="3">
        <f t="shared" ca="1" si="44"/>
        <v>2.9185086397123309E-2</v>
      </c>
      <c r="U32" s="3">
        <f t="shared" ca="1" si="44"/>
        <v>2.0021988726707435E-2</v>
      </c>
      <c r="V32" s="3">
        <f t="shared" ca="1" si="44"/>
        <v>3.1470076140881945E-2</v>
      </c>
      <c r="W32" s="3">
        <f t="shared" ca="1" si="44"/>
        <v>2.2459328376510612E-2</v>
      </c>
      <c r="X32" s="3">
        <f t="shared" ca="1" si="44"/>
        <v>3.6721483647560074E-2</v>
      </c>
      <c r="Y32" s="3">
        <f t="shared" ca="1" si="44"/>
        <v>3.1813263717884149E-2</v>
      </c>
      <c r="Z32" s="3">
        <f t="shared" ca="1" si="44"/>
        <v>4.6335735657418567E-2</v>
      </c>
      <c r="AA32" s="3">
        <f t="shared" ca="1" si="44"/>
        <v>3.8818446840070117E-2</v>
      </c>
      <c r="AB32" s="3">
        <f t="shared" ca="1" si="44"/>
        <v>5.2628033584131387E-2</v>
      </c>
      <c r="AC32" s="3">
        <f t="shared" ca="1" si="44"/>
        <v>4.3180968156039383E-2</v>
      </c>
      <c r="AD32" s="3">
        <f t="shared" ca="1" si="44"/>
        <v>6.4673298902339485E-2</v>
      </c>
      <c r="AE32" s="3">
        <f t="shared" ca="1" si="44"/>
        <v>5.0759844697054947E-2</v>
      </c>
      <c r="AF32" s="3">
        <f t="shared" ca="1" si="44"/>
        <v>7.1939674133183626E-2</v>
      </c>
      <c r="AG32" s="3">
        <f t="shared" ca="1" si="44"/>
        <v>5.6734280172886419E-2</v>
      </c>
      <c r="AH32" s="3">
        <f t="shared" ca="1" si="44"/>
        <v>0.10321538888427549</v>
      </c>
      <c r="AI32" s="3">
        <f t="shared" ca="1" si="44"/>
        <v>9.0725387029693072E-2</v>
      </c>
      <c r="AJ32" s="3">
        <f t="shared" ca="1" si="44"/>
        <v>0.15060688788931284</v>
      </c>
    </row>
    <row r="33" spans="1:36" x14ac:dyDescent="0.35">
      <c r="A33" t="s">
        <v>63</v>
      </c>
      <c r="B33" t="s">
        <v>61</v>
      </c>
      <c r="C33" s="4">
        <v>4</v>
      </c>
      <c r="D33" s="3">
        <f t="shared" ref="D33:AJ33" ca="1" si="45">MIN(0.99,D14+$D$3)</f>
        <v>9.4345991474832601E-3</v>
      </c>
      <c r="E33" s="3">
        <f t="shared" ca="1" si="45"/>
        <v>9.4698961238682128E-3</v>
      </c>
      <c r="F33" s="3">
        <f t="shared" ca="1" si="45"/>
        <v>1.2548285470761346E-2</v>
      </c>
      <c r="G33" s="3">
        <f t="shared" ca="1" si="45"/>
        <v>1.0114529993795227E-2</v>
      </c>
      <c r="H33" s="3">
        <f t="shared" ca="1" si="45"/>
        <v>1.4604507945391892E-2</v>
      </c>
      <c r="I33" s="3">
        <f t="shared" ca="1" si="45"/>
        <v>1.158713163992682E-2</v>
      </c>
      <c r="J33" s="3">
        <f t="shared" ca="1" si="45"/>
        <v>1.838586073448778E-2</v>
      </c>
      <c r="K33" s="3">
        <f t="shared" ca="1" si="45"/>
        <v>1.3555807675196159E-2</v>
      </c>
      <c r="L33" s="3">
        <f t="shared" ca="1" si="45"/>
        <v>1.9798101036850993E-2</v>
      </c>
      <c r="M33" s="3">
        <f t="shared" ca="1" si="45"/>
        <v>1.484390495561461E-2</v>
      </c>
      <c r="N33" s="3">
        <f t="shared" ca="1" si="45"/>
        <v>2.1816789454752038E-2</v>
      </c>
      <c r="O33" s="3">
        <f t="shared" ca="1" si="45"/>
        <v>1.703300166903083E-2</v>
      </c>
      <c r="P33" s="3">
        <f t="shared" ca="1" si="45"/>
        <v>2.358333061256267E-2</v>
      </c>
      <c r="Q33" s="3">
        <f t="shared" ca="1" si="45"/>
        <v>1.8649984960146235E-2</v>
      </c>
      <c r="R33" s="3">
        <f t="shared" ca="1" si="45"/>
        <v>2.7039073792018066E-2</v>
      </c>
      <c r="S33" s="3">
        <f t="shared" ca="1" si="45"/>
        <v>1.9864880486290946E-2</v>
      </c>
      <c r="T33" s="3">
        <f t="shared" ca="1" si="45"/>
        <v>3.0161731581030748E-2</v>
      </c>
      <c r="U33" s="3">
        <f t="shared" ca="1" si="45"/>
        <v>2.1000614096510089E-2</v>
      </c>
      <c r="V33" s="3">
        <f t="shared" ca="1" si="45"/>
        <v>3.2420192427099058E-2</v>
      </c>
      <c r="W33" s="3">
        <f t="shared" ca="1" si="45"/>
        <v>2.340969936801016E-2</v>
      </c>
      <c r="X33" s="3">
        <f t="shared" ca="1" si="45"/>
        <v>3.7708701127595133E-2</v>
      </c>
      <c r="Y33" s="3">
        <f t="shared" ca="1" si="45"/>
        <v>3.2765374166741801E-2</v>
      </c>
      <c r="Z33" s="3">
        <f t="shared" ca="1" si="45"/>
        <v>4.7270428216570001E-2</v>
      </c>
      <c r="AA33" s="3">
        <f t="shared" ca="1" si="45"/>
        <v>3.9753183848065712E-2</v>
      </c>
      <c r="AB33" s="3">
        <f t="shared" ca="1" si="45"/>
        <v>5.3542984051629321E-2</v>
      </c>
      <c r="AC33" s="3">
        <f t="shared" ca="1" si="45"/>
        <v>4.4154279584718653E-2</v>
      </c>
      <c r="AD33" s="3">
        <f t="shared" ca="1" si="45"/>
        <v>6.5586704413309563E-2</v>
      </c>
      <c r="AE33" s="3">
        <f t="shared" ca="1" si="45"/>
        <v>5.1662484970836184E-2</v>
      </c>
      <c r="AF33" s="3">
        <f t="shared" ca="1" si="45"/>
        <v>7.2867610315478934E-2</v>
      </c>
      <c r="AG33" s="3">
        <f t="shared" ca="1" si="45"/>
        <v>5.7695770139133191E-2</v>
      </c>
      <c r="AH33" s="3">
        <f t="shared" ca="1" si="45"/>
        <v>0.10420260001787468</v>
      </c>
      <c r="AI33" s="3">
        <f t="shared" ca="1" si="45"/>
        <v>9.1693290727691321E-2</v>
      </c>
      <c r="AJ33" s="3">
        <f t="shared" ca="1" si="45"/>
        <v>0.15156612343656839</v>
      </c>
    </row>
    <row r="34" spans="1:36" x14ac:dyDescent="0.35">
      <c r="A34" t="s">
        <v>63</v>
      </c>
      <c r="B34" t="s">
        <v>61</v>
      </c>
      <c r="C34" s="4" t="s">
        <v>69</v>
      </c>
      <c r="D34" s="3">
        <f t="shared" ref="D34:AJ34" ca="1" si="46">MIN(0.99,D15+$D$3)</f>
        <v>1.0408185418172212E-2</v>
      </c>
      <c r="E34" s="3">
        <f t="shared" ca="1" si="46"/>
        <v>1.0441696195564388E-2</v>
      </c>
      <c r="F34" s="3">
        <f t="shared" ca="1" si="46"/>
        <v>1.3511172737799854E-2</v>
      </c>
      <c r="G34" s="3">
        <f t="shared" ca="1" si="46"/>
        <v>1.1058594454961986E-2</v>
      </c>
      <c r="H34" s="3">
        <f t="shared" ca="1" si="46"/>
        <v>1.553835575518614E-2</v>
      </c>
      <c r="I34" s="3">
        <f t="shared" ca="1" si="46"/>
        <v>1.2518066694897658E-2</v>
      </c>
      <c r="J34" s="3">
        <f t="shared" ca="1" si="46"/>
        <v>1.9302681791716188E-2</v>
      </c>
      <c r="K34" s="3">
        <f t="shared" ca="1" si="46"/>
        <v>1.4530367286194099E-2</v>
      </c>
      <c r="L34" s="3">
        <f t="shared" ca="1" si="46"/>
        <v>2.0779489932963306E-2</v>
      </c>
      <c r="M34" s="3">
        <f t="shared" ca="1" si="46"/>
        <v>1.5779153519085883E-2</v>
      </c>
      <c r="N34" s="3">
        <f t="shared" ca="1" si="46"/>
        <v>2.2771803780739657E-2</v>
      </c>
      <c r="O34" s="3">
        <f t="shared" ca="1" si="46"/>
        <v>1.7976346235376004E-2</v>
      </c>
      <c r="P34" s="3">
        <f t="shared" ca="1" si="46"/>
        <v>2.4546762219440202E-2</v>
      </c>
      <c r="Q34" s="3">
        <f t="shared" ca="1" si="46"/>
        <v>1.9559259860613659E-2</v>
      </c>
      <c r="R34" s="3">
        <f t="shared" ca="1" si="46"/>
        <v>2.7939231392549582E-2</v>
      </c>
      <c r="S34" s="3">
        <f t="shared" ca="1" si="46"/>
        <v>2.0796291657058773E-2</v>
      </c>
      <c r="T34" s="3">
        <f t="shared" ca="1" si="46"/>
        <v>3.110103686689792E-2</v>
      </c>
      <c r="U34" s="3">
        <f t="shared" ca="1" si="46"/>
        <v>2.1957882205879554E-2</v>
      </c>
      <c r="V34" s="3">
        <f t="shared" ca="1" si="46"/>
        <v>3.3408106648694723E-2</v>
      </c>
      <c r="W34" s="3">
        <f t="shared" ca="1" si="46"/>
        <v>2.4409102240684398E-2</v>
      </c>
      <c r="X34" s="3">
        <f t="shared" ca="1" si="46"/>
        <v>3.8646229357098445E-2</v>
      </c>
      <c r="Y34" s="3">
        <f t="shared" ca="1" si="46"/>
        <v>3.3689596708190821E-2</v>
      </c>
      <c r="Z34" s="3">
        <f t="shared" ca="1" si="46"/>
        <v>4.8255761975697531E-2</v>
      </c>
      <c r="AA34" s="3">
        <f t="shared" ca="1" si="46"/>
        <v>4.0745541297092028E-2</v>
      </c>
      <c r="AB34" s="3">
        <f t="shared" ca="1" si="46"/>
        <v>5.4448325725640463E-2</v>
      </c>
      <c r="AC34" s="3">
        <f t="shared" ca="1" si="46"/>
        <v>4.5142096348510997E-2</v>
      </c>
      <c r="AD34" s="3">
        <f t="shared" ca="1" si="46"/>
        <v>6.6567941771360536E-2</v>
      </c>
      <c r="AE34" s="3">
        <f t="shared" ca="1" si="46"/>
        <v>5.2607974614669387E-2</v>
      </c>
      <c r="AF34" s="3">
        <f t="shared" ca="1" si="46"/>
        <v>7.3852071641408237E-2</v>
      </c>
      <c r="AG34" s="3">
        <f t="shared" ca="1" si="46"/>
        <v>5.8635292898063782E-2</v>
      </c>
      <c r="AH34" s="3">
        <f t="shared" ca="1" si="46"/>
        <v>0.10515324735661818</v>
      </c>
      <c r="AI34" s="3">
        <f t="shared" ca="1" si="46"/>
        <v>9.2627992432679884E-2</v>
      </c>
      <c r="AJ34" s="3">
        <f t="shared" ca="1" si="46"/>
        <v>0.1525400331152611</v>
      </c>
    </row>
    <row r="35" spans="1:36" x14ac:dyDescent="0.35">
      <c r="A35" t="s">
        <v>63</v>
      </c>
      <c r="B35" t="s">
        <v>61</v>
      </c>
      <c r="C35" s="4" t="s">
        <v>70</v>
      </c>
      <c r="D35" s="3">
        <f t="shared" ref="D35:AJ35" ca="1" si="47">MIN(0.99,D16+$D$3)</f>
        <v>1.1317542773828577E-2</v>
      </c>
      <c r="E35" s="3">
        <f t="shared" ca="1" si="47"/>
        <v>1.140703915210145E-2</v>
      </c>
      <c r="F35" s="3">
        <f t="shared" ca="1" si="47"/>
        <v>1.4414772533662329E-2</v>
      </c>
      <c r="G35" s="3">
        <f t="shared" ca="1" si="47"/>
        <v>1.2022240144337931E-2</v>
      </c>
      <c r="H35" s="3">
        <f t="shared" ca="1" si="47"/>
        <v>1.6522354140553364E-2</v>
      </c>
      <c r="I35" s="3">
        <f t="shared" ca="1" si="47"/>
        <v>1.3447846504871595E-2</v>
      </c>
      <c r="J35" s="3">
        <f t="shared" ca="1" si="47"/>
        <v>2.0294863382542643E-2</v>
      </c>
      <c r="K35" s="3">
        <f t="shared" ca="1" si="47"/>
        <v>1.5465800133560623E-2</v>
      </c>
      <c r="L35" s="3">
        <f t="shared" ca="1" si="47"/>
        <v>2.1735027543955666E-2</v>
      </c>
      <c r="M35" s="3">
        <f t="shared" ca="1" si="47"/>
        <v>1.6713112513556359E-2</v>
      </c>
      <c r="N35" s="3">
        <f t="shared" ca="1" si="47"/>
        <v>2.3672114160175773E-2</v>
      </c>
      <c r="O35" s="3">
        <f t="shared" ca="1" si="47"/>
        <v>1.8956084208662415E-2</v>
      </c>
      <c r="P35" s="3">
        <f t="shared" ca="1" si="47"/>
        <v>2.5474623554382046E-2</v>
      </c>
      <c r="Q35" s="3">
        <f t="shared" ca="1" si="47"/>
        <v>2.0541999312176581E-2</v>
      </c>
      <c r="R35" s="3">
        <f t="shared" ca="1" si="47"/>
        <v>2.8869778407794384E-2</v>
      </c>
      <c r="S35" s="3">
        <f t="shared" ca="1" si="47"/>
        <v>2.174487619700476E-2</v>
      </c>
      <c r="T35" s="3">
        <f t="shared" ca="1" si="47"/>
        <v>3.2022845908059358E-2</v>
      </c>
      <c r="U35" s="3">
        <f t="shared" ca="1" si="47"/>
        <v>2.2951980035256562E-2</v>
      </c>
      <c r="V35" s="3">
        <f t="shared" ca="1" si="47"/>
        <v>3.440284182352641E-2</v>
      </c>
      <c r="W35" s="3">
        <f t="shared" ca="1" si="47"/>
        <v>2.5402258690421318E-2</v>
      </c>
      <c r="X35" s="3">
        <f t="shared" ca="1" si="47"/>
        <v>3.956790259214945E-2</v>
      </c>
      <c r="Y35" s="3">
        <f t="shared" ca="1" si="47"/>
        <v>3.4620877961553324E-2</v>
      </c>
      <c r="Z35" s="3">
        <f t="shared" ca="1" si="47"/>
        <v>4.9193254216070799E-2</v>
      </c>
      <c r="AA35" s="3">
        <f t="shared" ca="1" si="47"/>
        <v>4.1728623610690942E-2</v>
      </c>
      <c r="AB35" s="3">
        <f t="shared" ca="1" si="47"/>
        <v>5.5418983494675687E-2</v>
      </c>
      <c r="AC35" s="3">
        <f t="shared" ca="1" si="47"/>
        <v>4.6105130423717167E-2</v>
      </c>
      <c r="AD35" s="3">
        <f t="shared" ca="1" si="47"/>
        <v>6.7561101797659895E-2</v>
      </c>
      <c r="AE35" s="3">
        <f t="shared" ca="1" si="47"/>
        <v>5.3559536327821511E-2</v>
      </c>
      <c r="AF35" s="3">
        <f t="shared" ca="1" si="47"/>
        <v>7.4799853274363698E-2</v>
      </c>
      <c r="AG35" s="3">
        <f t="shared" ca="1" si="47"/>
        <v>5.9564960024732078E-2</v>
      </c>
      <c r="AH35" s="3">
        <f t="shared" ca="1" si="47"/>
        <v>0.10613661533902355</v>
      </c>
      <c r="AI35" s="3">
        <f t="shared" ca="1" si="47"/>
        <v>9.3545604322796239E-2</v>
      </c>
      <c r="AJ35" s="3">
        <f t="shared" ca="1" si="47"/>
        <v>0.15349710609399017</v>
      </c>
    </row>
    <row r="36" spans="1:36" x14ac:dyDescent="0.35">
      <c r="A36" t="s">
        <v>63</v>
      </c>
      <c r="B36" t="s">
        <v>61</v>
      </c>
      <c r="C36" s="4">
        <v>5</v>
      </c>
      <c r="D36" s="3">
        <f t="shared" ref="D36:AJ36" ca="1" si="48">MIN(0.99,D17+$D$3)</f>
        <v>1.2278276665449686E-2</v>
      </c>
      <c r="E36" s="3">
        <f t="shared" ca="1" si="48"/>
        <v>1.2350397253026016E-2</v>
      </c>
      <c r="F36" s="3">
        <f t="shared" ca="1" si="48"/>
        <v>1.5352751453999593E-2</v>
      </c>
      <c r="G36" s="3">
        <f t="shared" ca="1" si="48"/>
        <v>1.2963690130217097E-2</v>
      </c>
      <c r="H36" s="3">
        <f t="shared" ca="1" si="48"/>
        <v>1.7497164379325195E-2</v>
      </c>
      <c r="I36" s="3">
        <f t="shared" ca="1" si="48"/>
        <v>1.4348659280301396E-2</v>
      </c>
      <c r="J36" s="3">
        <f t="shared" ca="1" si="48"/>
        <v>2.1284793965583276E-2</v>
      </c>
      <c r="K36" s="3">
        <f t="shared" ca="1" si="48"/>
        <v>1.6393352112012073E-2</v>
      </c>
      <c r="L36" s="3">
        <f t="shared" ca="1" si="48"/>
        <v>2.273123794280419E-2</v>
      </c>
      <c r="M36" s="3">
        <f t="shared" ca="1" si="48"/>
        <v>1.7649145729671297E-2</v>
      </c>
      <c r="N36" s="3">
        <f t="shared" ca="1" si="48"/>
        <v>2.4626897571473162E-2</v>
      </c>
      <c r="O36" s="3">
        <f t="shared" ca="1" si="48"/>
        <v>1.9887852778356772E-2</v>
      </c>
      <c r="P36" s="3">
        <f t="shared" ca="1" si="48"/>
        <v>2.6440034308008651E-2</v>
      </c>
      <c r="Q36" s="3">
        <f t="shared" ca="1" si="48"/>
        <v>2.1481320900152014E-2</v>
      </c>
      <c r="R36" s="3">
        <f t="shared" ca="1" si="48"/>
        <v>2.9797862299913314E-2</v>
      </c>
      <c r="S36" s="3">
        <f t="shared" ca="1" si="48"/>
        <v>2.2744245949930911E-2</v>
      </c>
      <c r="T36" s="3">
        <f t="shared" ca="1" si="48"/>
        <v>3.2974457777620148E-2</v>
      </c>
      <c r="U36" s="3">
        <f t="shared" ca="1" si="48"/>
        <v>2.389978103464864E-2</v>
      </c>
      <c r="V36" s="3">
        <f t="shared" ca="1" si="48"/>
        <v>3.5332998605004419E-2</v>
      </c>
      <c r="W36" s="3">
        <f t="shared" ca="1" si="48"/>
        <v>2.6342358039597658E-2</v>
      </c>
      <c r="X36" s="3">
        <f t="shared" ca="1" si="48"/>
        <v>4.0482059374819128E-2</v>
      </c>
      <c r="Y36" s="3">
        <f t="shared" ca="1" si="48"/>
        <v>3.5569242562660017E-2</v>
      </c>
      <c r="Z36" s="3">
        <f t="shared" ca="1" si="48"/>
        <v>5.0161754567345548E-2</v>
      </c>
      <c r="AA36" s="3">
        <f t="shared" ca="1" si="48"/>
        <v>4.2695991764628349E-2</v>
      </c>
      <c r="AB36" s="3">
        <f t="shared" ca="1" si="48"/>
        <v>5.6339331469253247E-2</v>
      </c>
      <c r="AC36" s="3">
        <f t="shared" ca="1" si="48"/>
        <v>4.7043196818381858E-2</v>
      </c>
      <c r="AD36" s="3">
        <f t="shared" ca="1" si="48"/>
        <v>6.8498224781989886E-2</v>
      </c>
      <c r="AE36" s="3">
        <f t="shared" ca="1" si="48"/>
        <v>5.4520924554888134E-2</v>
      </c>
      <c r="AF36" s="3">
        <f t="shared" ca="1" si="48"/>
        <v>7.5765495561987681E-2</v>
      </c>
      <c r="AG36" s="3">
        <f t="shared" ca="1" si="48"/>
        <v>6.0485286242682026E-2</v>
      </c>
      <c r="AH36" s="3">
        <f t="shared" ca="1" si="48"/>
        <v>0.10706357850662544</v>
      </c>
      <c r="AI36" s="3">
        <f t="shared" ca="1" si="48"/>
        <v>9.4478377358677951E-2</v>
      </c>
      <c r="AJ36" s="3">
        <f t="shared" ca="1" si="48"/>
        <v>0.15443229218851601</v>
      </c>
    </row>
    <row r="37" spans="1:36" x14ac:dyDescent="0.35">
      <c r="A37" t="s">
        <v>63</v>
      </c>
      <c r="B37" t="s">
        <v>61</v>
      </c>
      <c r="C37" s="4" t="s">
        <v>71</v>
      </c>
      <c r="D37" s="3">
        <f t="shared" ref="D37:AJ37" ca="1" si="49">MIN(0.99,D18+$D$3)</f>
        <v>1.3212129306174887E-2</v>
      </c>
      <c r="E37" s="3">
        <f t="shared" ca="1" si="49"/>
        <v>1.334508717552263E-2</v>
      </c>
      <c r="F37" s="3">
        <f t="shared" ca="1" si="49"/>
        <v>1.6339071726916687E-2</v>
      </c>
      <c r="G37" s="3">
        <f t="shared" ca="1" si="49"/>
        <v>1.3883523303339754E-2</v>
      </c>
      <c r="H37" s="3">
        <f t="shared" ca="1" si="49"/>
        <v>1.8490949478404132E-2</v>
      </c>
      <c r="I37" s="3">
        <f t="shared" ca="1" si="49"/>
        <v>1.5252056401569528E-2</v>
      </c>
      <c r="J37" s="3">
        <f t="shared" ca="1" si="49"/>
        <v>2.2200645433838047E-2</v>
      </c>
      <c r="K37" s="3">
        <f t="shared" ca="1" si="49"/>
        <v>1.7351370924962986E-2</v>
      </c>
      <c r="L37" s="3">
        <f t="shared" ca="1" si="49"/>
        <v>2.3693984896337422E-2</v>
      </c>
      <c r="M37" s="3">
        <f t="shared" ca="1" si="49"/>
        <v>1.8612620384975166E-2</v>
      </c>
      <c r="N37" s="3">
        <f t="shared" ca="1" si="49"/>
        <v>2.5624602150411714E-2</v>
      </c>
      <c r="O37" s="3">
        <f t="shared" ca="1" si="49"/>
        <v>2.0811645434830318E-2</v>
      </c>
      <c r="P37" s="3">
        <f t="shared" ca="1" si="49"/>
        <v>2.7350979373547881E-2</v>
      </c>
      <c r="Q37" s="3">
        <f t="shared" ca="1" si="49"/>
        <v>2.240737771692285E-2</v>
      </c>
      <c r="R37" s="3">
        <f t="shared" ca="1" si="49"/>
        <v>3.0727355535961967E-2</v>
      </c>
      <c r="S37" s="3">
        <f t="shared" ca="1" si="49"/>
        <v>2.3733348931272436E-2</v>
      </c>
      <c r="T37" s="3">
        <f t="shared" ca="1" si="49"/>
        <v>3.3963322534819179E-2</v>
      </c>
      <c r="U37" s="3">
        <f t="shared" ca="1" si="49"/>
        <v>2.4897869207785302E-2</v>
      </c>
      <c r="V37" s="3">
        <f t="shared" ca="1" si="49"/>
        <v>3.6245932007960731E-2</v>
      </c>
      <c r="W37" s="3">
        <f t="shared" ca="1" si="49"/>
        <v>2.7317228953962054E-2</v>
      </c>
      <c r="X37" s="3">
        <f t="shared" ca="1" si="49"/>
        <v>4.1442640487239564E-2</v>
      </c>
      <c r="Y37" s="3">
        <f t="shared" ca="1" si="49"/>
        <v>3.6549016605743487E-2</v>
      </c>
      <c r="Z37" s="3">
        <f t="shared" ca="1" si="49"/>
        <v>5.1154473615062188E-2</v>
      </c>
      <c r="AA37" s="3">
        <f t="shared" ca="1" si="49"/>
        <v>4.3621092780161207E-2</v>
      </c>
      <c r="AB37" s="3">
        <f t="shared" ca="1" si="49"/>
        <v>5.7261489218278609E-2</v>
      </c>
      <c r="AC37" s="3">
        <f t="shared" ca="1" si="49"/>
        <v>4.7955665569841564E-2</v>
      </c>
      <c r="AD37" s="3">
        <f t="shared" ca="1" si="49"/>
        <v>6.9433402294950611E-2</v>
      </c>
      <c r="AE37" s="3">
        <f t="shared" ca="1" si="49"/>
        <v>5.5447459554089522E-2</v>
      </c>
      <c r="AF37" s="3">
        <f t="shared" ca="1" si="49"/>
        <v>7.666789281871883E-2</v>
      </c>
      <c r="AG37" s="3">
        <f t="shared" ca="1" si="49"/>
        <v>6.1470211501170109E-2</v>
      </c>
      <c r="AH37" s="3">
        <f t="shared" ca="1" si="49"/>
        <v>0.10804945136478938</v>
      </c>
      <c r="AI37" s="3">
        <f t="shared" ca="1" si="49"/>
        <v>9.5459070922661662E-2</v>
      </c>
      <c r="AJ37" s="3">
        <f t="shared" ca="1" si="49"/>
        <v>0.15535566424944286</v>
      </c>
    </row>
    <row r="38" spans="1:36" x14ac:dyDescent="0.35">
      <c r="A38" t="s">
        <v>63</v>
      </c>
      <c r="B38" t="s">
        <v>61</v>
      </c>
      <c r="C38" s="4" t="s">
        <v>72</v>
      </c>
      <c r="D38" s="3">
        <f t="shared" ref="D38:AJ38" ca="1" si="50">MIN(0.99,D19+$D$3)</f>
        <v>1.4128185099006315E-2</v>
      </c>
      <c r="E38" s="3">
        <f t="shared" ca="1" si="50"/>
        <v>1.4247151516542805E-2</v>
      </c>
      <c r="F38" s="3">
        <f t="shared" ca="1" si="50"/>
        <v>1.7242444686108218E-2</v>
      </c>
      <c r="G38" s="3">
        <f t="shared" ca="1" si="50"/>
        <v>1.4856606566587483E-2</v>
      </c>
      <c r="H38" s="3">
        <f t="shared" ca="1" si="50"/>
        <v>1.9442503313797044E-2</v>
      </c>
      <c r="I38" s="3">
        <f t="shared" ca="1" si="50"/>
        <v>1.6197687483148832E-2</v>
      </c>
      <c r="J38" s="3">
        <f t="shared" ca="1" si="50"/>
        <v>2.3197168872614936E-2</v>
      </c>
      <c r="K38" s="3">
        <f t="shared" ca="1" si="50"/>
        <v>1.8300935379595328E-2</v>
      </c>
      <c r="L38" s="3">
        <f t="shared" ca="1" si="50"/>
        <v>2.4617443192611832E-2</v>
      </c>
      <c r="M38" s="3">
        <f t="shared" ca="1" si="50"/>
        <v>1.954036592614727E-2</v>
      </c>
      <c r="N38" s="3">
        <f t="shared" ca="1" si="50"/>
        <v>2.6535343661582982E-2</v>
      </c>
      <c r="O38" s="3">
        <f t="shared" ca="1" si="50"/>
        <v>2.1739832601578517E-2</v>
      </c>
      <c r="P38" s="3">
        <f t="shared" ca="1" si="50"/>
        <v>2.8307615178540114E-2</v>
      </c>
      <c r="Q38" s="3">
        <f t="shared" ca="1" si="50"/>
        <v>2.332580382273244E-2</v>
      </c>
      <c r="R38" s="3">
        <f t="shared" ca="1" si="50"/>
        <v>3.1629303917077363E-2</v>
      </c>
      <c r="S38" s="3">
        <f t="shared" ca="1" si="50"/>
        <v>2.4664726196192397E-2</v>
      </c>
      <c r="T38" s="3">
        <f t="shared" ca="1" si="50"/>
        <v>3.4915872129533031E-2</v>
      </c>
      <c r="U38" s="3">
        <f t="shared" ca="1" si="50"/>
        <v>2.5823514320029002E-2</v>
      </c>
      <c r="V38" s="3">
        <f t="shared" ca="1" si="50"/>
        <v>3.7203515218075162E-2</v>
      </c>
      <c r="W38" s="3">
        <f t="shared" ca="1" si="50"/>
        <v>2.8231918438233597E-2</v>
      </c>
      <c r="X38" s="3">
        <f t="shared" ca="1" si="50"/>
        <v>4.2425487831070571E-2</v>
      </c>
      <c r="Y38" s="3">
        <f t="shared" ca="1" si="50"/>
        <v>3.7473784649613706E-2</v>
      </c>
      <c r="Z38" s="3">
        <f t="shared" ca="1" si="50"/>
        <v>5.2055830245674804E-2</v>
      </c>
      <c r="AA38" s="3">
        <f t="shared" ca="1" si="50"/>
        <v>4.4586454249275501E-2</v>
      </c>
      <c r="AB38" s="3">
        <f t="shared" ca="1" si="50"/>
        <v>5.8217342464777583E-2</v>
      </c>
      <c r="AC38" s="3">
        <f t="shared" ca="1" si="50"/>
        <v>4.895146395521504E-2</v>
      </c>
      <c r="AD38" s="3">
        <f t="shared" ca="1" si="50"/>
        <v>7.0370000945281785E-2</v>
      </c>
      <c r="AE38" s="3">
        <f t="shared" ca="1" si="50"/>
        <v>5.6377878909033383E-2</v>
      </c>
      <c r="AF38" s="3">
        <f t="shared" ca="1" si="50"/>
        <v>7.7641492006359392E-2</v>
      </c>
      <c r="AG38" s="3">
        <f t="shared" ca="1" si="50"/>
        <v>6.2441867573437941E-2</v>
      </c>
      <c r="AH38" s="3">
        <f t="shared" ca="1" si="50"/>
        <v>0.1089927086563124</v>
      </c>
      <c r="AI38" s="3">
        <f t="shared" ca="1" si="50"/>
        <v>9.6428481025978494E-2</v>
      </c>
      <c r="AJ38" s="3">
        <f t="shared" ca="1" si="50"/>
        <v>0.15633425837581455</v>
      </c>
    </row>
    <row r="39" spans="1:36" x14ac:dyDescent="0.35">
      <c r="A39" t="s">
        <v>63</v>
      </c>
      <c r="B39" t="s">
        <v>61</v>
      </c>
      <c r="C39" s="4">
        <v>6</v>
      </c>
      <c r="D39" s="3">
        <f t="shared" ref="D39:AJ39" ca="1" si="51">MIN(0.99,D20+$D$3)</f>
        <v>1.5051078000001366E-2</v>
      </c>
      <c r="E39" s="3">
        <f t="shared" ca="1" si="51"/>
        <v>1.5201160510151458E-2</v>
      </c>
      <c r="F39" s="3">
        <f t="shared" ca="1" si="51"/>
        <v>1.8153316338432444E-2</v>
      </c>
      <c r="G39" s="3">
        <f t="shared" ca="1" si="51"/>
        <v>1.5832942048262067E-2</v>
      </c>
      <c r="H39" s="3">
        <f t="shared" ca="1" si="51"/>
        <v>2.0395225024892331E-2</v>
      </c>
      <c r="I39" s="3">
        <f t="shared" ca="1" si="51"/>
        <v>1.7100007425419946E-2</v>
      </c>
      <c r="J39" s="3">
        <f t="shared" ca="1" si="51"/>
        <v>2.4127650876456921E-2</v>
      </c>
      <c r="K39" s="3">
        <f t="shared" ca="1" si="51"/>
        <v>1.9291575939216224E-2</v>
      </c>
      <c r="L39" s="3">
        <f t="shared" ca="1" si="51"/>
        <v>2.5586231582569487E-2</v>
      </c>
      <c r="M39" s="3">
        <f t="shared" ca="1" si="51"/>
        <v>2.0501244944021713E-2</v>
      </c>
      <c r="N39" s="3">
        <f t="shared" ca="1" si="51"/>
        <v>2.7459755313059601E-2</v>
      </c>
      <c r="O39" s="3">
        <f t="shared" ca="1" si="51"/>
        <v>2.2715274962924473E-2</v>
      </c>
      <c r="P39" s="3">
        <f t="shared" ca="1" si="51"/>
        <v>2.923120755482058E-2</v>
      </c>
      <c r="Q39" s="3">
        <f t="shared" ca="1" si="51"/>
        <v>2.429881026320203E-2</v>
      </c>
      <c r="R39" s="3">
        <f t="shared" ca="1" si="51"/>
        <v>3.2531895968191803E-2</v>
      </c>
      <c r="S39" s="3">
        <f t="shared" ca="1" si="51"/>
        <v>2.564509598707488E-2</v>
      </c>
      <c r="T39" s="3">
        <f t="shared" ca="1" si="51"/>
        <v>3.5882931097634088E-2</v>
      </c>
      <c r="U39" s="3">
        <f t="shared" ca="1" si="51"/>
        <v>2.6741613395099052E-2</v>
      </c>
      <c r="V39" s="3">
        <f t="shared" ca="1" si="51"/>
        <v>3.8169494192171353E-2</v>
      </c>
      <c r="W39" s="3">
        <f t="shared" ca="1" si="51"/>
        <v>2.9192383888055055E-2</v>
      </c>
      <c r="X39" s="3">
        <f t="shared" ca="1" si="51"/>
        <v>4.3403332879757159E-2</v>
      </c>
      <c r="Y39" s="3">
        <f t="shared" ca="1" si="51"/>
        <v>3.8378109657716417E-2</v>
      </c>
      <c r="Z39" s="3">
        <f t="shared" ca="1" si="51"/>
        <v>5.2958267387872487E-2</v>
      </c>
      <c r="AA39" s="3">
        <f t="shared" ca="1" si="51"/>
        <v>4.5557768322229186E-2</v>
      </c>
      <c r="AB39" s="3">
        <f t="shared" ca="1" si="51"/>
        <v>5.9212420651349615E-2</v>
      </c>
      <c r="AC39" s="3">
        <f t="shared" ca="1" si="51"/>
        <v>4.9887769107564622E-2</v>
      </c>
      <c r="AD39" s="3">
        <f t="shared" ca="1" si="51"/>
        <v>7.1293805489971857E-2</v>
      </c>
      <c r="AE39" s="3">
        <f t="shared" ca="1" si="51"/>
        <v>5.7282633303114054E-2</v>
      </c>
      <c r="AF39" s="3">
        <f t="shared" ca="1" si="51"/>
        <v>7.861493331166125E-2</v>
      </c>
      <c r="AG39" s="3">
        <f t="shared" ca="1" si="51"/>
        <v>6.3368838791105705E-2</v>
      </c>
      <c r="AH39" s="3">
        <f t="shared" ca="1" si="51"/>
        <v>0.10990584860430748</v>
      </c>
      <c r="AI39" s="3">
        <f t="shared" ca="1" si="51"/>
        <v>9.7354271388211511E-2</v>
      </c>
      <c r="AJ39" s="3">
        <f t="shared" ca="1" si="51"/>
        <v>0.15730918441522249</v>
      </c>
    </row>
    <row r="40" spans="1:36" x14ac:dyDescent="0.35">
      <c r="A40" t="s">
        <v>63</v>
      </c>
      <c r="B40" t="s">
        <v>61</v>
      </c>
      <c r="C40" s="4" t="s">
        <v>73</v>
      </c>
      <c r="D40" s="3">
        <f t="shared" ref="D40:AJ40" ca="1" si="52">MIN(0.99,D21+$D$3)</f>
        <v>1.604766245557503E-2</v>
      </c>
      <c r="E40" s="3">
        <f t="shared" ca="1" si="52"/>
        <v>1.6167957091932562E-2</v>
      </c>
      <c r="F40" s="3">
        <f t="shared" ca="1" si="52"/>
        <v>1.9134386193298512E-2</v>
      </c>
      <c r="G40" s="3">
        <f t="shared" ca="1" si="52"/>
        <v>1.6734548024131855E-2</v>
      </c>
      <c r="H40" s="3">
        <f t="shared" ca="1" si="52"/>
        <v>2.138314270577971E-2</v>
      </c>
      <c r="I40" s="3">
        <f t="shared" ca="1" si="52"/>
        <v>1.8070177772854117E-2</v>
      </c>
      <c r="J40" s="3">
        <f t="shared" ca="1" si="52"/>
        <v>2.5116681581614755E-2</v>
      </c>
      <c r="K40" s="3">
        <f t="shared" ca="1" si="52"/>
        <v>2.0269726577750117E-2</v>
      </c>
      <c r="L40" s="3">
        <f t="shared" ca="1" si="52"/>
        <v>2.6496602354504684E-2</v>
      </c>
      <c r="M40" s="3">
        <f t="shared" ca="1" si="52"/>
        <v>2.1496920851320791E-2</v>
      </c>
      <c r="N40" s="3">
        <f t="shared" ca="1" si="52"/>
        <v>2.8439036848392656E-2</v>
      </c>
      <c r="O40" s="3">
        <f t="shared" ca="1" si="52"/>
        <v>2.3686868008271411E-2</v>
      </c>
      <c r="P40" s="3">
        <f t="shared" ca="1" si="52"/>
        <v>3.0207940185442799E-2</v>
      </c>
      <c r="Q40" s="3">
        <f t="shared" ca="1" si="52"/>
        <v>2.5231349607093351E-2</v>
      </c>
      <c r="R40" s="3">
        <f t="shared" ca="1" si="52"/>
        <v>3.3462258911113409E-2</v>
      </c>
      <c r="S40" s="3">
        <f t="shared" ca="1" si="52"/>
        <v>2.662220040647089E-2</v>
      </c>
      <c r="T40" s="3">
        <f t="shared" ca="1" si="52"/>
        <v>3.6879524885207619E-2</v>
      </c>
      <c r="U40" s="3">
        <f t="shared" ca="1" si="52"/>
        <v>2.7723808910012793E-2</v>
      </c>
      <c r="V40" s="3">
        <f t="shared" ca="1" si="52"/>
        <v>3.9119645947732089E-2</v>
      </c>
      <c r="W40" s="3">
        <f t="shared" ca="1" si="52"/>
        <v>3.0103971075882457E-2</v>
      </c>
      <c r="X40" s="3">
        <f t="shared" ca="1" si="52"/>
        <v>4.4351206467032056E-2</v>
      </c>
      <c r="Y40" s="3">
        <f t="shared" ca="1" si="52"/>
        <v>3.9348125495202384E-2</v>
      </c>
      <c r="Z40" s="3">
        <f t="shared" ca="1" si="52"/>
        <v>5.3865874921204579E-2</v>
      </c>
      <c r="AA40" s="3">
        <f t="shared" ca="1" si="52"/>
        <v>4.6472841807936462E-2</v>
      </c>
      <c r="AB40" s="3">
        <f t="shared" ca="1" si="52"/>
        <v>6.0172256348590754E-2</v>
      </c>
      <c r="AC40" s="3">
        <f t="shared" ca="1" si="52"/>
        <v>5.0803451265321736E-2</v>
      </c>
      <c r="AD40" s="3">
        <f t="shared" ca="1" si="52"/>
        <v>7.2251331751850917E-2</v>
      </c>
      <c r="AE40" s="3">
        <f t="shared" ca="1" si="52"/>
        <v>5.8242253874024007E-2</v>
      </c>
      <c r="AF40" s="3">
        <f t="shared" ca="1" si="52"/>
        <v>7.9515300968100638E-2</v>
      </c>
      <c r="AG40" s="3">
        <f t="shared" ca="1" si="52"/>
        <v>6.4350059734375492E-2</v>
      </c>
      <c r="AH40" s="3">
        <f t="shared" ca="1" si="52"/>
        <v>0.11086511519689948</v>
      </c>
      <c r="AI40" s="3">
        <f t="shared" ca="1" si="52"/>
        <v>9.8301316492912058E-2</v>
      </c>
      <c r="AJ40" s="3">
        <f t="shared" ca="1" si="52"/>
        <v>0.15828721798427361</v>
      </c>
    </row>
    <row r="41" spans="1:36" x14ac:dyDescent="0.35">
      <c r="A41" t="s">
        <v>63</v>
      </c>
      <c r="B41" t="s">
        <v>61</v>
      </c>
      <c r="C41" s="4" t="s">
        <v>74</v>
      </c>
      <c r="D41" s="3">
        <f t="shared" ref="D41:AJ41" ca="1" si="53">MIN(0.99,D22+$D$3)</f>
        <v>1.702074784098305E-2</v>
      </c>
      <c r="E41" s="3">
        <f t="shared" ca="1" si="53"/>
        <v>1.7094534043477189E-2</v>
      </c>
      <c r="F41" s="3">
        <f t="shared" ca="1" si="53"/>
        <v>2.0059084693179449E-2</v>
      </c>
      <c r="G41" s="3">
        <f t="shared" ca="1" si="53"/>
        <v>1.7641128864361373E-2</v>
      </c>
      <c r="H41" s="3">
        <f t="shared" ca="1" si="53"/>
        <v>2.2360842807264147E-2</v>
      </c>
      <c r="I41" s="3">
        <f t="shared" ca="1" si="53"/>
        <v>1.902725472104963E-2</v>
      </c>
      <c r="J41" s="3">
        <f t="shared" ca="1" si="53"/>
        <v>2.6063784014990508E-2</v>
      </c>
      <c r="K41" s="3">
        <f t="shared" ca="1" si="53"/>
        <v>2.124850172093113E-2</v>
      </c>
      <c r="L41" s="3">
        <f t="shared" ca="1" si="53"/>
        <v>2.7480606259042844E-2</v>
      </c>
      <c r="M41" s="3">
        <f t="shared" ca="1" si="53"/>
        <v>2.2490783078957553E-2</v>
      </c>
      <c r="N41" s="3">
        <f t="shared" ca="1" si="53"/>
        <v>2.9360848465446371E-2</v>
      </c>
      <c r="O41" s="3">
        <f t="shared" ca="1" si="53"/>
        <v>2.4624566540011609E-2</v>
      </c>
      <c r="P41" s="3">
        <f t="shared" ca="1" si="53"/>
        <v>3.1200615451437305E-2</v>
      </c>
      <c r="Q41" s="3">
        <f t="shared" ca="1" si="53"/>
        <v>2.6159465917760097E-2</v>
      </c>
      <c r="R41" s="3">
        <f t="shared" ca="1" si="53"/>
        <v>3.4432347481547526E-2</v>
      </c>
      <c r="S41" s="3">
        <f t="shared" ca="1" si="53"/>
        <v>2.7592849640076276E-2</v>
      </c>
      <c r="T41" s="3">
        <f t="shared" ca="1" si="53"/>
        <v>3.7837020412524257E-2</v>
      </c>
      <c r="U41" s="3">
        <f t="shared" ca="1" si="53"/>
        <v>2.8706535772791121E-2</v>
      </c>
      <c r="V41" s="3">
        <f t="shared" ca="1" si="53"/>
        <v>4.0027220245693072E-2</v>
      </c>
      <c r="W41" s="3">
        <f t="shared" ca="1" si="53"/>
        <v>3.1102577206807272E-2</v>
      </c>
      <c r="X41" s="3">
        <f t="shared" ca="1" si="53"/>
        <v>4.5301104546630805E-2</v>
      </c>
      <c r="Y41" s="3">
        <f t="shared" ca="1" si="53"/>
        <v>4.0255816155555069E-2</v>
      </c>
      <c r="Z41" s="3">
        <f t="shared" ca="1" si="53"/>
        <v>5.4785686065572436E-2</v>
      </c>
      <c r="AA41" s="3">
        <f t="shared" ca="1" si="53"/>
        <v>4.7449611393887425E-2</v>
      </c>
      <c r="AB41" s="3">
        <f t="shared" ca="1" si="53"/>
        <v>6.1168463042633944E-2</v>
      </c>
      <c r="AC41" s="3">
        <f t="shared" ca="1" si="53"/>
        <v>5.1798272709414082E-2</v>
      </c>
      <c r="AD41" s="3">
        <f t="shared" ca="1" si="53"/>
        <v>7.3185801822216692E-2</v>
      </c>
      <c r="AE41" s="3">
        <f t="shared" ca="1" si="53"/>
        <v>5.9155793297869796E-2</v>
      </c>
      <c r="AF41" s="3">
        <f t="shared" ca="1" si="53"/>
        <v>8.0497727974679467E-2</v>
      </c>
      <c r="AG41" s="3">
        <f t="shared" ca="1" si="53"/>
        <v>6.5263833395342016E-2</v>
      </c>
      <c r="AH41" s="3">
        <f t="shared" ca="1" si="53"/>
        <v>0.11178506008438303</v>
      </c>
      <c r="AI41" s="3">
        <f t="shared" ca="1" si="53"/>
        <v>9.9272464155963303E-2</v>
      </c>
      <c r="AJ41" s="3">
        <f t="shared" ca="1" si="53"/>
        <v>0.15928377184732714</v>
      </c>
    </row>
    <row r="42" spans="1:36" x14ac:dyDescent="0.35">
      <c r="A42" t="s">
        <v>63</v>
      </c>
      <c r="B42" t="s">
        <v>61</v>
      </c>
      <c r="C42" s="4">
        <v>7</v>
      </c>
      <c r="D42" s="3">
        <f t="shared" ref="D42:AJ42" ca="1" si="54">MIN(0.99,D23+$D$3)</f>
        <v>1.7924079137333494E-2</v>
      </c>
      <c r="E42" s="3">
        <f t="shared" ca="1" si="54"/>
        <v>1.8056903030725581E-2</v>
      </c>
      <c r="F42" s="3">
        <f t="shared" ca="1" si="54"/>
        <v>2.1027810803992939E-2</v>
      </c>
      <c r="G42" s="3">
        <f t="shared" ca="1" si="54"/>
        <v>1.8568272190976991E-2</v>
      </c>
      <c r="H42" s="3">
        <f t="shared" ca="1" si="54"/>
        <v>2.3277759922571199E-2</v>
      </c>
      <c r="I42" s="3">
        <f t="shared" ca="1" si="54"/>
        <v>2.0005318830442344E-2</v>
      </c>
      <c r="J42" s="3">
        <f t="shared" ca="1" si="54"/>
        <v>2.7011108696630516E-2</v>
      </c>
      <c r="K42" s="3">
        <f t="shared" ca="1" si="54"/>
        <v>2.2244925429034463E-2</v>
      </c>
      <c r="L42" s="3">
        <f t="shared" ca="1" si="54"/>
        <v>2.8383975971968661E-2</v>
      </c>
      <c r="M42" s="3">
        <f t="shared" ca="1" si="54"/>
        <v>2.3453256663753627E-2</v>
      </c>
      <c r="N42" s="3">
        <f t="shared" ca="1" si="54"/>
        <v>3.0308686583069552E-2</v>
      </c>
      <c r="O42" s="3">
        <f t="shared" ca="1" si="54"/>
        <v>2.5579893309022644E-2</v>
      </c>
      <c r="P42" s="3">
        <f t="shared" ca="1" si="54"/>
        <v>3.2181477688766828E-2</v>
      </c>
      <c r="Q42" s="3">
        <f t="shared" ca="1" si="54"/>
        <v>2.7066321530640449E-2</v>
      </c>
      <c r="R42" s="3">
        <f t="shared" ca="1" si="54"/>
        <v>3.5350403069878973E-2</v>
      </c>
      <c r="S42" s="3">
        <f t="shared" ca="1" si="54"/>
        <v>2.8575560272319764E-2</v>
      </c>
      <c r="T42" s="3">
        <f t="shared" ca="1" si="54"/>
        <v>3.8775367178758846E-2</v>
      </c>
      <c r="U42" s="3">
        <f t="shared" ca="1" si="54"/>
        <v>2.9620598985571369E-2</v>
      </c>
      <c r="V42" s="3">
        <f t="shared" ca="1" si="54"/>
        <v>4.1020167173230225E-2</v>
      </c>
      <c r="W42" s="3">
        <f t="shared" ca="1" si="54"/>
        <v>3.2034637869438075E-2</v>
      </c>
      <c r="X42" s="3">
        <f t="shared" ca="1" si="54"/>
        <v>4.6213200824799516E-2</v>
      </c>
      <c r="Y42" s="3">
        <f t="shared" ca="1" si="54"/>
        <v>4.1220442417139291E-2</v>
      </c>
      <c r="Z42" s="3">
        <f t="shared" ca="1" si="54"/>
        <v>5.5705744925759373E-2</v>
      </c>
      <c r="AA42" s="3">
        <f t="shared" ca="1" si="54"/>
        <v>4.8437354915034397E-2</v>
      </c>
      <c r="AB42" s="3">
        <f t="shared" ca="1" si="54"/>
        <v>6.2098521658857368E-2</v>
      </c>
      <c r="AC42" s="3">
        <f t="shared" ca="1" si="54"/>
        <v>5.2763808687455019E-2</v>
      </c>
      <c r="AD42" s="3">
        <f t="shared" ca="1" si="54"/>
        <v>7.4115075495291061E-2</v>
      </c>
      <c r="AE42" s="3">
        <f t="shared" ca="1" si="54"/>
        <v>6.0076532847619858E-2</v>
      </c>
      <c r="AF42" s="3">
        <f t="shared" ca="1" si="54"/>
        <v>8.146052924359698E-2</v>
      </c>
      <c r="AG42" s="3">
        <f t="shared" ca="1" si="54"/>
        <v>6.6197966552727541E-2</v>
      </c>
      <c r="AH42" s="3">
        <f t="shared" ca="1" si="54"/>
        <v>0.11271931802701131</v>
      </c>
      <c r="AI42" s="3">
        <f t="shared" ca="1" si="54"/>
        <v>0.10023699306830482</v>
      </c>
      <c r="AJ42" s="3">
        <f t="shared" ca="1" si="54"/>
        <v>0.16022507544920606</v>
      </c>
    </row>
    <row r="43" spans="1:36" x14ac:dyDescent="0.35">
      <c r="A43" t="s">
        <v>63</v>
      </c>
      <c r="B43" t="s">
        <v>61</v>
      </c>
      <c r="C43" s="4" t="s">
        <v>75</v>
      </c>
      <c r="D43" s="3">
        <f t="shared" ref="D43:AJ43" ca="1" si="55">MIN(0.99,D24+$D$3)</f>
        <v>1.8897349017169392E-2</v>
      </c>
      <c r="E43" s="3">
        <f t="shared" ca="1" si="55"/>
        <v>1.8993036118353141E-2</v>
      </c>
      <c r="F43" s="3">
        <f t="shared" ca="1" si="55"/>
        <v>2.198855733982483E-2</v>
      </c>
      <c r="G43" s="3">
        <f t="shared" ca="1" si="55"/>
        <v>1.9561854570311125E-2</v>
      </c>
      <c r="H43" s="3">
        <f t="shared" ca="1" si="55"/>
        <v>2.4214599472825244E-2</v>
      </c>
      <c r="I43" s="3">
        <f t="shared" ca="1" si="55"/>
        <v>2.0931157587923067E-2</v>
      </c>
      <c r="J43" s="3">
        <f t="shared" ca="1" si="55"/>
        <v>2.8007776111423098E-2</v>
      </c>
      <c r="K43" s="3">
        <f t="shared" ca="1" si="55"/>
        <v>2.3153353763690109E-2</v>
      </c>
      <c r="L43" s="3">
        <f t="shared" ca="1" si="55"/>
        <v>2.9379392755382899E-2</v>
      </c>
      <c r="M43" s="3">
        <f t="shared" ca="1" si="55"/>
        <v>2.4407803697912289E-2</v>
      </c>
      <c r="N43" s="3">
        <f t="shared" ca="1" si="55"/>
        <v>3.1275861455660546E-2</v>
      </c>
      <c r="O43" s="3">
        <f t="shared" ca="1" si="55"/>
        <v>2.6518188071535328E-2</v>
      </c>
      <c r="P43" s="3">
        <f t="shared" ca="1" si="55"/>
        <v>3.3157032819406206E-2</v>
      </c>
      <c r="Q43" s="3">
        <f t="shared" ca="1" si="55"/>
        <v>2.798611344045062E-2</v>
      </c>
      <c r="R43" s="3">
        <f t="shared" ca="1" si="55"/>
        <v>3.6260511586442834E-2</v>
      </c>
      <c r="S43" s="3">
        <f t="shared" ca="1" si="55"/>
        <v>2.9502379878107953E-2</v>
      </c>
      <c r="T43" s="3">
        <f t="shared" ca="1" si="55"/>
        <v>3.9720510047526934E-2</v>
      </c>
      <c r="U43" s="3">
        <f t="shared" ca="1" si="55"/>
        <v>3.0562212148225472E-2</v>
      </c>
      <c r="V43" s="3">
        <f t="shared" ca="1" si="55"/>
        <v>4.1952679457509058E-2</v>
      </c>
      <c r="W43" s="3">
        <f t="shared" ca="1" si="55"/>
        <v>3.3023179116663144E-2</v>
      </c>
      <c r="X43" s="3">
        <f t="shared" ca="1" si="55"/>
        <v>4.7167818110563565E-2</v>
      </c>
      <c r="Y43" s="3">
        <f t="shared" ca="1" si="55"/>
        <v>4.2199603190695503E-2</v>
      </c>
      <c r="Z43" s="3">
        <f t="shared" ca="1" si="55"/>
        <v>5.660717850901488E-2</v>
      </c>
      <c r="AA43" s="3">
        <f t="shared" ca="1" si="55"/>
        <v>4.9345372926057507E-2</v>
      </c>
      <c r="AB43" s="3">
        <f t="shared" ca="1" si="55"/>
        <v>6.307126316511219E-2</v>
      </c>
      <c r="AC43" s="3">
        <f t="shared" ca="1" si="55"/>
        <v>5.3690535688989655E-2</v>
      </c>
      <c r="AD43" s="3">
        <f t="shared" ca="1" si="55"/>
        <v>7.5065978168155259E-2</v>
      </c>
      <c r="AE43" s="3">
        <f t="shared" ca="1" si="55"/>
        <v>6.1021728333656287E-2</v>
      </c>
      <c r="AF43" s="3">
        <f t="shared" ca="1" si="55"/>
        <v>8.2451035795815406E-2</v>
      </c>
      <c r="AG43" s="3">
        <f t="shared" ca="1" si="55"/>
        <v>6.7109674479155099E-2</v>
      </c>
      <c r="AH43" s="3">
        <f t="shared" ca="1" si="55"/>
        <v>0.11362679196357307</v>
      </c>
      <c r="AI43" s="3">
        <f t="shared" ca="1" si="55"/>
        <v>0.1011983179183886</v>
      </c>
      <c r="AJ43" s="3">
        <f t="shared" ca="1" si="55"/>
        <v>0.16114245105247474</v>
      </c>
    </row>
    <row r="44" spans="1:36" x14ac:dyDescent="0.35">
      <c r="A44" t="s">
        <v>63</v>
      </c>
      <c r="B44" t="s">
        <v>62</v>
      </c>
      <c r="C44" s="4">
        <v>1</v>
      </c>
      <c r="D44" s="3">
        <f t="shared" ref="D44:AJ44" ca="1" si="56">MIN(0.99,D25+$D$3)</f>
        <v>2.9636106547932936E-3</v>
      </c>
      <c r="E44" s="3">
        <f t="shared" ca="1" si="56"/>
        <v>2.9863786435482226E-3</v>
      </c>
      <c r="F44" s="3">
        <f t="shared" ca="1" si="56"/>
        <v>5.8529262343175606E-3</v>
      </c>
      <c r="G44" s="3">
        <f t="shared" ca="1" si="56"/>
        <v>3.7321980780933976E-3</v>
      </c>
      <c r="H44" s="3">
        <f t="shared" ca="1" si="56"/>
        <v>8.0293680357212144E-3</v>
      </c>
      <c r="I44" s="3">
        <f t="shared" ca="1" si="56"/>
        <v>5.058557526889931E-3</v>
      </c>
      <c r="J44" s="3">
        <f t="shared" ca="1" si="56"/>
        <v>1.1779142565684794E-2</v>
      </c>
      <c r="K44" s="3">
        <f t="shared" ca="1" si="56"/>
        <v>6.9711386836319479E-3</v>
      </c>
      <c r="L44" s="3">
        <f t="shared" ca="1" si="56"/>
        <v>1.3291874151644623E-2</v>
      </c>
      <c r="M44" s="3">
        <f t="shared" ca="1" si="56"/>
        <v>8.3112754425019378E-3</v>
      </c>
      <c r="N44" s="3">
        <f t="shared" ca="1" si="56"/>
        <v>1.5215547330367278E-2</v>
      </c>
      <c r="O44" s="3">
        <f t="shared" ca="1" si="56"/>
        <v>1.0441558093049225E-2</v>
      </c>
      <c r="P44" s="3">
        <f t="shared" ca="1" si="56"/>
        <v>1.6949604768809575E-2</v>
      </c>
      <c r="Q44" s="3">
        <f t="shared" ca="1" si="56"/>
        <v>1.2141476720116947E-2</v>
      </c>
      <c r="R44" s="3">
        <f t="shared" ca="1" si="56"/>
        <v>2.0617496858363192E-2</v>
      </c>
      <c r="S44" s="3">
        <f t="shared" ca="1" si="56"/>
        <v>1.3295079226981497E-2</v>
      </c>
      <c r="T44" s="3">
        <f t="shared" ca="1" si="56"/>
        <v>2.3386816404777598E-2</v>
      </c>
      <c r="U44" s="3">
        <f t="shared" ca="1" si="56"/>
        <v>1.4415289082021859E-2</v>
      </c>
      <c r="V44" s="3">
        <f t="shared" ca="1" si="56"/>
        <v>2.5840662825578488E-2</v>
      </c>
      <c r="W44" s="3">
        <f t="shared" ca="1" si="56"/>
        <v>1.6756983466441923E-2</v>
      </c>
      <c r="X44" s="3">
        <f t="shared" ca="1" si="56"/>
        <v>3.1018810675467398E-2</v>
      </c>
      <c r="Y44" s="3">
        <f t="shared" ca="1" si="56"/>
        <v>2.613201851374794E-2</v>
      </c>
      <c r="Z44" s="3">
        <f t="shared" ca="1" si="56"/>
        <v>4.0708291342225089E-2</v>
      </c>
      <c r="AA44" s="3">
        <f t="shared" ca="1" si="56"/>
        <v>3.3214119207869042E-2</v>
      </c>
      <c r="AB44" s="3">
        <f t="shared" ca="1" si="56"/>
        <v>4.6971708097780354E-2</v>
      </c>
      <c r="AC44" s="3">
        <f t="shared" ca="1" si="56"/>
        <v>3.7510498544814169E-2</v>
      </c>
      <c r="AD44" s="3">
        <f t="shared" ca="1" si="56"/>
        <v>5.9099193380066681E-2</v>
      </c>
      <c r="AE44" s="3">
        <f t="shared" ca="1" si="56"/>
        <v>4.5151079453496376E-2</v>
      </c>
      <c r="AF44" s="3">
        <f t="shared" ca="1" si="56"/>
        <v>6.6121534079713162E-2</v>
      </c>
      <c r="AG44" s="3">
        <f t="shared" ca="1" si="56"/>
        <v>5.1200792786726179E-2</v>
      </c>
      <c r="AH44" s="3">
        <f t="shared" ca="1" si="56"/>
        <v>9.7564160288241469E-2</v>
      </c>
      <c r="AI44" s="3">
        <f t="shared" ca="1" si="56"/>
        <v>8.5136467397407545E-2</v>
      </c>
      <c r="AJ44" s="3">
        <f t="shared" ca="1" si="56"/>
        <v>0.1448712147902057</v>
      </c>
    </row>
    <row r="45" spans="1:36" x14ac:dyDescent="0.35">
      <c r="A45" t="s">
        <v>63</v>
      </c>
      <c r="B45" t="s">
        <v>62</v>
      </c>
      <c r="C45" s="4" t="s">
        <v>64</v>
      </c>
      <c r="D45" s="3">
        <f t="shared" ref="D45:AJ45" ca="1" si="57">MIN(0.99,D26+$D$3)</f>
        <v>3.8956744961502507E-3</v>
      </c>
      <c r="E45" s="3">
        <f t="shared" ca="1" si="57"/>
        <v>3.9131512295788682E-3</v>
      </c>
      <c r="F45" s="3">
        <f t="shared" ca="1" si="57"/>
        <v>6.7639472105704389E-3</v>
      </c>
      <c r="G45" s="3">
        <f t="shared" ca="1" si="57"/>
        <v>4.6613325505789008E-3</v>
      </c>
      <c r="H45" s="3">
        <f t="shared" ca="1" si="57"/>
        <v>9.0112866737076455E-3</v>
      </c>
      <c r="I45" s="3">
        <f t="shared" ca="1" si="57"/>
        <v>5.9769366376367485E-3</v>
      </c>
      <c r="J45" s="3">
        <f t="shared" ca="1" si="57"/>
        <v>1.2737502164343821E-2</v>
      </c>
      <c r="K45" s="3">
        <f t="shared" ca="1" si="57"/>
        <v>7.9333400366208701E-3</v>
      </c>
      <c r="L45" s="3">
        <f t="shared" ca="1" si="57"/>
        <v>1.4222726071191096E-2</v>
      </c>
      <c r="M45" s="3">
        <f t="shared" ca="1" si="57"/>
        <v>9.2168645191956708E-3</v>
      </c>
      <c r="N45" s="3">
        <f t="shared" ca="1" si="57"/>
        <v>1.6145445645127859E-2</v>
      </c>
      <c r="O45" s="3">
        <f t="shared" ca="1" si="57"/>
        <v>1.1380705225840677E-2</v>
      </c>
      <c r="P45" s="3">
        <f t="shared" ca="1" si="57"/>
        <v>1.7916524675471585E-2</v>
      </c>
      <c r="Q45" s="3">
        <f t="shared" ca="1" si="57"/>
        <v>1.3091829185656434E-2</v>
      </c>
      <c r="R45" s="3">
        <f t="shared" ca="1" si="57"/>
        <v>2.1521037891602715E-2</v>
      </c>
      <c r="S45" s="3">
        <f t="shared" ca="1" si="57"/>
        <v>1.4239882531628861E-2</v>
      </c>
      <c r="T45" s="3">
        <f t="shared" ca="1" si="57"/>
        <v>2.4362729252741352E-2</v>
      </c>
      <c r="U45" s="3">
        <f t="shared" ca="1" si="57"/>
        <v>1.5344626709085981E-2</v>
      </c>
      <c r="V45" s="3">
        <f t="shared" ca="1" si="57"/>
        <v>2.6755388032904937E-2</v>
      </c>
      <c r="W45" s="3">
        <f t="shared" ca="1" si="57"/>
        <v>1.7732336389798927E-2</v>
      </c>
      <c r="X45" s="3">
        <f t="shared" ca="1" si="57"/>
        <v>3.19697659234605E-2</v>
      </c>
      <c r="Y45" s="3">
        <f t="shared" ca="1" si="57"/>
        <v>2.7033732646481495E-2</v>
      </c>
      <c r="Z45" s="3">
        <f t="shared" ca="1" si="57"/>
        <v>4.1640018030334902E-2</v>
      </c>
      <c r="AA45" s="3">
        <f t="shared" ca="1" si="57"/>
        <v>3.4114930541868323E-2</v>
      </c>
      <c r="AB45" s="3">
        <f t="shared" ca="1" si="57"/>
        <v>4.7891609798219034E-2</v>
      </c>
      <c r="AC45" s="3">
        <f t="shared" ca="1" si="57"/>
        <v>3.8506805844557561E-2</v>
      </c>
      <c r="AD45" s="3">
        <f t="shared" ca="1" si="57"/>
        <v>6.0042860136960377E-2</v>
      </c>
      <c r="AE45" s="3">
        <f t="shared" ca="1" si="57"/>
        <v>4.6075957717422622E-2</v>
      </c>
      <c r="AF45" s="3">
        <f t="shared" ca="1" si="57"/>
        <v>6.7103765089266007E-2</v>
      </c>
      <c r="AG45" s="3">
        <f t="shared" ca="1" si="57"/>
        <v>5.2114089815503709E-2</v>
      </c>
      <c r="AH45" s="3">
        <f t="shared" ca="1" si="57"/>
        <v>9.8528670032478047E-2</v>
      </c>
      <c r="AI45" s="3">
        <f t="shared" ca="1" si="57"/>
        <v>8.604611153261485E-2</v>
      </c>
      <c r="AJ45" s="3">
        <f t="shared" ca="1" si="57"/>
        <v>0.14585152375639068</v>
      </c>
    </row>
    <row r="46" spans="1:36" x14ac:dyDescent="0.35">
      <c r="A46" t="s">
        <v>63</v>
      </c>
      <c r="B46" t="s">
        <v>62</v>
      </c>
      <c r="C46" s="4">
        <v>2</v>
      </c>
      <c r="D46" s="3">
        <f t="shared" ref="D46:AJ46" ca="1" si="58">MIN(0.99,D27+$D$3)</f>
        <v>4.8216320482666417E-3</v>
      </c>
      <c r="E46" s="3">
        <f t="shared" ca="1" si="58"/>
        <v>4.8813266674094429E-3</v>
      </c>
      <c r="F46" s="3">
        <f t="shared" ca="1" si="58"/>
        <v>7.7452212164588691E-3</v>
      </c>
      <c r="G46" s="3">
        <f t="shared" ca="1" si="58"/>
        <v>5.5813444554601013E-3</v>
      </c>
      <c r="H46" s="3">
        <f t="shared" ca="1" si="58"/>
        <v>9.9272126123610138E-3</v>
      </c>
      <c r="I46" s="3">
        <f t="shared" ca="1" si="58"/>
        <v>6.8820046959229379E-3</v>
      </c>
      <c r="J46" s="3">
        <f t="shared" ca="1" si="58"/>
        <v>1.3667351914065543E-2</v>
      </c>
      <c r="K46" s="3">
        <f t="shared" ca="1" si="58"/>
        <v>8.9278125784584307E-3</v>
      </c>
      <c r="L46" s="3">
        <f t="shared" ca="1" si="58"/>
        <v>1.5147081007738084E-2</v>
      </c>
      <c r="M46" s="3">
        <f t="shared" ca="1" si="58"/>
        <v>1.0154036065123412E-2</v>
      </c>
      <c r="N46" s="3">
        <f t="shared" ca="1" si="58"/>
        <v>1.7137716243787678E-2</v>
      </c>
      <c r="O46" s="3">
        <f t="shared" ca="1" si="58"/>
        <v>1.229841259059947E-2</v>
      </c>
      <c r="P46" s="3">
        <f t="shared" ca="1" si="58"/>
        <v>1.8905856216276246E-2</v>
      </c>
      <c r="Q46" s="3">
        <f t="shared" ca="1" si="58"/>
        <v>1.4045135373585278E-2</v>
      </c>
      <c r="R46" s="3">
        <f t="shared" ca="1" si="58"/>
        <v>2.2429588836605712E-2</v>
      </c>
      <c r="S46" s="3">
        <f t="shared" ca="1" si="58"/>
        <v>1.518592874743814E-2</v>
      </c>
      <c r="T46" s="3">
        <f t="shared" ca="1" si="58"/>
        <v>2.5342687261826379E-2</v>
      </c>
      <c r="U46" s="3">
        <f t="shared" ca="1" si="58"/>
        <v>1.6337164190721891E-2</v>
      </c>
      <c r="V46" s="3">
        <f t="shared" ca="1" si="58"/>
        <v>2.7675416397122336E-2</v>
      </c>
      <c r="W46" s="3">
        <f t="shared" ca="1" si="58"/>
        <v>1.8730733342937726E-2</v>
      </c>
      <c r="X46" s="3">
        <f t="shared" ca="1" si="58"/>
        <v>3.2891797710573163E-2</v>
      </c>
      <c r="Y46" s="3">
        <f t="shared" ca="1" si="58"/>
        <v>2.8033109927439077E-2</v>
      </c>
      <c r="Z46" s="3">
        <f t="shared" ca="1" si="58"/>
        <v>4.2611250237837142E-2</v>
      </c>
      <c r="AA46" s="3">
        <f t="shared" ca="1" si="58"/>
        <v>3.5071368324505733E-2</v>
      </c>
      <c r="AB46" s="3">
        <f t="shared" ca="1" si="58"/>
        <v>4.8858461869391898E-2</v>
      </c>
      <c r="AC46" s="3">
        <f t="shared" ca="1" si="58"/>
        <v>3.9499331606229614E-2</v>
      </c>
      <c r="AD46" s="3">
        <f t="shared" ca="1" si="58"/>
        <v>6.0959287196309636E-2</v>
      </c>
      <c r="AE46" s="3">
        <f t="shared" ca="1" si="58"/>
        <v>4.699945624843288E-2</v>
      </c>
      <c r="AF46" s="3">
        <f t="shared" ca="1" si="58"/>
        <v>6.8101944943421477E-2</v>
      </c>
      <c r="AG46" s="3">
        <f t="shared" ca="1" si="58"/>
        <v>5.3062559886522337E-2</v>
      </c>
      <c r="AH46" s="3">
        <f t="shared" ca="1" si="58"/>
        <v>9.952214064559789E-2</v>
      </c>
      <c r="AI46" s="3">
        <f t="shared" ca="1" si="58"/>
        <v>8.697097129372372E-2</v>
      </c>
      <c r="AJ46" s="3">
        <f t="shared" ca="1" si="58"/>
        <v>0.146832443908785</v>
      </c>
    </row>
    <row r="47" spans="1:36" x14ac:dyDescent="0.35">
      <c r="A47" t="s">
        <v>63</v>
      </c>
      <c r="B47" t="s">
        <v>62</v>
      </c>
      <c r="C47" s="4" t="s">
        <v>65</v>
      </c>
      <c r="D47" s="3">
        <f t="shared" ref="D47:AJ47" ca="1" si="59">MIN(0.99,D28+$D$3)</f>
        <v>5.7958952075931307E-3</v>
      </c>
      <c r="E47" s="3">
        <f t="shared" ca="1" si="59"/>
        <v>5.840108809453971E-3</v>
      </c>
      <c r="F47" s="3">
        <f t="shared" ca="1" si="59"/>
        <v>8.7414921404466855E-3</v>
      </c>
      <c r="G47" s="3">
        <f t="shared" ca="1" si="59"/>
        <v>6.5024650085994725E-3</v>
      </c>
      <c r="H47" s="3">
        <f t="shared" ca="1" si="59"/>
        <v>1.0841828132960432E-2</v>
      </c>
      <c r="I47" s="3">
        <f t="shared" ca="1" si="59"/>
        <v>7.8392798660723937E-3</v>
      </c>
      <c r="J47" s="3">
        <f t="shared" ca="1" si="59"/>
        <v>1.4630177288603639E-2</v>
      </c>
      <c r="K47" s="3">
        <f t="shared" ca="1" si="59"/>
        <v>9.9003394381269628E-3</v>
      </c>
      <c r="L47" s="3">
        <f t="shared" ca="1" si="59"/>
        <v>1.6145960609541495E-2</v>
      </c>
      <c r="M47" s="3">
        <f t="shared" ca="1" si="59"/>
        <v>1.1150852184684975E-2</v>
      </c>
      <c r="N47" s="3">
        <f t="shared" ca="1" si="59"/>
        <v>1.8112036345857115E-2</v>
      </c>
      <c r="O47" s="3">
        <f t="shared" ca="1" si="59"/>
        <v>1.3274637448645137E-2</v>
      </c>
      <c r="P47" s="3">
        <f t="shared" ca="1" si="59"/>
        <v>1.9898490210762492E-2</v>
      </c>
      <c r="Q47" s="3">
        <f t="shared" ca="1" si="59"/>
        <v>1.4963244489139244E-2</v>
      </c>
      <c r="R47" s="3">
        <f t="shared" ca="1" si="59"/>
        <v>2.3388105366261864E-2</v>
      </c>
      <c r="S47" s="3">
        <f t="shared" ca="1" si="59"/>
        <v>1.6115891148335098E-2</v>
      </c>
      <c r="T47" s="3">
        <f t="shared" ca="1" si="59"/>
        <v>2.6336634618697879E-2</v>
      </c>
      <c r="U47" s="3">
        <f t="shared" ca="1" si="59"/>
        <v>1.7265356228156718E-2</v>
      </c>
      <c r="V47" s="3">
        <f t="shared" ca="1" si="59"/>
        <v>2.8643132128602207E-2</v>
      </c>
      <c r="W47" s="3">
        <f t="shared" ca="1" si="59"/>
        <v>1.9665900796183505E-2</v>
      </c>
      <c r="X47" s="3">
        <f t="shared" ca="1" si="59"/>
        <v>3.3797122156003154E-2</v>
      </c>
      <c r="Y47" s="3">
        <f t="shared" ca="1" si="59"/>
        <v>2.903083130071148E-2</v>
      </c>
      <c r="Z47" s="3">
        <f t="shared" ca="1" si="59"/>
        <v>4.3511659738968922E-2</v>
      </c>
      <c r="AA47" s="3">
        <f t="shared" ca="1" si="59"/>
        <v>3.6019110935936245E-2</v>
      </c>
      <c r="AB47" s="3">
        <f t="shared" ca="1" si="59"/>
        <v>4.9829398594925231E-2</v>
      </c>
      <c r="AC47" s="3">
        <f t="shared" ca="1" si="59"/>
        <v>4.0433912361452266E-2</v>
      </c>
      <c r="AD47" s="3">
        <f t="shared" ca="1" si="59"/>
        <v>6.1933831114099946E-2</v>
      </c>
      <c r="AE47" s="3">
        <f t="shared" ca="1" si="59"/>
        <v>4.7977912431164088E-2</v>
      </c>
      <c r="AF47" s="3">
        <f t="shared" ca="1" si="59"/>
        <v>6.9076410212584288E-2</v>
      </c>
      <c r="AG47" s="3">
        <f t="shared" ca="1" si="59"/>
        <v>5.4020526637825902E-2</v>
      </c>
      <c r="AH47" s="3">
        <f t="shared" ca="1" si="59"/>
        <v>0.10044566515932662</v>
      </c>
      <c r="AI47" s="3">
        <f t="shared" ca="1" si="59"/>
        <v>8.7959108591476154E-2</v>
      </c>
      <c r="AJ47" s="3">
        <f t="shared" ca="1" si="59"/>
        <v>0.14780013731177766</v>
      </c>
    </row>
    <row r="48" spans="1:36" x14ac:dyDescent="0.35">
      <c r="A48" t="s">
        <v>63</v>
      </c>
      <c r="B48" t="s">
        <v>62</v>
      </c>
      <c r="C48" s="4" t="s">
        <v>66</v>
      </c>
      <c r="D48" s="3">
        <f t="shared" ref="D48:AJ48" ca="1" si="60">MIN(0.99,D29+$D$3)</f>
        <v>6.7381579241636196E-3</v>
      </c>
      <c r="E48" s="3">
        <f t="shared" ca="1" si="60"/>
        <v>6.7530019331908412E-3</v>
      </c>
      <c r="F48" s="3">
        <f t="shared" ca="1" si="60"/>
        <v>9.7140461592243772E-3</v>
      </c>
      <c r="G48" s="3">
        <f t="shared" ca="1" si="60"/>
        <v>7.4104596663111021E-3</v>
      </c>
      <c r="H48" s="3">
        <f t="shared" ca="1" si="60"/>
        <v>1.1798034188898111E-2</v>
      </c>
      <c r="I48" s="3">
        <f t="shared" ca="1" si="60"/>
        <v>8.7718557894016381E-3</v>
      </c>
      <c r="J48" s="3">
        <f t="shared" ca="1" si="60"/>
        <v>1.5600994063881664E-2</v>
      </c>
      <c r="K48" s="3">
        <f t="shared" ca="1" si="60"/>
        <v>1.0803710122416283E-2</v>
      </c>
      <c r="L48" s="3">
        <f t="shared" ca="1" si="60"/>
        <v>1.7143807515253993E-2</v>
      </c>
      <c r="M48" s="3">
        <f t="shared" ca="1" si="60"/>
        <v>1.2073595419630687E-2</v>
      </c>
      <c r="N48" s="3">
        <f t="shared" ca="1" si="60"/>
        <v>1.9058621914542832E-2</v>
      </c>
      <c r="O48" s="3">
        <f t="shared" ca="1" si="60"/>
        <v>1.4223107852569493E-2</v>
      </c>
      <c r="P48" s="3">
        <f t="shared" ca="1" si="60"/>
        <v>2.0847514753066603E-2</v>
      </c>
      <c r="Q48" s="3">
        <f t="shared" ca="1" si="60"/>
        <v>1.5874488541864906E-2</v>
      </c>
      <c r="R48" s="3">
        <f t="shared" ca="1" si="60"/>
        <v>2.429226862144326E-2</v>
      </c>
      <c r="S48" s="3">
        <f t="shared" ca="1" si="60"/>
        <v>1.7045455968365847E-2</v>
      </c>
      <c r="T48" s="3">
        <f t="shared" ca="1" si="60"/>
        <v>2.7266931006342761E-2</v>
      </c>
      <c r="U48" s="3">
        <f t="shared" ca="1" si="60"/>
        <v>1.8193013443737086E-2</v>
      </c>
      <c r="V48" s="3">
        <f t="shared" ca="1" si="60"/>
        <v>2.9608950403480608E-2</v>
      </c>
      <c r="W48" s="3">
        <f t="shared" ca="1" si="60"/>
        <v>2.0594399889035803E-2</v>
      </c>
      <c r="X48" s="3">
        <f t="shared" ca="1" si="60"/>
        <v>3.4774937697663141E-2</v>
      </c>
      <c r="Y48" s="3">
        <f t="shared" ca="1" si="60"/>
        <v>3.001253699397213E-2</v>
      </c>
      <c r="Z48" s="3">
        <f t="shared" ca="1" si="60"/>
        <v>4.4440237226901394E-2</v>
      </c>
      <c r="AA48" s="3">
        <f t="shared" ca="1" si="60"/>
        <v>3.6974583166414887E-2</v>
      </c>
      <c r="AB48" s="3">
        <f t="shared" ca="1" si="60"/>
        <v>5.0821233798801664E-2</v>
      </c>
      <c r="AC48" s="3">
        <f t="shared" ca="1" si="60"/>
        <v>4.1367269863840185E-2</v>
      </c>
      <c r="AD48" s="3">
        <f t="shared" ca="1" si="60"/>
        <v>6.2869738761045305E-2</v>
      </c>
      <c r="AE48" s="3">
        <f t="shared" ca="1" si="60"/>
        <v>4.8950086949822398E-2</v>
      </c>
      <c r="AF48" s="3">
        <f t="shared" ca="1" si="60"/>
        <v>7.0055947160218901E-2</v>
      </c>
      <c r="AG48" s="3">
        <f t="shared" ca="1" si="60"/>
        <v>5.4974291600568971E-2</v>
      </c>
      <c r="AH48" s="3">
        <f t="shared" ca="1" si="60"/>
        <v>0.10138068770399661</v>
      </c>
      <c r="AI48" s="3">
        <f t="shared" ca="1" si="60"/>
        <v>8.8876164989238504E-2</v>
      </c>
      <c r="AJ48" s="3">
        <f t="shared" ca="1" si="60"/>
        <v>0.14872257710998502</v>
      </c>
    </row>
    <row r="49" spans="1:36" x14ac:dyDescent="0.35">
      <c r="A49" t="s">
        <v>63</v>
      </c>
      <c r="B49" t="s">
        <v>62</v>
      </c>
      <c r="C49" s="4">
        <v>3</v>
      </c>
      <c r="D49" s="3">
        <f t="shared" ref="D49:AJ49" ca="1" si="61">MIN(0.99,D30+$D$3)</f>
        <v>7.6693597184554624E-3</v>
      </c>
      <c r="E49" s="3">
        <f t="shared" ca="1" si="61"/>
        <v>7.6662406218269089E-3</v>
      </c>
      <c r="F49" s="3">
        <f t="shared" ca="1" si="61"/>
        <v>1.0682592007757646E-2</v>
      </c>
      <c r="G49" s="3">
        <f t="shared" ca="1" si="61"/>
        <v>8.3400461386088018E-3</v>
      </c>
      <c r="H49" s="3">
        <f t="shared" ca="1" si="61"/>
        <v>1.2772945413609474E-2</v>
      </c>
      <c r="I49" s="3">
        <f t="shared" ca="1" si="61"/>
        <v>9.7666094867904125E-3</v>
      </c>
      <c r="J49" s="3">
        <f t="shared" ca="1" si="61"/>
        <v>1.6573344506647422E-2</v>
      </c>
      <c r="K49" s="3">
        <f t="shared" ca="1" si="61"/>
        <v>1.1748849623278275E-2</v>
      </c>
      <c r="L49" s="3">
        <f t="shared" ca="1" si="61"/>
        <v>1.8070659984928968E-2</v>
      </c>
      <c r="M49" s="3">
        <f t="shared" ca="1" si="61"/>
        <v>1.2979809971407706E-2</v>
      </c>
      <c r="N49" s="3">
        <f t="shared" ca="1" si="61"/>
        <v>1.9958931459472959E-2</v>
      </c>
      <c r="O49" s="3">
        <f t="shared" ca="1" si="61"/>
        <v>1.5202359955625962E-2</v>
      </c>
      <c r="P49" s="3">
        <f t="shared" ca="1" si="61"/>
        <v>2.1770199779425931E-2</v>
      </c>
      <c r="Q49" s="3">
        <f t="shared" ca="1" si="61"/>
        <v>1.6795084812374503E-2</v>
      </c>
      <c r="R49" s="3">
        <f t="shared" ca="1" si="61"/>
        <v>2.5203671507448556E-2</v>
      </c>
      <c r="S49" s="3">
        <f t="shared" ca="1" si="61"/>
        <v>1.8017340461537155E-2</v>
      </c>
      <c r="T49" s="3">
        <f t="shared" ca="1" si="61"/>
        <v>2.8251911535335381E-2</v>
      </c>
      <c r="U49" s="3">
        <f t="shared" ca="1" si="61"/>
        <v>1.9116404116747459E-2</v>
      </c>
      <c r="V49" s="3">
        <f t="shared" ca="1" si="61"/>
        <v>3.0593747347461137E-2</v>
      </c>
      <c r="W49" s="3">
        <f t="shared" ca="1" si="61"/>
        <v>2.1593499936989211E-2</v>
      </c>
      <c r="X49" s="3">
        <f t="shared" ca="1" si="61"/>
        <v>3.5753372640952463E-2</v>
      </c>
      <c r="Y49" s="3">
        <f t="shared" ca="1" si="61"/>
        <v>3.0989290267113164E-2</v>
      </c>
      <c r="Z49" s="3">
        <f t="shared" ca="1" si="61"/>
        <v>4.5429384288995817E-2</v>
      </c>
      <c r="AA49" s="3">
        <f t="shared" ca="1" si="61"/>
        <v>3.7897187753335108E-2</v>
      </c>
      <c r="AB49" s="3">
        <f t="shared" ca="1" si="61"/>
        <v>5.1743369845187549E-2</v>
      </c>
      <c r="AC49" s="3">
        <f t="shared" ca="1" si="61"/>
        <v>4.2355880227485286E-2</v>
      </c>
      <c r="AD49" s="3">
        <f t="shared" ca="1" si="61"/>
        <v>6.3852457227631235E-2</v>
      </c>
      <c r="AE49" s="3">
        <f t="shared" ca="1" si="61"/>
        <v>4.9945981465828765E-2</v>
      </c>
      <c r="AF49" s="3">
        <f t="shared" ca="1" si="61"/>
        <v>7.1036065324911829E-2</v>
      </c>
      <c r="AG49" s="3">
        <f t="shared" ca="1" si="61"/>
        <v>5.5914164907409469E-2</v>
      </c>
      <c r="AH49" s="3">
        <f t="shared" ca="1" si="61"/>
        <v>0.10234730881982607</v>
      </c>
      <c r="AI49" s="3">
        <f t="shared" ca="1" si="61"/>
        <v>8.9806285983430698E-2</v>
      </c>
      <c r="AJ49" s="3">
        <f t="shared" ca="1" si="61"/>
        <v>0.14967869475161424</v>
      </c>
    </row>
    <row r="50" spans="1:36" x14ac:dyDescent="0.35">
      <c r="A50" t="s">
        <v>63</v>
      </c>
      <c r="B50" t="s">
        <v>62</v>
      </c>
      <c r="C50" s="4" t="s">
        <v>67</v>
      </c>
      <c r="D50" s="3">
        <f t="shared" ref="D50:AJ50" ca="1" si="62">MIN(0.99,D31+$D$3)</f>
        <v>8.6097843918957438E-3</v>
      </c>
      <c r="E50" s="3">
        <f t="shared" ca="1" si="62"/>
        <v>8.6370798614334183E-3</v>
      </c>
      <c r="F50" s="3">
        <f t="shared" ca="1" si="62"/>
        <v>1.1638562829574758E-2</v>
      </c>
      <c r="G50" s="3">
        <f t="shared" ca="1" si="62"/>
        <v>9.2539957885231575E-3</v>
      </c>
      <c r="H50" s="3">
        <f t="shared" ca="1" si="62"/>
        <v>1.3716007484139425E-2</v>
      </c>
      <c r="I50" s="3">
        <f t="shared" ca="1" si="62"/>
        <v>1.0714563245252377E-2</v>
      </c>
      <c r="J50" s="3">
        <f t="shared" ca="1" si="62"/>
        <v>1.7506029205336827E-2</v>
      </c>
      <c r="K50" s="3">
        <f t="shared" ca="1" si="62"/>
        <v>1.2669484781254282E-2</v>
      </c>
      <c r="L50" s="3">
        <f t="shared" ca="1" si="62"/>
        <v>1.8988946462865242E-2</v>
      </c>
      <c r="M50" s="3">
        <f t="shared" ca="1" si="62"/>
        <v>1.3954249364166428E-2</v>
      </c>
      <c r="N50" s="3">
        <f t="shared" ca="1" si="62"/>
        <v>2.09475644072998E-2</v>
      </c>
      <c r="O50" s="3">
        <f t="shared" ca="1" si="62"/>
        <v>1.6105791073401831E-2</v>
      </c>
      <c r="P50" s="3">
        <f t="shared" ca="1" si="62"/>
        <v>2.267147119320129E-2</v>
      </c>
      <c r="Q50" s="3">
        <f t="shared" ca="1" si="62"/>
        <v>1.7763867289089189E-2</v>
      </c>
      <c r="R50" s="3">
        <f t="shared" ca="1" si="62"/>
        <v>2.6151736727915844E-2</v>
      </c>
      <c r="S50" s="3">
        <f t="shared" ca="1" si="62"/>
        <v>1.8945579010579982E-2</v>
      </c>
      <c r="T50" s="3">
        <f t="shared" ca="1" si="62"/>
        <v>2.9190276389162308E-2</v>
      </c>
      <c r="U50" s="3">
        <f t="shared" ca="1" si="62"/>
        <v>2.0050766572171821E-2</v>
      </c>
      <c r="V50" s="3">
        <f t="shared" ca="1" si="62"/>
        <v>3.1560243023749254E-2</v>
      </c>
      <c r="W50" s="3">
        <f t="shared" ca="1" si="62"/>
        <v>2.2533068446941005E-2</v>
      </c>
      <c r="X50" s="3">
        <f t="shared" ca="1" si="62"/>
        <v>3.674068614899801E-2</v>
      </c>
      <c r="Y50" s="3">
        <f t="shared" ca="1" si="62"/>
        <v>3.1905389952033562E-2</v>
      </c>
      <c r="Z50" s="3">
        <f t="shared" ca="1" si="62"/>
        <v>4.6428403292747868E-2</v>
      </c>
      <c r="AA50" s="3">
        <f t="shared" ca="1" si="62"/>
        <v>3.8862424695422476E-2</v>
      </c>
      <c r="AB50" s="3">
        <f t="shared" ca="1" si="62"/>
        <v>5.2716111888956606E-2</v>
      </c>
      <c r="AC50" s="3">
        <f t="shared" ca="1" si="62"/>
        <v>4.3279953613157104E-2</v>
      </c>
      <c r="AD50" s="3">
        <f t="shared" ca="1" si="62"/>
        <v>6.4759064276979278E-2</v>
      </c>
      <c r="AE50" s="3">
        <f t="shared" ca="1" si="62"/>
        <v>5.0852611762909811E-2</v>
      </c>
      <c r="AF50" s="3">
        <f t="shared" ca="1" si="62"/>
        <v>7.2008131839625733E-2</v>
      </c>
      <c r="AG50" s="3">
        <f t="shared" ca="1" si="62"/>
        <v>5.6821814817648135E-2</v>
      </c>
      <c r="AH50" s="3">
        <f t="shared" ca="1" si="62"/>
        <v>0.103310697728347</v>
      </c>
      <c r="AI50" s="3">
        <f t="shared" ca="1" si="62"/>
        <v>9.0726050831313132E-2</v>
      </c>
      <c r="AJ50" s="3">
        <f t="shared" ca="1" si="62"/>
        <v>0.15065119939555119</v>
      </c>
    </row>
    <row r="51" spans="1:36" x14ac:dyDescent="0.35">
      <c r="A51" t="s">
        <v>63</v>
      </c>
      <c r="B51" t="s">
        <v>62</v>
      </c>
      <c r="C51" s="4" t="s">
        <v>68</v>
      </c>
      <c r="D51" s="3">
        <f t="shared" ref="D51:AJ51" ca="1" si="63">MIN(0.99,D32+$D$3)</f>
        <v>9.514626892921433E-3</v>
      </c>
      <c r="E51" s="3">
        <f t="shared" ca="1" si="63"/>
        <v>9.560481051637211E-3</v>
      </c>
      <c r="F51" s="3">
        <f t="shared" ca="1" si="63"/>
        <v>1.2577015999812084E-2</v>
      </c>
      <c r="G51" s="3">
        <f t="shared" ca="1" si="63"/>
        <v>1.0169958427536666E-2</v>
      </c>
      <c r="H51" s="3">
        <f t="shared" ca="1" si="63"/>
        <v>1.4657134417089754E-2</v>
      </c>
      <c r="I51" s="3">
        <f t="shared" ca="1" si="63"/>
        <v>1.1615320269035435E-2</v>
      </c>
      <c r="J51" s="3">
        <f t="shared" ca="1" si="63"/>
        <v>1.841245633938381E-2</v>
      </c>
      <c r="K51" s="3">
        <f t="shared" ca="1" si="63"/>
        <v>1.3614859108795813E-2</v>
      </c>
      <c r="L51" s="3">
        <f t="shared" ca="1" si="63"/>
        <v>1.9893771048734223E-2</v>
      </c>
      <c r="M51" s="3">
        <f t="shared" ca="1" si="63"/>
        <v>1.4921256037177071E-2</v>
      </c>
      <c r="N51" s="3">
        <f t="shared" ca="1" si="63"/>
        <v>2.1891943223726902E-2</v>
      </c>
      <c r="O51" s="3">
        <f t="shared" ca="1" si="63"/>
        <v>1.7075533665439204E-2</v>
      </c>
      <c r="P51" s="3">
        <f t="shared" ca="1" si="63"/>
        <v>2.3588156290569401E-2</v>
      </c>
      <c r="Q51" s="3">
        <f t="shared" ca="1" si="63"/>
        <v>1.8735288639125353E-2</v>
      </c>
      <c r="R51" s="3">
        <f t="shared" ca="1" si="63"/>
        <v>2.7062237012516737E-2</v>
      </c>
      <c r="S51" s="3">
        <f t="shared" ca="1" si="63"/>
        <v>1.98741241008729E-2</v>
      </c>
      <c r="T51" s="3">
        <f t="shared" ca="1" si="63"/>
        <v>3.018508639712331E-2</v>
      </c>
      <c r="U51" s="3">
        <f t="shared" ca="1" si="63"/>
        <v>2.1021988726707436E-2</v>
      </c>
      <c r="V51" s="3">
        <f t="shared" ca="1" si="63"/>
        <v>3.2470076140881945E-2</v>
      </c>
      <c r="W51" s="3">
        <f t="shared" ca="1" si="63"/>
        <v>2.3459328376510612E-2</v>
      </c>
      <c r="X51" s="3">
        <f t="shared" ca="1" si="63"/>
        <v>3.7721483647560075E-2</v>
      </c>
      <c r="Y51" s="3">
        <f t="shared" ca="1" si="63"/>
        <v>3.281326371788415E-2</v>
      </c>
      <c r="Z51" s="3">
        <f t="shared" ca="1" si="63"/>
        <v>4.7335735657418568E-2</v>
      </c>
      <c r="AA51" s="3">
        <f t="shared" ca="1" si="63"/>
        <v>3.9818446840070118E-2</v>
      </c>
      <c r="AB51" s="3">
        <f t="shared" ca="1" si="63"/>
        <v>5.3628033584131388E-2</v>
      </c>
      <c r="AC51" s="3">
        <f t="shared" ca="1" si="63"/>
        <v>4.4180968156039384E-2</v>
      </c>
      <c r="AD51" s="3">
        <f t="shared" ca="1" si="63"/>
        <v>6.5673298902339486E-2</v>
      </c>
      <c r="AE51" s="3">
        <f t="shared" ca="1" si="63"/>
        <v>5.1759844697054948E-2</v>
      </c>
      <c r="AF51" s="3">
        <f t="shared" ca="1" si="63"/>
        <v>7.2939674133183627E-2</v>
      </c>
      <c r="AG51" s="3">
        <f t="shared" ca="1" si="63"/>
        <v>5.7734280172886419E-2</v>
      </c>
      <c r="AH51" s="3">
        <f t="shared" ca="1" si="63"/>
        <v>0.10421538888427549</v>
      </c>
      <c r="AI51" s="3">
        <f t="shared" ca="1" si="63"/>
        <v>9.1725387029693073E-2</v>
      </c>
      <c r="AJ51" s="3">
        <f t="shared" ca="1" si="63"/>
        <v>0.15160688788931284</v>
      </c>
    </row>
    <row r="52" spans="1:36" x14ac:dyDescent="0.35">
      <c r="A52" t="s">
        <v>63</v>
      </c>
      <c r="B52" t="s">
        <v>62</v>
      </c>
      <c r="C52" s="4">
        <v>4</v>
      </c>
      <c r="D52" s="3">
        <f t="shared" ref="D52:AJ52" ca="1" si="64">MIN(0.99,D33+$D$3)</f>
        <v>1.0434599147483261E-2</v>
      </c>
      <c r="E52" s="3">
        <f t="shared" ca="1" si="64"/>
        <v>1.0469896123868214E-2</v>
      </c>
      <c r="F52" s="3">
        <f t="shared" ca="1" si="64"/>
        <v>1.3548285470761347E-2</v>
      </c>
      <c r="G52" s="3">
        <f t="shared" ca="1" si="64"/>
        <v>1.1114529993795228E-2</v>
      </c>
      <c r="H52" s="3">
        <f t="shared" ca="1" si="64"/>
        <v>1.5604507945391893E-2</v>
      </c>
      <c r="I52" s="3">
        <f t="shared" ca="1" si="64"/>
        <v>1.2587131639926821E-2</v>
      </c>
      <c r="J52" s="3">
        <f t="shared" ca="1" si="64"/>
        <v>1.9385860734487781E-2</v>
      </c>
      <c r="K52" s="3">
        <f t="shared" ca="1" si="64"/>
        <v>1.455580767519616E-2</v>
      </c>
      <c r="L52" s="3">
        <f t="shared" ca="1" si="64"/>
        <v>2.0798101036850994E-2</v>
      </c>
      <c r="M52" s="3">
        <f t="shared" ca="1" si="64"/>
        <v>1.5843904955614611E-2</v>
      </c>
      <c r="N52" s="3">
        <f t="shared" ca="1" si="64"/>
        <v>2.2816789454752039E-2</v>
      </c>
      <c r="O52" s="3">
        <f t="shared" ca="1" si="64"/>
        <v>1.8033001669030831E-2</v>
      </c>
      <c r="P52" s="3">
        <f t="shared" ca="1" si="64"/>
        <v>2.4583330612562671E-2</v>
      </c>
      <c r="Q52" s="3">
        <f t="shared" ca="1" si="64"/>
        <v>1.9649984960146236E-2</v>
      </c>
      <c r="R52" s="3">
        <f t="shared" ca="1" si="64"/>
        <v>2.8039073792018067E-2</v>
      </c>
      <c r="S52" s="3">
        <f t="shared" ca="1" si="64"/>
        <v>2.0864880486290947E-2</v>
      </c>
      <c r="T52" s="3">
        <f t="shared" ca="1" si="64"/>
        <v>3.1161731581030749E-2</v>
      </c>
      <c r="U52" s="3">
        <f t="shared" ca="1" si="64"/>
        <v>2.200061409651009E-2</v>
      </c>
      <c r="V52" s="3">
        <f t="shared" ca="1" si="64"/>
        <v>3.3420192427099059E-2</v>
      </c>
      <c r="W52" s="3">
        <f t="shared" ca="1" si="64"/>
        <v>2.4409699368010161E-2</v>
      </c>
      <c r="X52" s="3">
        <f t="shared" ca="1" si="64"/>
        <v>3.8708701127595134E-2</v>
      </c>
      <c r="Y52" s="3">
        <f t="shared" ca="1" si="64"/>
        <v>3.3765374166741802E-2</v>
      </c>
      <c r="Z52" s="3">
        <f t="shared" ca="1" si="64"/>
        <v>4.8270428216570002E-2</v>
      </c>
      <c r="AA52" s="3">
        <f t="shared" ca="1" si="64"/>
        <v>4.0753183848065713E-2</v>
      </c>
      <c r="AB52" s="3">
        <f t="shared" ca="1" si="64"/>
        <v>5.4542984051629322E-2</v>
      </c>
      <c r="AC52" s="3">
        <f t="shared" ca="1" si="64"/>
        <v>4.5154279584718654E-2</v>
      </c>
      <c r="AD52" s="3">
        <f t="shared" ca="1" si="64"/>
        <v>6.6586704413309564E-2</v>
      </c>
      <c r="AE52" s="3">
        <f t="shared" ca="1" si="64"/>
        <v>5.2662484970836185E-2</v>
      </c>
      <c r="AF52" s="3">
        <f t="shared" ca="1" si="64"/>
        <v>7.3867610315478935E-2</v>
      </c>
      <c r="AG52" s="3">
        <f t="shared" ca="1" si="64"/>
        <v>5.8695770139133192E-2</v>
      </c>
      <c r="AH52" s="3">
        <f t="shared" ca="1" si="64"/>
        <v>0.10520260001787468</v>
      </c>
      <c r="AI52" s="3">
        <f t="shared" ca="1" si="64"/>
        <v>9.2693290727691321E-2</v>
      </c>
      <c r="AJ52" s="3">
        <f t="shared" ca="1" si="64"/>
        <v>0.15256612343656839</v>
      </c>
    </row>
    <row r="53" spans="1:36" x14ac:dyDescent="0.35">
      <c r="A53" t="s">
        <v>63</v>
      </c>
      <c r="B53" t="s">
        <v>62</v>
      </c>
      <c r="C53" s="4" t="s">
        <v>69</v>
      </c>
      <c r="D53" s="3">
        <f t="shared" ref="D53:AJ53" ca="1" si="65">MIN(0.99,D34+$D$3)</f>
        <v>1.1408185418172213E-2</v>
      </c>
      <c r="E53" s="3">
        <f t="shared" ca="1" si="65"/>
        <v>1.1441696195564389E-2</v>
      </c>
      <c r="F53" s="3">
        <f t="shared" ca="1" si="65"/>
        <v>1.4511172737799855E-2</v>
      </c>
      <c r="G53" s="3">
        <f t="shared" ca="1" si="65"/>
        <v>1.2058594454961987E-2</v>
      </c>
      <c r="H53" s="3">
        <f t="shared" ca="1" si="65"/>
        <v>1.653835575518614E-2</v>
      </c>
      <c r="I53" s="3">
        <f t="shared" ca="1" si="65"/>
        <v>1.3518066694897659E-2</v>
      </c>
      <c r="J53" s="3">
        <f t="shared" ca="1" si="65"/>
        <v>2.0302681791716189E-2</v>
      </c>
      <c r="K53" s="3">
        <f t="shared" ca="1" si="65"/>
        <v>1.5530367286194099E-2</v>
      </c>
      <c r="L53" s="3">
        <f t="shared" ca="1" si="65"/>
        <v>2.1779489932963306E-2</v>
      </c>
      <c r="M53" s="3">
        <f t="shared" ca="1" si="65"/>
        <v>1.6779153519085883E-2</v>
      </c>
      <c r="N53" s="3">
        <f t="shared" ca="1" si="65"/>
        <v>2.3771803780739658E-2</v>
      </c>
      <c r="O53" s="3">
        <f t="shared" ca="1" si="65"/>
        <v>1.8976346235376005E-2</v>
      </c>
      <c r="P53" s="3">
        <f t="shared" ca="1" si="65"/>
        <v>2.5546762219440203E-2</v>
      </c>
      <c r="Q53" s="3">
        <f t="shared" ca="1" si="65"/>
        <v>2.055925986061366E-2</v>
      </c>
      <c r="R53" s="3">
        <f t="shared" ca="1" si="65"/>
        <v>2.8939231392549582E-2</v>
      </c>
      <c r="S53" s="3">
        <f t="shared" ca="1" si="65"/>
        <v>2.1796291657058774E-2</v>
      </c>
      <c r="T53" s="3">
        <f t="shared" ca="1" si="65"/>
        <v>3.2101036866897921E-2</v>
      </c>
      <c r="U53" s="3">
        <f t="shared" ca="1" si="65"/>
        <v>2.2957882205879555E-2</v>
      </c>
      <c r="V53" s="3">
        <f t="shared" ca="1" si="65"/>
        <v>3.4408106648694724E-2</v>
      </c>
      <c r="W53" s="3">
        <f t="shared" ca="1" si="65"/>
        <v>2.5409102240684399E-2</v>
      </c>
      <c r="X53" s="3">
        <f t="shared" ca="1" si="65"/>
        <v>3.9646229357098446E-2</v>
      </c>
      <c r="Y53" s="3">
        <f t="shared" ca="1" si="65"/>
        <v>3.4689596708190822E-2</v>
      </c>
      <c r="Z53" s="3">
        <f t="shared" ca="1" si="65"/>
        <v>4.9255761975697532E-2</v>
      </c>
      <c r="AA53" s="3">
        <f t="shared" ca="1" si="65"/>
        <v>4.1745541297092029E-2</v>
      </c>
      <c r="AB53" s="3">
        <f t="shared" ca="1" si="65"/>
        <v>5.5448325725640464E-2</v>
      </c>
      <c r="AC53" s="3">
        <f t="shared" ca="1" si="65"/>
        <v>4.6142096348510998E-2</v>
      </c>
      <c r="AD53" s="3">
        <f t="shared" ca="1" si="65"/>
        <v>6.7567941771360537E-2</v>
      </c>
      <c r="AE53" s="3">
        <f t="shared" ca="1" si="65"/>
        <v>5.3607974614669388E-2</v>
      </c>
      <c r="AF53" s="3">
        <f t="shared" ca="1" si="65"/>
        <v>7.4852071641408238E-2</v>
      </c>
      <c r="AG53" s="3">
        <f t="shared" ca="1" si="65"/>
        <v>5.9635292898063783E-2</v>
      </c>
      <c r="AH53" s="3">
        <f t="shared" ca="1" si="65"/>
        <v>0.10615324735661819</v>
      </c>
      <c r="AI53" s="3">
        <f t="shared" ca="1" si="65"/>
        <v>9.3627992432679885E-2</v>
      </c>
      <c r="AJ53" s="3">
        <f t="shared" ca="1" si="65"/>
        <v>0.1535400331152611</v>
      </c>
    </row>
    <row r="54" spans="1:36" x14ac:dyDescent="0.35">
      <c r="A54" t="s">
        <v>63</v>
      </c>
      <c r="B54" t="s">
        <v>62</v>
      </c>
      <c r="C54" s="4" t="s">
        <v>70</v>
      </c>
      <c r="D54" s="3">
        <f t="shared" ref="D54:AJ54" ca="1" si="66">MIN(0.99,D35+$D$3)</f>
        <v>1.2317542773828578E-2</v>
      </c>
      <c r="E54" s="3">
        <f t="shared" ca="1" si="66"/>
        <v>1.2407039152101451E-2</v>
      </c>
      <c r="F54" s="3">
        <f t="shared" ca="1" si="66"/>
        <v>1.541477253366233E-2</v>
      </c>
      <c r="G54" s="3">
        <f t="shared" ca="1" si="66"/>
        <v>1.3022240144337931E-2</v>
      </c>
      <c r="H54" s="3">
        <f t="shared" ca="1" si="66"/>
        <v>1.7522354140553364E-2</v>
      </c>
      <c r="I54" s="3">
        <f t="shared" ca="1" si="66"/>
        <v>1.4447846504871596E-2</v>
      </c>
      <c r="J54" s="3">
        <f t="shared" ca="1" si="66"/>
        <v>2.1294863382542644E-2</v>
      </c>
      <c r="K54" s="3">
        <f t="shared" ca="1" si="66"/>
        <v>1.6465800133560624E-2</v>
      </c>
      <c r="L54" s="3">
        <f t="shared" ca="1" si="66"/>
        <v>2.2735027543955667E-2</v>
      </c>
      <c r="M54" s="3">
        <f t="shared" ca="1" si="66"/>
        <v>1.771311251355636E-2</v>
      </c>
      <c r="N54" s="3">
        <f t="shared" ca="1" si="66"/>
        <v>2.4672114160175774E-2</v>
      </c>
      <c r="O54" s="3">
        <f t="shared" ca="1" si="66"/>
        <v>1.9956084208662416E-2</v>
      </c>
      <c r="P54" s="3">
        <f t="shared" ca="1" si="66"/>
        <v>2.6474623554382046E-2</v>
      </c>
      <c r="Q54" s="3">
        <f t="shared" ca="1" si="66"/>
        <v>2.1541999312176582E-2</v>
      </c>
      <c r="R54" s="3">
        <f t="shared" ca="1" si="66"/>
        <v>2.9869778407794385E-2</v>
      </c>
      <c r="S54" s="3">
        <f t="shared" ca="1" si="66"/>
        <v>2.274487619700476E-2</v>
      </c>
      <c r="T54" s="3">
        <f t="shared" ca="1" si="66"/>
        <v>3.3022845908059359E-2</v>
      </c>
      <c r="U54" s="3">
        <f t="shared" ca="1" si="66"/>
        <v>2.3951980035256563E-2</v>
      </c>
      <c r="V54" s="3">
        <f t="shared" ca="1" si="66"/>
        <v>3.5402841823526411E-2</v>
      </c>
      <c r="W54" s="3">
        <f t="shared" ca="1" si="66"/>
        <v>2.6402258690421319E-2</v>
      </c>
      <c r="X54" s="3">
        <f t="shared" ca="1" si="66"/>
        <v>4.056790259214945E-2</v>
      </c>
      <c r="Y54" s="3">
        <f t="shared" ca="1" si="66"/>
        <v>3.5620877961553325E-2</v>
      </c>
      <c r="Z54" s="3">
        <f t="shared" ca="1" si="66"/>
        <v>5.01932542160708E-2</v>
      </c>
      <c r="AA54" s="3">
        <f t="shared" ca="1" si="66"/>
        <v>4.2728623610690943E-2</v>
      </c>
      <c r="AB54" s="3">
        <f t="shared" ca="1" si="66"/>
        <v>5.6418983494675688E-2</v>
      </c>
      <c r="AC54" s="3">
        <f t="shared" ca="1" si="66"/>
        <v>4.7105130423717168E-2</v>
      </c>
      <c r="AD54" s="3">
        <f t="shared" ca="1" si="66"/>
        <v>6.8561101797659896E-2</v>
      </c>
      <c r="AE54" s="3">
        <f t="shared" ca="1" si="66"/>
        <v>5.4559536327821512E-2</v>
      </c>
      <c r="AF54" s="3">
        <f t="shared" ca="1" si="66"/>
        <v>7.5799853274363699E-2</v>
      </c>
      <c r="AG54" s="3">
        <f t="shared" ca="1" si="66"/>
        <v>6.0564960024732079E-2</v>
      </c>
      <c r="AH54" s="3">
        <f t="shared" ca="1" si="66"/>
        <v>0.10713661533902355</v>
      </c>
      <c r="AI54" s="3">
        <f t="shared" ca="1" si="66"/>
        <v>9.4545604322796239E-2</v>
      </c>
      <c r="AJ54" s="3">
        <f t="shared" ca="1" si="66"/>
        <v>0.15449710609399017</v>
      </c>
    </row>
    <row r="55" spans="1:36" x14ac:dyDescent="0.35">
      <c r="A55" t="s">
        <v>63</v>
      </c>
      <c r="B55" t="s">
        <v>62</v>
      </c>
      <c r="C55" s="4">
        <v>5</v>
      </c>
      <c r="D55" s="3">
        <f t="shared" ref="D55:AJ55" ca="1" si="67">MIN(0.99,D36+$D$3)</f>
        <v>1.3278276665449687E-2</v>
      </c>
      <c r="E55" s="3">
        <f t="shared" ca="1" si="67"/>
        <v>1.3350397253026017E-2</v>
      </c>
      <c r="F55" s="3">
        <f t="shared" ca="1" si="67"/>
        <v>1.6352751453999594E-2</v>
      </c>
      <c r="G55" s="3">
        <f t="shared" ca="1" si="67"/>
        <v>1.3963690130217098E-2</v>
      </c>
      <c r="H55" s="3">
        <f t="shared" ca="1" si="67"/>
        <v>1.8497164379325196E-2</v>
      </c>
      <c r="I55" s="3">
        <f t="shared" ca="1" si="67"/>
        <v>1.5348659280301397E-2</v>
      </c>
      <c r="J55" s="3">
        <f t="shared" ca="1" si="67"/>
        <v>2.2284793965583277E-2</v>
      </c>
      <c r="K55" s="3">
        <f t="shared" ca="1" si="67"/>
        <v>1.7393352112012074E-2</v>
      </c>
      <c r="L55" s="3">
        <f t="shared" ca="1" si="67"/>
        <v>2.3731237942804191E-2</v>
      </c>
      <c r="M55" s="3">
        <f t="shared" ca="1" si="67"/>
        <v>1.8649145729671298E-2</v>
      </c>
      <c r="N55" s="3">
        <f t="shared" ca="1" si="67"/>
        <v>2.5626897571473163E-2</v>
      </c>
      <c r="O55" s="3">
        <f t="shared" ca="1" si="67"/>
        <v>2.0887852778356773E-2</v>
      </c>
      <c r="P55" s="3">
        <f t="shared" ca="1" si="67"/>
        <v>2.7440034308008652E-2</v>
      </c>
      <c r="Q55" s="3">
        <f t="shared" ca="1" si="67"/>
        <v>2.2481320900152015E-2</v>
      </c>
      <c r="R55" s="3">
        <f t="shared" ca="1" si="67"/>
        <v>3.0797862299913315E-2</v>
      </c>
      <c r="S55" s="3">
        <f t="shared" ca="1" si="67"/>
        <v>2.3744245949930912E-2</v>
      </c>
      <c r="T55" s="3">
        <f t="shared" ca="1" si="67"/>
        <v>3.3974457777620148E-2</v>
      </c>
      <c r="U55" s="3">
        <f t="shared" ca="1" si="67"/>
        <v>2.4899781034648641E-2</v>
      </c>
      <c r="V55" s="3">
        <f t="shared" ca="1" si="67"/>
        <v>3.633299860500442E-2</v>
      </c>
      <c r="W55" s="3">
        <f t="shared" ca="1" si="67"/>
        <v>2.7342358039597659E-2</v>
      </c>
      <c r="X55" s="3">
        <f t="shared" ca="1" si="67"/>
        <v>4.1482059374819129E-2</v>
      </c>
      <c r="Y55" s="3">
        <f t="shared" ca="1" si="67"/>
        <v>3.6569242562660018E-2</v>
      </c>
      <c r="Z55" s="3">
        <f t="shared" ca="1" si="67"/>
        <v>5.1161754567345549E-2</v>
      </c>
      <c r="AA55" s="3">
        <f t="shared" ca="1" si="67"/>
        <v>4.369599176462835E-2</v>
      </c>
      <c r="AB55" s="3">
        <f t="shared" ca="1" si="67"/>
        <v>5.7339331469253248E-2</v>
      </c>
      <c r="AC55" s="3">
        <f t="shared" ca="1" si="67"/>
        <v>4.8043196818381859E-2</v>
      </c>
      <c r="AD55" s="3">
        <f t="shared" ca="1" si="67"/>
        <v>6.9498224781989887E-2</v>
      </c>
      <c r="AE55" s="3">
        <f t="shared" ca="1" si="67"/>
        <v>5.5520924554888135E-2</v>
      </c>
      <c r="AF55" s="3">
        <f t="shared" ca="1" si="67"/>
        <v>7.6765495561987682E-2</v>
      </c>
      <c r="AG55" s="3">
        <f t="shared" ca="1" si="67"/>
        <v>6.1485286242682027E-2</v>
      </c>
      <c r="AH55" s="3">
        <f t="shared" ca="1" si="67"/>
        <v>0.10806357850662544</v>
      </c>
      <c r="AI55" s="3">
        <f t="shared" ca="1" si="67"/>
        <v>9.5478377358677952E-2</v>
      </c>
      <c r="AJ55" s="3">
        <f t="shared" ca="1" si="67"/>
        <v>0.15543229218851601</v>
      </c>
    </row>
    <row r="56" spans="1:36" x14ac:dyDescent="0.35">
      <c r="A56" t="s">
        <v>63</v>
      </c>
      <c r="B56" t="s">
        <v>62</v>
      </c>
      <c r="C56" s="4" t="s">
        <v>71</v>
      </c>
      <c r="D56" s="3">
        <f t="shared" ref="D56:AJ56" ca="1" si="68">MIN(0.99,D37+$D$3)</f>
        <v>1.4212129306174888E-2</v>
      </c>
      <c r="E56" s="3">
        <f t="shared" ca="1" si="68"/>
        <v>1.4345087175522631E-2</v>
      </c>
      <c r="F56" s="3">
        <f t="shared" ca="1" si="68"/>
        <v>1.7339071726916688E-2</v>
      </c>
      <c r="G56" s="3">
        <f t="shared" ca="1" si="68"/>
        <v>1.4883523303339755E-2</v>
      </c>
      <c r="H56" s="3">
        <f t="shared" ca="1" si="68"/>
        <v>1.9490949478404133E-2</v>
      </c>
      <c r="I56" s="3">
        <f t="shared" ca="1" si="68"/>
        <v>1.6252056401569528E-2</v>
      </c>
      <c r="J56" s="3">
        <f t="shared" ca="1" si="68"/>
        <v>2.3200645433838048E-2</v>
      </c>
      <c r="K56" s="3">
        <f t="shared" ca="1" si="68"/>
        <v>1.8351370924962987E-2</v>
      </c>
      <c r="L56" s="3">
        <f t="shared" ca="1" si="68"/>
        <v>2.4693984896337423E-2</v>
      </c>
      <c r="M56" s="3">
        <f t="shared" ca="1" si="68"/>
        <v>1.9612620384975167E-2</v>
      </c>
      <c r="N56" s="3">
        <f t="shared" ca="1" si="68"/>
        <v>2.6624602150411715E-2</v>
      </c>
      <c r="O56" s="3">
        <f t="shared" ca="1" si="68"/>
        <v>2.1811645434830319E-2</v>
      </c>
      <c r="P56" s="3">
        <f t="shared" ca="1" si="68"/>
        <v>2.8350979373547882E-2</v>
      </c>
      <c r="Q56" s="3">
        <f t="shared" ca="1" si="68"/>
        <v>2.3407377716922851E-2</v>
      </c>
      <c r="R56" s="3">
        <f t="shared" ca="1" si="68"/>
        <v>3.1727355535961968E-2</v>
      </c>
      <c r="S56" s="3">
        <f t="shared" ca="1" si="68"/>
        <v>2.4733348931272436E-2</v>
      </c>
      <c r="T56" s="3">
        <f t="shared" ca="1" si="68"/>
        <v>3.496332253481918E-2</v>
      </c>
      <c r="U56" s="3">
        <f t="shared" ca="1" si="68"/>
        <v>2.5897869207785303E-2</v>
      </c>
      <c r="V56" s="3">
        <f t="shared" ca="1" si="68"/>
        <v>3.7245932007960732E-2</v>
      </c>
      <c r="W56" s="3">
        <f t="shared" ca="1" si="68"/>
        <v>2.8317228953962055E-2</v>
      </c>
      <c r="X56" s="3">
        <f t="shared" ca="1" si="68"/>
        <v>4.2442640487239565E-2</v>
      </c>
      <c r="Y56" s="3">
        <f t="shared" ca="1" si="68"/>
        <v>3.7549016605743488E-2</v>
      </c>
      <c r="Z56" s="3">
        <f t="shared" ca="1" si="68"/>
        <v>5.2154473615062188E-2</v>
      </c>
      <c r="AA56" s="3">
        <f t="shared" ca="1" si="68"/>
        <v>4.4621092780161208E-2</v>
      </c>
      <c r="AB56" s="3">
        <f t="shared" ca="1" si="68"/>
        <v>5.826148921827861E-2</v>
      </c>
      <c r="AC56" s="3">
        <f t="shared" ca="1" si="68"/>
        <v>4.8955665569841565E-2</v>
      </c>
      <c r="AD56" s="3">
        <f t="shared" ca="1" si="68"/>
        <v>7.0433402294950612E-2</v>
      </c>
      <c r="AE56" s="3">
        <f t="shared" ca="1" si="68"/>
        <v>5.6447459554089523E-2</v>
      </c>
      <c r="AF56" s="3">
        <f t="shared" ca="1" si="68"/>
        <v>7.7667892818718831E-2</v>
      </c>
      <c r="AG56" s="3">
        <f t="shared" ca="1" si="68"/>
        <v>6.247021150117011E-2</v>
      </c>
      <c r="AH56" s="3">
        <f t="shared" ca="1" si="68"/>
        <v>0.10904945136478938</v>
      </c>
      <c r="AI56" s="3">
        <f t="shared" ca="1" si="68"/>
        <v>9.6459070922661663E-2</v>
      </c>
      <c r="AJ56" s="3">
        <f t="shared" ca="1" si="68"/>
        <v>0.15635566424944286</v>
      </c>
    </row>
    <row r="57" spans="1:36" x14ac:dyDescent="0.35">
      <c r="A57" t="s">
        <v>63</v>
      </c>
      <c r="B57" t="s">
        <v>62</v>
      </c>
      <c r="C57" s="4" t="s">
        <v>72</v>
      </c>
      <c r="D57" s="3">
        <f t="shared" ref="D57:AJ57" ca="1" si="69">MIN(0.99,D38+$D$3)</f>
        <v>1.5128185099006316E-2</v>
      </c>
      <c r="E57" s="3">
        <f t="shared" ca="1" si="69"/>
        <v>1.5247151516542806E-2</v>
      </c>
      <c r="F57" s="3">
        <f t="shared" ca="1" si="69"/>
        <v>1.8242444686108219E-2</v>
      </c>
      <c r="G57" s="3">
        <f t="shared" ca="1" si="69"/>
        <v>1.5856606566587484E-2</v>
      </c>
      <c r="H57" s="3">
        <f t="shared" ca="1" si="69"/>
        <v>2.0442503313797045E-2</v>
      </c>
      <c r="I57" s="3">
        <f t="shared" ca="1" si="69"/>
        <v>1.7197687483148833E-2</v>
      </c>
      <c r="J57" s="3">
        <f t="shared" ca="1" si="69"/>
        <v>2.4197168872614937E-2</v>
      </c>
      <c r="K57" s="3">
        <f t="shared" ca="1" si="69"/>
        <v>1.9300935379595329E-2</v>
      </c>
      <c r="L57" s="3">
        <f t="shared" ca="1" si="69"/>
        <v>2.5617443192611833E-2</v>
      </c>
      <c r="M57" s="3">
        <f t="shared" ca="1" si="69"/>
        <v>2.0540365926147271E-2</v>
      </c>
      <c r="N57" s="3">
        <f t="shared" ca="1" si="69"/>
        <v>2.7535343661582983E-2</v>
      </c>
      <c r="O57" s="3">
        <f t="shared" ca="1" si="69"/>
        <v>2.2739832601578518E-2</v>
      </c>
      <c r="P57" s="3">
        <f t="shared" ca="1" si="69"/>
        <v>2.9307615178540115E-2</v>
      </c>
      <c r="Q57" s="3">
        <f t="shared" ca="1" si="69"/>
        <v>2.4325803822732441E-2</v>
      </c>
      <c r="R57" s="3">
        <f t="shared" ca="1" si="69"/>
        <v>3.2629303917077364E-2</v>
      </c>
      <c r="S57" s="3">
        <f t="shared" ca="1" si="69"/>
        <v>2.5664726196192398E-2</v>
      </c>
      <c r="T57" s="3">
        <f t="shared" ca="1" si="69"/>
        <v>3.5915872129533032E-2</v>
      </c>
      <c r="U57" s="3">
        <f t="shared" ca="1" si="69"/>
        <v>2.6823514320029003E-2</v>
      </c>
      <c r="V57" s="3">
        <f t="shared" ca="1" si="69"/>
        <v>3.8203515218075162E-2</v>
      </c>
      <c r="W57" s="3">
        <f t="shared" ca="1" si="69"/>
        <v>2.9231918438233598E-2</v>
      </c>
      <c r="X57" s="3">
        <f t="shared" ca="1" si="69"/>
        <v>4.3425487831070572E-2</v>
      </c>
      <c r="Y57" s="3">
        <f t="shared" ca="1" si="69"/>
        <v>3.8473784649613707E-2</v>
      </c>
      <c r="Z57" s="3">
        <f t="shared" ca="1" si="69"/>
        <v>5.3055830245674805E-2</v>
      </c>
      <c r="AA57" s="3">
        <f t="shared" ca="1" si="69"/>
        <v>4.5586454249275501E-2</v>
      </c>
      <c r="AB57" s="3">
        <f t="shared" ca="1" si="69"/>
        <v>5.9217342464777584E-2</v>
      </c>
      <c r="AC57" s="3">
        <f t="shared" ca="1" si="69"/>
        <v>4.9951463955215041E-2</v>
      </c>
      <c r="AD57" s="3">
        <f t="shared" ca="1" si="69"/>
        <v>7.1370000945281786E-2</v>
      </c>
      <c r="AE57" s="3">
        <f t="shared" ca="1" si="69"/>
        <v>5.7377878909033384E-2</v>
      </c>
      <c r="AF57" s="3">
        <f t="shared" ca="1" si="69"/>
        <v>7.8641492006359393E-2</v>
      </c>
      <c r="AG57" s="3">
        <f t="shared" ca="1" si="69"/>
        <v>6.3441867573437935E-2</v>
      </c>
      <c r="AH57" s="3">
        <f t="shared" ca="1" si="69"/>
        <v>0.1099927086563124</v>
      </c>
      <c r="AI57" s="3">
        <f t="shared" ca="1" si="69"/>
        <v>9.7428481025978494E-2</v>
      </c>
      <c r="AJ57" s="3">
        <f t="shared" ca="1" si="69"/>
        <v>0.15733425837581455</v>
      </c>
    </row>
    <row r="58" spans="1:36" x14ac:dyDescent="0.35">
      <c r="A58" t="s">
        <v>63</v>
      </c>
      <c r="B58" t="s">
        <v>62</v>
      </c>
      <c r="C58" s="4">
        <v>6</v>
      </c>
      <c r="D58" s="3">
        <f t="shared" ref="D58:AJ58" ca="1" si="70">MIN(0.99,D39+$D$3)</f>
        <v>1.6051078000001367E-2</v>
      </c>
      <c r="E58" s="3">
        <f t="shared" ca="1" si="70"/>
        <v>1.6201160510151458E-2</v>
      </c>
      <c r="F58" s="3">
        <f t="shared" ca="1" si="70"/>
        <v>1.9153316338432445E-2</v>
      </c>
      <c r="G58" s="3">
        <f t="shared" ca="1" si="70"/>
        <v>1.6832942048262068E-2</v>
      </c>
      <c r="H58" s="3">
        <f t="shared" ca="1" si="70"/>
        <v>2.1395225024892332E-2</v>
      </c>
      <c r="I58" s="3">
        <f t="shared" ca="1" si="70"/>
        <v>1.8100007425419947E-2</v>
      </c>
      <c r="J58" s="3">
        <f t="shared" ca="1" si="70"/>
        <v>2.5127650876456922E-2</v>
      </c>
      <c r="K58" s="3">
        <f t="shared" ca="1" si="70"/>
        <v>2.0291575939216225E-2</v>
      </c>
      <c r="L58" s="3">
        <f t="shared" ca="1" si="70"/>
        <v>2.6586231582569488E-2</v>
      </c>
      <c r="M58" s="3">
        <f t="shared" ca="1" si="70"/>
        <v>2.1501244944021714E-2</v>
      </c>
      <c r="N58" s="3">
        <f t="shared" ca="1" si="70"/>
        <v>2.8459755313059602E-2</v>
      </c>
      <c r="O58" s="3">
        <f t="shared" ca="1" si="70"/>
        <v>2.3715274962924474E-2</v>
      </c>
      <c r="P58" s="3">
        <f t="shared" ca="1" si="70"/>
        <v>3.0231207554820581E-2</v>
      </c>
      <c r="Q58" s="3">
        <f t="shared" ca="1" si="70"/>
        <v>2.5298810263202031E-2</v>
      </c>
      <c r="R58" s="3">
        <f t="shared" ca="1" si="70"/>
        <v>3.3531895968191804E-2</v>
      </c>
      <c r="S58" s="3">
        <f t="shared" ca="1" si="70"/>
        <v>2.6645095987074881E-2</v>
      </c>
      <c r="T58" s="3">
        <f t="shared" ca="1" si="70"/>
        <v>3.6882931097634089E-2</v>
      </c>
      <c r="U58" s="3">
        <f t="shared" ca="1" si="70"/>
        <v>2.7741613395099052E-2</v>
      </c>
      <c r="V58" s="3">
        <f t="shared" ca="1" si="70"/>
        <v>3.9169494192171354E-2</v>
      </c>
      <c r="W58" s="3">
        <f t="shared" ca="1" si="70"/>
        <v>3.0192383888055056E-2</v>
      </c>
      <c r="X58" s="3">
        <f t="shared" ca="1" si="70"/>
        <v>4.440333287975716E-2</v>
      </c>
      <c r="Y58" s="3">
        <f t="shared" ca="1" si="70"/>
        <v>3.9378109657716417E-2</v>
      </c>
      <c r="Z58" s="3">
        <f t="shared" ca="1" si="70"/>
        <v>5.3958267387872488E-2</v>
      </c>
      <c r="AA58" s="3">
        <f t="shared" ca="1" si="70"/>
        <v>4.6557768322229187E-2</v>
      </c>
      <c r="AB58" s="3">
        <f t="shared" ca="1" si="70"/>
        <v>6.0212420651349616E-2</v>
      </c>
      <c r="AC58" s="3">
        <f t="shared" ca="1" si="70"/>
        <v>5.0887769107564623E-2</v>
      </c>
      <c r="AD58" s="3">
        <f t="shared" ca="1" si="70"/>
        <v>7.2293805489971857E-2</v>
      </c>
      <c r="AE58" s="3">
        <f t="shared" ca="1" si="70"/>
        <v>5.8282633303114055E-2</v>
      </c>
      <c r="AF58" s="3">
        <f t="shared" ca="1" si="70"/>
        <v>7.9614933311661251E-2</v>
      </c>
      <c r="AG58" s="3">
        <f t="shared" ca="1" si="70"/>
        <v>6.4368838791105706E-2</v>
      </c>
      <c r="AH58" s="3">
        <f t="shared" ca="1" si="70"/>
        <v>0.11090584860430748</v>
      </c>
      <c r="AI58" s="3">
        <f t="shared" ca="1" si="70"/>
        <v>9.8354271388211512E-2</v>
      </c>
      <c r="AJ58" s="3">
        <f t="shared" ca="1" si="70"/>
        <v>0.15830918441522249</v>
      </c>
    </row>
    <row r="59" spans="1:36" x14ac:dyDescent="0.35">
      <c r="A59" t="s">
        <v>63</v>
      </c>
      <c r="B59" t="s">
        <v>62</v>
      </c>
      <c r="C59" s="4" t="s">
        <v>73</v>
      </c>
      <c r="D59" s="3">
        <f t="shared" ref="D59:AJ59" ca="1" si="71">MIN(0.99,D40+$D$3)</f>
        <v>1.7047662455575031E-2</v>
      </c>
      <c r="E59" s="3">
        <f t="shared" ca="1" si="71"/>
        <v>1.7167957091932563E-2</v>
      </c>
      <c r="F59" s="3">
        <f t="shared" ca="1" si="71"/>
        <v>2.0134386193298513E-2</v>
      </c>
      <c r="G59" s="3">
        <f t="shared" ca="1" si="71"/>
        <v>1.7734548024131856E-2</v>
      </c>
      <c r="H59" s="3">
        <f t="shared" ca="1" si="71"/>
        <v>2.2383142705779711E-2</v>
      </c>
      <c r="I59" s="3">
        <f t="shared" ca="1" si="71"/>
        <v>1.9070177772854118E-2</v>
      </c>
      <c r="J59" s="3">
        <f t="shared" ca="1" si="71"/>
        <v>2.6116681581614756E-2</v>
      </c>
      <c r="K59" s="3">
        <f t="shared" ca="1" si="71"/>
        <v>2.1269726577750118E-2</v>
      </c>
      <c r="L59" s="3">
        <f t="shared" ca="1" si="71"/>
        <v>2.7496602354504684E-2</v>
      </c>
      <c r="M59" s="3">
        <f t="shared" ca="1" si="71"/>
        <v>2.2496920851320792E-2</v>
      </c>
      <c r="N59" s="3">
        <f t="shared" ca="1" si="71"/>
        <v>2.9439036848392656E-2</v>
      </c>
      <c r="O59" s="3">
        <f t="shared" ca="1" si="71"/>
        <v>2.4686868008271412E-2</v>
      </c>
      <c r="P59" s="3">
        <f t="shared" ca="1" si="71"/>
        <v>3.12079401854428E-2</v>
      </c>
      <c r="Q59" s="3">
        <f t="shared" ca="1" si="71"/>
        <v>2.6231349607093352E-2</v>
      </c>
      <c r="R59" s="3">
        <f t="shared" ca="1" si="71"/>
        <v>3.4462258911113409E-2</v>
      </c>
      <c r="S59" s="3">
        <f t="shared" ca="1" si="71"/>
        <v>2.7622200406470891E-2</v>
      </c>
      <c r="T59" s="3">
        <f t="shared" ca="1" si="71"/>
        <v>3.787952488520762E-2</v>
      </c>
      <c r="U59" s="3">
        <f t="shared" ca="1" si="71"/>
        <v>2.8723808910012794E-2</v>
      </c>
      <c r="V59" s="3">
        <f t="shared" ca="1" si="71"/>
        <v>4.011964594773209E-2</v>
      </c>
      <c r="W59" s="3">
        <f t="shared" ca="1" si="71"/>
        <v>3.1103971075882458E-2</v>
      </c>
      <c r="X59" s="3">
        <f t="shared" ca="1" si="71"/>
        <v>4.5351206467032057E-2</v>
      </c>
      <c r="Y59" s="3">
        <f t="shared" ca="1" si="71"/>
        <v>4.0348125495202385E-2</v>
      </c>
      <c r="Z59" s="3">
        <f t="shared" ca="1" si="71"/>
        <v>5.486587492120458E-2</v>
      </c>
      <c r="AA59" s="3">
        <f t="shared" ca="1" si="71"/>
        <v>4.7472841807936463E-2</v>
      </c>
      <c r="AB59" s="3">
        <f t="shared" ca="1" si="71"/>
        <v>6.1172256348590755E-2</v>
      </c>
      <c r="AC59" s="3">
        <f t="shared" ca="1" si="71"/>
        <v>5.1803451265321737E-2</v>
      </c>
      <c r="AD59" s="3">
        <f t="shared" ca="1" si="71"/>
        <v>7.3251331751850918E-2</v>
      </c>
      <c r="AE59" s="3">
        <f t="shared" ca="1" si="71"/>
        <v>5.9242253874024008E-2</v>
      </c>
      <c r="AF59" s="3">
        <f t="shared" ca="1" si="71"/>
        <v>8.0515300968100639E-2</v>
      </c>
      <c r="AG59" s="3">
        <f t="shared" ca="1" si="71"/>
        <v>6.5350059734375493E-2</v>
      </c>
      <c r="AH59" s="3">
        <f t="shared" ca="1" si="71"/>
        <v>0.11186511519689948</v>
      </c>
      <c r="AI59" s="3">
        <f t="shared" ca="1" si="71"/>
        <v>9.9301316492912059E-2</v>
      </c>
      <c r="AJ59" s="3">
        <f t="shared" ca="1" si="71"/>
        <v>0.15928721798427362</v>
      </c>
    </row>
    <row r="60" spans="1:36" x14ac:dyDescent="0.35">
      <c r="A60" t="s">
        <v>63</v>
      </c>
      <c r="B60" t="s">
        <v>62</v>
      </c>
      <c r="C60" s="4" t="s">
        <v>74</v>
      </c>
      <c r="D60" s="3">
        <f t="shared" ref="D60:AJ60" ca="1" si="72">MIN(0.99,D41+$D$3)</f>
        <v>1.8020747840983051E-2</v>
      </c>
      <c r="E60" s="3">
        <f t="shared" ca="1" si="72"/>
        <v>1.809453404347719E-2</v>
      </c>
      <c r="F60" s="3">
        <f t="shared" ca="1" si="72"/>
        <v>2.105908469317945E-2</v>
      </c>
      <c r="G60" s="3">
        <f t="shared" ca="1" si="72"/>
        <v>1.8641128864361374E-2</v>
      </c>
      <c r="H60" s="3">
        <f t="shared" ca="1" si="72"/>
        <v>2.3360842807264148E-2</v>
      </c>
      <c r="I60" s="3">
        <f t="shared" ca="1" si="72"/>
        <v>2.0027254721049631E-2</v>
      </c>
      <c r="J60" s="3">
        <f t="shared" ca="1" si="72"/>
        <v>2.7063784014990509E-2</v>
      </c>
      <c r="K60" s="3">
        <f t="shared" ca="1" si="72"/>
        <v>2.2248501720931131E-2</v>
      </c>
      <c r="L60" s="3">
        <f t="shared" ca="1" si="72"/>
        <v>2.8480606259042845E-2</v>
      </c>
      <c r="M60" s="3">
        <f t="shared" ca="1" si="72"/>
        <v>2.3490783078957553E-2</v>
      </c>
      <c r="N60" s="3">
        <f t="shared" ca="1" si="72"/>
        <v>3.0360848465446372E-2</v>
      </c>
      <c r="O60" s="3">
        <f t="shared" ca="1" si="72"/>
        <v>2.562456654001161E-2</v>
      </c>
      <c r="P60" s="3">
        <f t="shared" ca="1" si="72"/>
        <v>3.2200615451437306E-2</v>
      </c>
      <c r="Q60" s="3">
        <f t="shared" ca="1" si="72"/>
        <v>2.7159465917760098E-2</v>
      </c>
      <c r="R60" s="3">
        <f t="shared" ca="1" si="72"/>
        <v>3.5432347481547527E-2</v>
      </c>
      <c r="S60" s="3">
        <f t="shared" ca="1" si="72"/>
        <v>2.8592849640076277E-2</v>
      </c>
      <c r="T60" s="3">
        <f t="shared" ca="1" si="72"/>
        <v>3.8837020412524258E-2</v>
      </c>
      <c r="U60" s="3">
        <f t="shared" ca="1" si="72"/>
        <v>2.9706535772791122E-2</v>
      </c>
      <c r="V60" s="3">
        <f t="shared" ca="1" si="72"/>
        <v>4.1027220245693073E-2</v>
      </c>
      <c r="W60" s="3">
        <f t="shared" ca="1" si="72"/>
        <v>3.2102577206807273E-2</v>
      </c>
      <c r="X60" s="3">
        <f t="shared" ca="1" si="72"/>
        <v>4.6301104546630806E-2</v>
      </c>
      <c r="Y60" s="3">
        <f t="shared" ca="1" si="72"/>
        <v>4.125581615555507E-2</v>
      </c>
      <c r="Z60" s="3">
        <f t="shared" ca="1" si="72"/>
        <v>5.5785686065572437E-2</v>
      </c>
      <c r="AA60" s="3">
        <f t="shared" ca="1" si="72"/>
        <v>4.8449611393887426E-2</v>
      </c>
      <c r="AB60" s="3">
        <f t="shared" ca="1" si="72"/>
        <v>6.2168463042633945E-2</v>
      </c>
      <c r="AC60" s="3">
        <f t="shared" ca="1" si="72"/>
        <v>5.2798272709414083E-2</v>
      </c>
      <c r="AD60" s="3">
        <f t="shared" ca="1" si="72"/>
        <v>7.4185801822216693E-2</v>
      </c>
      <c r="AE60" s="3">
        <f t="shared" ca="1" si="72"/>
        <v>6.0155793297869797E-2</v>
      </c>
      <c r="AF60" s="3">
        <f t="shared" ca="1" si="72"/>
        <v>8.1497727974679468E-2</v>
      </c>
      <c r="AG60" s="3">
        <f t="shared" ca="1" si="72"/>
        <v>6.6263833395342017E-2</v>
      </c>
      <c r="AH60" s="3">
        <f t="shared" ca="1" si="72"/>
        <v>0.11278506008438303</v>
      </c>
      <c r="AI60" s="3">
        <f t="shared" ca="1" si="72"/>
        <v>0.1002724641559633</v>
      </c>
      <c r="AJ60" s="3">
        <f t="shared" ca="1" si="72"/>
        <v>0.16028377184732714</v>
      </c>
    </row>
    <row r="61" spans="1:36" x14ac:dyDescent="0.35">
      <c r="A61" t="s">
        <v>63</v>
      </c>
      <c r="B61" t="s">
        <v>62</v>
      </c>
      <c r="C61" s="4">
        <v>7</v>
      </c>
      <c r="D61" s="3">
        <f t="shared" ref="D61:AJ61" ca="1" si="73">MIN(0.99,D42+$D$3)</f>
        <v>1.8924079137333495E-2</v>
      </c>
      <c r="E61" s="3">
        <f t="shared" ca="1" si="73"/>
        <v>1.9056903030725582E-2</v>
      </c>
      <c r="F61" s="3">
        <f t="shared" ca="1" si="73"/>
        <v>2.202781080399294E-2</v>
      </c>
      <c r="G61" s="3">
        <f t="shared" ca="1" si="73"/>
        <v>1.9568272190976992E-2</v>
      </c>
      <c r="H61" s="3">
        <f t="shared" ca="1" si="73"/>
        <v>2.4277759922571199E-2</v>
      </c>
      <c r="I61" s="3">
        <f t="shared" ca="1" si="73"/>
        <v>2.1005318830442345E-2</v>
      </c>
      <c r="J61" s="3">
        <f t="shared" ca="1" si="73"/>
        <v>2.8011108696630517E-2</v>
      </c>
      <c r="K61" s="3">
        <f t="shared" ca="1" si="73"/>
        <v>2.3244925429034464E-2</v>
      </c>
      <c r="L61" s="3">
        <f t="shared" ca="1" si="73"/>
        <v>2.9383975971968661E-2</v>
      </c>
      <c r="M61" s="3">
        <f t="shared" ca="1" si="73"/>
        <v>2.4453256663753628E-2</v>
      </c>
      <c r="N61" s="3">
        <f t="shared" ca="1" si="73"/>
        <v>3.1308686583069553E-2</v>
      </c>
      <c r="O61" s="3">
        <f t="shared" ca="1" si="73"/>
        <v>2.6579893309022645E-2</v>
      </c>
      <c r="P61" s="3">
        <f t="shared" ca="1" si="73"/>
        <v>3.3181477688766829E-2</v>
      </c>
      <c r="Q61" s="3">
        <f t="shared" ca="1" si="73"/>
        <v>2.806632153064045E-2</v>
      </c>
      <c r="R61" s="3">
        <f t="shared" ca="1" si="73"/>
        <v>3.6350403069878974E-2</v>
      </c>
      <c r="S61" s="3">
        <f t="shared" ca="1" si="73"/>
        <v>2.9575560272319765E-2</v>
      </c>
      <c r="T61" s="3">
        <f t="shared" ca="1" si="73"/>
        <v>3.9775367178758847E-2</v>
      </c>
      <c r="U61" s="3">
        <f t="shared" ca="1" si="73"/>
        <v>3.062059898557137E-2</v>
      </c>
      <c r="V61" s="3">
        <f t="shared" ca="1" si="73"/>
        <v>4.2020167173230226E-2</v>
      </c>
      <c r="W61" s="3">
        <f t="shared" ca="1" si="73"/>
        <v>3.3034637869438076E-2</v>
      </c>
      <c r="X61" s="3">
        <f t="shared" ca="1" si="73"/>
        <v>4.7213200824799517E-2</v>
      </c>
      <c r="Y61" s="3">
        <f t="shared" ca="1" si="73"/>
        <v>4.2220442417139292E-2</v>
      </c>
      <c r="Z61" s="3">
        <f t="shared" ca="1" si="73"/>
        <v>5.6705744925759374E-2</v>
      </c>
      <c r="AA61" s="3">
        <f t="shared" ca="1" si="73"/>
        <v>4.9437354915034398E-2</v>
      </c>
      <c r="AB61" s="3">
        <f t="shared" ca="1" si="73"/>
        <v>6.3098521658857362E-2</v>
      </c>
      <c r="AC61" s="3">
        <f t="shared" ca="1" si="73"/>
        <v>5.376380868745502E-2</v>
      </c>
      <c r="AD61" s="3">
        <f t="shared" ca="1" si="73"/>
        <v>7.5115075495291062E-2</v>
      </c>
      <c r="AE61" s="3">
        <f t="shared" ca="1" si="73"/>
        <v>6.1076532847619859E-2</v>
      </c>
      <c r="AF61" s="3">
        <f t="shared" ca="1" si="73"/>
        <v>8.2460529243596981E-2</v>
      </c>
      <c r="AG61" s="3">
        <f t="shared" ca="1" si="73"/>
        <v>6.7197966552727542E-2</v>
      </c>
      <c r="AH61" s="3">
        <f t="shared" ca="1" si="73"/>
        <v>0.11371931802701131</v>
      </c>
      <c r="AI61" s="3">
        <f t="shared" ca="1" si="73"/>
        <v>0.10123699306830482</v>
      </c>
      <c r="AJ61" s="3">
        <f t="shared" ca="1" si="73"/>
        <v>0.16122507544920606</v>
      </c>
    </row>
    <row r="62" spans="1:36" x14ac:dyDescent="0.35">
      <c r="A62" t="s">
        <v>63</v>
      </c>
      <c r="B62" t="s">
        <v>62</v>
      </c>
      <c r="C62" s="4" t="s">
        <v>75</v>
      </c>
      <c r="D62" s="3">
        <f t="shared" ref="D62:AJ62" ca="1" si="74">MIN(0.99,D43+$D$3)</f>
        <v>1.9897349017169393E-2</v>
      </c>
      <c r="E62" s="3">
        <f t="shared" ca="1" si="74"/>
        <v>1.9993036118353142E-2</v>
      </c>
      <c r="F62" s="3">
        <f t="shared" ca="1" si="74"/>
        <v>2.2988557339824831E-2</v>
      </c>
      <c r="G62" s="3">
        <f t="shared" ca="1" si="74"/>
        <v>2.0561854570311126E-2</v>
      </c>
      <c r="H62" s="3">
        <f t="shared" ca="1" si="74"/>
        <v>2.5214599472825245E-2</v>
      </c>
      <c r="I62" s="3">
        <f t="shared" ca="1" si="74"/>
        <v>2.1931157587923068E-2</v>
      </c>
      <c r="J62" s="3">
        <f t="shared" ca="1" si="74"/>
        <v>2.9007776111423099E-2</v>
      </c>
      <c r="K62" s="3">
        <f t="shared" ca="1" si="74"/>
        <v>2.415335376369011E-2</v>
      </c>
      <c r="L62" s="3">
        <f t="shared" ca="1" si="74"/>
        <v>3.03793927553829E-2</v>
      </c>
      <c r="M62" s="3">
        <f t="shared" ca="1" si="74"/>
        <v>2.540780369791229E-2</v>
      </c>
      <c r="N62" s="3">
        <f t="shared" ca="1" si="74"/>
        <v>3.2275861455660547E-2</v>
      </c>
      <c r="O62" s="3">
        <f t="shared" ca="1" si="74"/>
        <v>2.7518188071535329E-2</v>
      </c>
      <c r="P62" s="3">
        <f t="shared" ca="1" si="74"/>
        <v>3.4157032819406206E-2</v>
      </c>
      <c r="Q62" s="3">
        <f t="shared" ca="1" si="74"/>
        <v>2.8986113440450621E-2</v>
      </c>
      <c r="R62" s="3">
        <f t="shared" ca="1" si="74"/>
        <v>3.7260511586442835E-2</v>
      </c>
      <c r="S62" s="3">
        <f t="shared" ca="1" si="74"/>
        <v>3.0502379878107954E-2</v>
      </c>
      <c r="T62" s="3">
        <f t="shared" ca="1" si="74"/>
        <v>4.0720510047526935E-2</v>
      </c>
      <c r="U62" s="3">
        <f t="shared" ca="1" si="74"/>
        <v>3.1562212148225473E-2</v>
      </c>
      <c r="V62" s="3">
        <f t="shared" ca="1" si="74"/>
        <v>4.2952679457509059E-2</v>
      </c>
      <c r="W62" s="3">
        <f t="shared" ca="1" si="74"/>
        <v>3.4023179116663145E-2</v>
      </c>
      <c r="X62" s="3">
        <f t="shared" ca="1" si="74"/>
        <v>4.8167818110563566E-2</v>
      </c>
      <c r="Y62" s="3">
        <f t="shared" ca="1" si="74"/>
        <v>4.3199603190695504E-2</v>
      </c>
      <c r="Z62" s="3">
        <f t="shared" ca="1" si="74"/>
        <v>5.7607178509014881E-2</v>
      </c>
      <c r="AA62" s="3">
        <f t="shared" ca="1" si="74"/>
        <v>5.0345372926057508E-2</v>
      </c>
      <c r="AB62" s="3">
        <f t="shared" ca="1" si="74"/>
        <v>6.4071263165112191E-2</v>
      </c>
      <c r="AC62" s="3">
        <f t="shared" ca="1" si="74"/>
        <v>5.4690535688989655E-2</v>
      </c>
      <c r="AD62" s="3">
        <f t="shared" ca="1" si="74"/>
        <v>7.606597816815526E-2</v>
      </c>
      <c r="AE62" s="3">
        <f t="shared" ca="1" si="74"/>
        <v>6.2021728333656288E-2</v>
      </c>
      <c r="AF62" s="3">
        <f t="shared" ca="1" si="74"/>
        <v>8.3451035795815406E-2</v>
      </c>
      <c r="AG62" s="3">
        <f t="shared" ca="1" si="74"/>
        <v>6.81096744791551E-2</v>
      </c>
      <c r="AH62" s="3">
        <f t="shared" ca="1" si="74"/>
        <v>0.11462679196357307</v>
      </c>
      <c r="AI62" s="3">
        <f t="shared" ca="1" si="74"/>
        <v>0.1021983179183886</v>
      </c>
      <c r="AJ62" s="3">
        <f t="shared" ca="1" si="74"/>
        <v>0.16214245105247474</v>
      </c>
    </row>
    <row r="63" spans="1:36" x14ac:dyDescent="0.35">
      <c r="A63" t="s">
        <v>77</v>
      </c>
      <c r="B63" t="s">
        <v>76</v>
      </c>
      <c r="C63" s="4">
        <v>1</v>
      </c>
      <c r="D63" s="3">
        <f ca="1">MIN(0.99,D6+$O$3)</f>
        <v>2.3963610654793292E-2</v>
      </c>
      <c r="E63" s="3">
        <f t="shared" ref="E63:AA74" ca="1" si="75">MIN(0.99,E6+$O$3)</f>
        <v>2.3986378643548221E-2</v>
      </c>
      <c r="F63" s="3">
        <f t="shared" ca="1" si="75"/>
        <v>2.6852926234317561E-2</v>
      </c>
      <c r="G63" s="3">
        <f t="shared" ca="1" si="75"/>
        <v>2.4732198078093397E-2</v>
      </c>
      <c r="H63" s="3">
        <f t="shared" ca="1" si="75"/>
        <v>2.9029368035721214E-2</v>
      </c>
      <c r="I63" s="3">
        <f t="shared" ca="1" si="75"/>
        <v>2.6058557526889931E-2</v>
      </c>
      <c r="J63" s="3">
        <f t="shared" ca="1" si="75"/>
        <v>3.2779142565684795E-2</v>
      </c>
      <c r="K63" s="3">
        <f t="shared" ca="1" si="75"/>
        <v>2.7971138683631949E-2</v>
      </c>
      <c r="L63" s="3">
        <f t="shared" ca="1" si="75"/>
        <v>3.429187415164462E-2</v>
      </c>
      <c r="M63" s="3">
        <f t="shared" ca="1" si="75"/>
        <v>2.9311275442501936E-2</v>
      </c>
      <c r="N63" s="3">
        <f t="shared" ca="1" si="75"/>
        <v>3.6215547330367276E-2</v>
      </c>
      <c r="O63" s="3">
        <f t="shared" ca="1" si="75"/>
        <v>3.1441558093049222E-2</v>
      </c>
      <c r="P63" s="3">
        <f t="shared" ca="1" si="75"/>
        <v>3.7949604768809576E-2</v>
      </c>
      <c r="Q63" s="3">
        <f t="shared" ca="1" si="75"/>
        <v>3.3141476720116948E-2</v>
      </c>
      <c r="R63" s="3">
        <f t="shared" ca="1" si="75"/>
        <v>4.161749685836319E-2</v>
      </c>
      <c r="S63" s="3">
        <f t="shared" ca="1" si="75"/>
        <v>3.4295079226981495E-2</v>
      </c>
      <c r="T63" s="3">
        <f t="shared" ca="1" si="75"/>
        <v>4.4386816404777596E-2</v>
      </c>
      <c r="U63" s="3">
        <f t="shared" ca="1" si="75"/>
        <v>3.5415289082021857E-2</v>
      </c>
      <c r="V63" s="3">
        <f t="shared" ca="1" si="75"/>
        <v>4.6840662825578486E-2</v>
      </c>
      <c r="W63" s="3">
        <f t="shared" ca="1" si="75"/>
        <v>3.7756983466441921E-2</v>
      </c>
      <c r="X63" s="3">
        <f t="shared" ca="1" si="75"/>
        <v>5.2018810675467396E-2</v>
      </c>
      <c r="Y63" s="3">
        <f t="shared" ca="1" si="75"/>
        <v>4.7132018513747938E-2</v>
      </c>
      <c r="Z63" s="3">
        <f t="shared" ca="1" si="75"/>
        <v>6.1708291342225087E-2</v>
      </c>
      <c r="AA63" s="3">
        <f t="shared" ca="1" si="75"/>
        <v>5.421411920786904E-2</v>
      </c>
      <c r="AB63" s="3">
        <f ca="1">MIN(0.99,AB6+$O$3)</f>
        <v>6.7971708097780359E-2</v>
      </c>
      <c r="AC63" s="3">
        <f t="shared" ref="AC63:AJ78" ca="1" si="76">MIN(0.99,AC6+$O$3)</f>
        <v>5.8510498544814167E-2</v>
      </c>
      <c r="AD63" s="3">
        <f t="shared" ca="1" si="76"/>
        <v>8.0099193380066686E-2</v>
      </c>
      <c r="AE63" s="3">
        <f t="shared" ca="1" si="76"/>
        <v>6.6151079453496381E-2</v>
      </c>
      <c r="AF63" s="3">
        <f t="shared" ca="1" si="76"/>
        <v>8.7121534079713153E-2</v>
      </c>
      <c r="AG63" s="3">
        <f t="shared" ca="1" si="76"/>
        <v>7.220079278672617E-2</v>
      </c>
      <c r="AH63" s="3">
        <f t="shared" ca="1" si="76"/>
        <v>0.11856416028824146</v>
      </c>
      <c r="AI63" s="3">
        <f t="shared" ca="1" si="76"/>
        <v>0.10613646739740754</v>
      </c>
      <c r="AJ63" s="3">
        <f t="shared" ca="1" si="76"/>
        <v>0.1658712147902057</v>
      </c>
    </row>
    <row r="64" spans="1:36" x14ac:dyDescent="0.35">
      <c r="A64" t="s">
        <v>77</v>
      </c>
      <c r="B64" t="s">
        <v>76</v>
      </c>
      <c r="C64" s="4" t="s">
        <v>64</v>
      </c>
      <c r="D64" s="3">
        <f t="shared" ref="D64:S119" ca="1" si="77">MIN(0.99,D7+$O$3)</f>
        <v>2.4895674496150249E-2</v>
      </c>
      <c r="E64" s="3">
        <f t="shared" ca="1" si="77"/>
        <v>2.4913151229578868E-2</v>
      </c>
      <c r="F64" s="3">
        <f t="shared" ca="1" si="77"/>
        <v>2.776394721057044E-2</v>
      </c>
      <c r="G64" s="3">
        <f t="shared" ca="1" si="77"/>
        <v>2.56613325505789E-2</v>
      </c>
      <c r="H64" s="3">
        <f t="shared" ca="1" si="77"/>
        <v>3.0011286673707643E-2</v>
      </c>
      <c r="I64" s="3">
        <f t="shared" ca="1" si="77"/>
        <v>2.6976936637636749E-2</v>
      </c>
      <c r="J64" s="3">
        <f t="shared" ca="1" si="77"/>
        <v>3.3737502164343819E-2</v>
      </c>
      <c r="K64" s="3">
        <f t="shared" ca="1" si="77"/>
        <v>2.8933340036620871E-2</v>
      </c>
      <c r="L64" s="3">
        <f t="shared" ca="1" si="77"/>
        <v>3.5222726071191091E-2</v>
      </c>
      <c r="M64" s="3">
        <f t="shared" ca="1" si="77"/>
        <v>3.0216864519195669E-2</v>
      </c>
      <c r="N64" s="3">
        <f t="shared" ca="1" si="77"/>
        <v>3.7145445645127853E-2</v>
      </c>
      <c r="O64" s="3">
        <f t="shared" ca="1" si="77"/>
        <v>3.2380705225840675E-2</v>
      </c>
      <c r="P64" s="3">
        <f t="shared" ca="1" si="77"/>
        <v>3.8916524675471582E-2</v>
      </c>
      <c r="Q64" s="3">
        <f t="shared" ca="1" si="77"/>
        <v>3.4091829185656432E-2</v>
      </c>
      <c r="R64" s="3">
        <f t="shared" ca="1" si="77"/>
        <v>4.2521037891602713E-2</v>
      </c>
      <c r="S64" s="3">
        <f t="shared" ca="1" si="77"/>
        <v>3.5239882531628859E-2</v>
      </c>
      <c r="T64" s="3">
        <f t="shared" ca="1" si="75"/>
        <v>4.5362729252741346E-2</v>
      </c>
      <c r="U64" s="3">
        <f t="shared" ca="1" si="75"/>
        <v>3.6344626709085982E-2</v>
      </c>
      <c r="V64" s="3">
        <f t="shared" ca="1" si="75"/>
        <v>4.7755388032904939E-2</v>
      </c>
      <c r="W64" s="3">
        <f t="shared" ca="1" si="75"/>
        <v>3.8732336389798921E-2</v>
      </c>
      <c r="X64" s="3">
        <f t="shared" ca="1" si="75"/>
        <v>5.2969765923460504E-2</v>
      </c>
      <c r="Y64" s="3">
        <f t="shared" ca="1" si="75"/>
        <v>4.8033732646481489E-2</v>
      </c>
      <c r="Z64" s="3">
        <f t="shared" ca="1" si="75"/>
        <v>6.2640018030334893E-2</v>
      </c>
      <c r="AA64" s="3">
        <f t="shared" ca="1" si="75"/>
        <v>5.5114930541868321E-2</v>
      </c>
      <c r="AB64" s="3">
        <f t="shared" ref="AB64:AJ64" ca="1" si="78">MIN(0.99,AB7+$O$3)</f>
        <v>6.8891609798219039E-2</v>
      </c>
      <c r="AC64" s="3">
        <f t="shared" ca="1" si="78"/>
        <v>5.9506805844557559E-2</v>
      </c>
      <c r="AD64" s="3">
        <f t="shared" ca="1" si="78"/>
        <v>8.1042860136960382E-2</v>
      </c>
      <c r="AE64" s="3">
        <f t="shared" ca="1" si="78"/>
        <v>6.7075957717422613E-2</v>
      </c>
      <c r="AF64" s="3">
        <f t="shared" ca="1" si="78"/>
        <v>8.8103765089266012E-2</v>
      </c>
      <c r="AG64" s="3">
        <f t="shared" ca="1" si="78"/>
        <v>7.3114089815503713E-2</v>
      </c>
      <c r="AH64" s="3">
        <f t="shared" ca="1" si="78"/>
        <v>0.11952867003247805</v>
      </c>
      <c r="AI64" s="3">
        <f t="shared" ca="1" si="78"/>
        <v>0.10704611153261484</v>
      </c>
      <c r="AJ64" s="3">
        <f t="shared" ca="1" si="78"/>
        <v>0.16685152375639067</v>
      </c>
    </row>
    <row r="65" spans="1:36" x14ac:dyDescent="0.35">
      <c r="A65" t="s">
        <v>77</v>
      </c>
      <c r="B65" t="s">
        <v>76</v>
      </c>
      <c r="C65" s="4">
        <v>2</v>
      </c>
      <c r="D65" s="3">
        <f t="shared" ca="1" si="77"/>
        <v>2.5821632048266641E-2</v>
      </c>
      <c r="E65" s="3">
        <f t="shared" ca="1" si="75"/>
        <v>2.5881326667409443E-2</v>
      </c>
      <c r="F65" s="3">
        <f t="shared" ca="1" si="75"/>
        <v>2.874522121645887E-2</v>
      </c>
      <c r="G65" s="3">
        <f t="shared" ca="1" si="75"/>
        <v>2.65813444554601E-2</v>
      </c>
      <c r="H65" s="3">
        <f t="shared" ca="1" si="75"/>
        <v>3.0927212612361012E-2</v>
      </c>
      <c r="I65" s="3">
        <f t="shared" ca="1" si="75"/>
        <v>2.7882004695922939E-2</v>
      </c>
      <c r="J65" s="3">
        <f t="shared" ca="1" si="75"/>
        <v>3.4667351914065545E-2</v>
      </c>
      <c r="K65" s="3">
        <f t="shared" ca="1" si="75"/>
        <v>2.9927812578458429E-2</v>
      </c>
      <c r="L65" s="3">
        <f t="shared" ca="1" si="75"/>
        <v>3.6147081007738086E-2</v>
      </c>
      <c r="M65" s="3">
        <f t="shared" ca="1" si="75"/>
        <v>3.115403606512341E-2</v>
      </c>
      <c r="N65" s="3">
        <f t="shared" ca="1" si="75"/>
        <v>3.8137716243787673E-2</v>
      </c>
      <c r="O65" s="3">
        <f t="shared" ca="1" si="75"/>
        <v>3.3298412590599472E-2</v>
      </c>
      <c r="P65" s="3">
        <f t="shared" ca="1" si="75"/>
        <v>3.9905856216276243E-2</v>
      </c>
      <c r="Q65" s="3">
        <f t="shared" ca="1" si="75"/>
        <v>3.5045135373585279E-2</v>
      </c>
      <c r="R65" s="3">
        <f t="shared" ca="1" si="75"/>
        <v>4.3429588836605706E-2</v>
      </c>
      <c r="S65" s="3">
        <f t="shared" ca="1" si="75"/>
        <v>3.6185928747438138E-2</v>
      </c>
      <c r="T65" s="3">
        <f t="shared" ca="1" si="75"/>
        <v>4.6342687261826374E-2</v>
      </c>
      <c r="U65" s="3">
        <f t="shared" ca="1" si="75"/>
        <v>3.7337164190721889E-2</v>
      </c>
      <c r="V65" s="3">
        <f t="shared" ca="1" si="75"/>
        <v>4.8675416397122334E-2</v>
      </c>
      <c r="W65" s="3">
        <f t="shared" ca="1" si="75"/>
        <v>3.9730733342937724E-2</v>
      </c>
      <c r="X65" s="3">
        <f t="shared" ca="1" si="75"/>
        <v>5.3891797710573161E-2</v>
      </c>
      <c r="Y65" s="3">
        <f t="shared" ca="1" si="75"/>
        <v>4.9033109927439075E-2</v>
      </c>
      <c r="Z65" s="3">
        <f t="shared" ca="1" si="75"/>
        <v>6.3611250237837147E-2</v>
      </c>
      <c r="AA65" s="3">
        <f t="shared" ca="1" si="75"/>
        <v>5.6071368324505731E-2</v>
      </c>
      <c r="AB65" s="3">
        <f t="shared" ref="AB65" ca="1" si="79">MIN(0.99,AB8+$O$3)</f>
        <v>6.9858461869391902E-2</v>
      </c>
      <c r="AC65" s="3">
        <f t="shared" ca="1" si="76"/>
        <v>6.0499331606229612E-2</v>
      </c>
      <c r="AD65" s="3">
        <f t="shared" ca="1" si="76"/>
        <v>8.1959287196309627E-2</v>
      </c>
      <c r="AE65" s="3">
        <f t="shared" ca="1" si="76"/>
        <v>6.7999456248432871E-2</v>
      </c>
      <c r="AF65" s="3">
        <f t="shared" ca="1" si="76"/>
        <v>8.9101944943421468E-2</v>
      </c>
      <c r="AG65" s="3">
        <f t="shared" ca="1" si="76"/>
        <v>7.4062559886522328E-2</v>
      </c>
      <c r="AH65" s="3">
        <f t="shared" ca="1" si="76"/>
        <v>0.12052214064559788</v>
      </c>
      <c r="AI65" s="3">
        <f t="shared" ca="1" si="76"/>
        <v>0.10797097129372371</v>
      </c>
      <c r="AJ65" s="3">
        <f t="shared" ca="1" si="76"/>
        <v>0.16783244390878499</v>
      </c>
    </row>
    <row r="66" spans="1:36" x14ac:dyDescent="0.35">
      <c r="A66" t="s">
        <v>77</v>
      </c>
      <c r="B66" t="s">
        <v>76</v>
      </c>
      <c r="C66" s="4" t="s">
        <v>65</v>
      </c>
      <c r="D66" s="3">
        <f t="shared" ca="1" si="77"/>
        <v>2.679589520759313E-2</v>
      </c>
      <c r="E66" s="3">
        <f t="shared" ca="1" si="75"/>
        <v>2.6840108809453971E-2</v>
      </c>
      <c r="F66" s="3">
        <f t="shared" ca="1" si="75"/>
        <v>2.9741492140446683E-2</v>
      </c>
      <c r="G66" s="3">
        <f t="shared" ca="1" si="75"/>
        <v>2.7502465008599472E-2</v>
      </c>
      <c r="H66" s="3">
        <f t="shared" ca="1" si="75"/>
        <v>3.184182813296043E-2</v>
      </c>
      <c r="I66" s="3">
        <f t="shared" ca="1" si="75"/>
        <v>2.8839279866072393E-2</v>
      </c>
      <c r="J66" s="3">
        <f t="shared" ca="1" si="75"/>
        <v>3.563017728860364E-2</v>
      </c>
      <c r="K66" s="3">
        <f t="shared" ca="1" si="75"/>
        <v>3.0900339438126964E-2</v>
      </c>
      <c r="L66" s="3">
        <f t="shared" ca="1" si="75"/>
        <v>3.7145960609541492E-2</v>
      </c>
      <c r="M66" s="3">
        <f t="shared" ca="1" si="75"/>
        <v>3.2150852184684976E-2</v>
      </c>
      <c r="N66" s="3">
        <f t="shared" ca="1" si="75"/>
        <v>3.911203634585711E-2</v>
      </c>
      <c r="O66" s="3">
        <f t="shared" ca="1" si="75"/>
        <v>3.4274637448645139E-2</v>
      </c>
      <c r="P66" s="3">
        <f t="shared" ca="1" si="75"/>
        <v>4.0898490210762486E-2</v>
      </c>
      <c r="Q66" s="3">
        <f t="shared" ca="1" si="75"/>
        <v>3.5963244489139241E-2</v>
      </c>
      <c r="R66" s="3">
        <f t="shared" ca="1" si="75"/>
        <v>4.4388105366261865E-2</v>
      </c>
      <c r="S66" s="3">
        <f t="shared" ca="1" si="75"/>
        <v>3.7115891148335092E-2</v>
      </c>
      <c r="T66" s="3">
        <f t="shared" ca="1" si="75"/>
        <v>4.7336634618697873E-2</v>
      </c>
      <c r="U66" s="3">
        <f t="shared" ca="1" si="75"/>
        <v>3.8265356228156716E-2</v>
      </c>
      <c r="V66" s="3">
        <f t="shared" ca="1" si="75"/>
        <v>4.9643132128602205E-2</v>
      </c>
      <c r="W66" s="3">
        <f t="shared" ca="1" si="75"/>
        <v>4.0665900796183499E-2</v>
      </c>
      <c r="X66" s="3">
        <f t="shared" ca="1" si="75"/>
        <v>5.4797122156003152E-2</v>
      </c>
      <c r="Y66" s="3">
        <f t="shared" ca="1" si="75"/>
        <v>5.0030831300711481E-2</v>
      </c>
      <c r="Z66" s="3">
        <f t="shared" ca="1" si="75"/>
        <v>6.4511659738968913E-2</v>
      </c>
      <c r="AA66" s="3">
        <f t="shared" ca="1" si="75"/>
        <v>5.7019110935936243E-2</v>
      </c>
      <c r="AB66" s="3">
        <f t="shared" ref="AB66" ca="1" si="80">MIN(0.99,AB9+$O$3)</f>
        <v>7.0829398594925236E-2</v>
      </c>
      <c r="AC66" s="3">
        <f t="shared" ca="1" si="76"/>
        <v>6.1433912361452264E-2</v>
      </c>
      <c r="AD66" s="3">
        <f t="shared" ca="1" si="76"/>
        <v>8.2933831114099937E-2</v>
      </c>
      <c r="AE66" s="3">
        <f t="shared" ca="1" si="76"/>
        <v>6.8977912431164079E-2</v>
      </c>
      <c r="AF66" s="3">
        <f t="shared" ca="1" si="76"/>
        <v>9.0076410212584279E-2</v>
      </c>
      <c r="AG66" s="3">
        <f t="shared" ca="1" si="76"/>
        <v>7.5020526637825907E-2</v>
      </c>
      <c r="AH66" s="3">
        <f t="shared" ca="1" si="76"/>
        <v>0.12144566515932662</v>
      </c>
      <c r="AI66" s="3">
        <f t="shared" ca="1" si="76"/>
        <v>0.10895910859147614</v>
      </c>
      <c r="AJ66" s="3">
        <f t="shared" ca="1" si="76"/>
        <v>0.16880013731177765</v>
      </c>
    </row>
    <row r="67" spans="1:36" x14ac:dyDescent="0.35">
      <c r="A67" t="s">
        <v>77</v>
      </c>
      <c r="B67" t="s">
        <v>76</v>
      </c>
      <c r="C67" s="4" t="s">
        <v>66</v>
      </c>
      <c r="D67" s="3">
        <f t="shared" ca="1" si="77"/>
        <v>2.773815792416362E-2</v>
      </c>
      <c r="E67" s="3">
        <f t="shared" ca="1" si="75"/>
        <v>2.775300193319084E-2</v>
      </c>
      <c r="F67" s="3">
        <f t="shared" ca="1" si="75"/>
        <v>3.0714046159224379E-2</v>
      </c>
      <c r="G67" s="3">
        <f t="shared" ca="1" si="75"/>
        <v>2.8410459666311103E-2</v>
      </c>
      <c r="H67" s="3">
        <f t="shared" ca="1" si="75"/>
        <v>3.2798034188898109E-2</v>
      </c>
      <c r="I67" s="3">
        <f t="shared" ca="1" si="75"/>
        <v>2.9771855789401638E-2</v>
      </c>
      <c r="J67" s="3">
        <f t="shared" ca="1" si="75"/>
        <v>3.6600994063881662E-2</v>
      </c>
      <c r="K67" s="3">
        <f t="shared" ca="1" si="75"/>
        <v>3.1803710122416284E-2</v>
      </c>
      <c r="L67" s="3">
        <f t="shared" ca="1" si="75"/>
        <v>3.8143807515253994E-2</v>
      </c>
      <c r="M67" s="3">
        <f t="shared" ca="1" si="75"/>
        <v>3.3073595419630689E-2</v>
      </c>
      <c r="N67" s="3">
        <f t="shared" ca="1" si="75"/>
        <v>4.0058621914542833E-2</v>
      </c>
      <c r="O67" s="3">
        <f t="shared" ca="1" si="75"/>
        <v>3.5223107852569491E-2</v>
      </c>
      <c r="P67" s="3">
        <f t="shared" ca="1" si="75"/>
        <v>4.1847514753066598E-2</v>
      </c>
      <c r="Q67" s="3">
        <f t="shared" ca="1" si="75"/>
        <v>3.6874488541864904E-2</v>
      </c>
      <c r="R67" s="3">
        <f t="shared" ca="1" si="75"/>
        <v>4.5292268621443255E-2</v>
      </c>
      <c r="S67" s="3">
        <f t="shared" ca="1" si="75"/>
        <v>3.8045455968365845E-2</v>
      </c>
      <c r="T67" s="3">
        <f t="shared" ca="1" si="75"/>
        <v>4.8266931006342759E-2</v>
      </c>
      <c r="U67" s="3">
        <f t="shared" ca="1" si="75"/>
        <v>3.9193013443737088E-2</v>
      </c>
      <c r="V67" s="3">
        <f t="shared" ca="1" si="75"/>
        <v>5.060895040348061E-2</v>
      </c>
      <c r="W67" s="3">
        <f t="shared" ca="1" si="75"/>
        <v>4.15943998890358E-2</v>
      </c>
      <c r="X67" s="3">
        <f t="shared" ca="1" si="75"/>
        <v>5.5774937697663139E-2</v>
      </c>
      <c r="Y67" s="3">
        <f t="shared" ca="1" si="75"/>
        <v>5.1012536993972124E-2</v>
      </c>
      <c r="Z67" s="3">
        <f t="shared" ca="1" si="75"/>
        <v>6.5440237226901399E-2</v>
      </c>
      <c r="AA67" s="3">
        <f t="shared" ca="1" si="75"/>
        <v>5.7974583166414885E-2</v>
      </c>
      <c r="AB67" s="3">
        <f t="shared" ref="AB67" ca="1" si="81">MIN(0.99,AB10+$O$3)</f>
        <v>7.1821233798801662E-2</v>
      </c>
      <c r="AC67" s="3">
        <f t="shared" ca="1" si="76"/>
        <v>6.2367269863840183E-2</v>
      </c>
      <c r="AD67" s="3">
        <f t="shared" ca="1" si="76"/>
        <v>8.3869738761045309E-2</v>
      </c>
      <c r="AE67" s="3">
        <f t="shared" ca="1" si="76"/>
        <v>6.9950086949822396E-2</v>
      </c>
      <c r="AF67" s="3">
        <f t="shared" ca="1" si="76"/>
        <v>9.1055947160218892E-2</v>
      </c>
      <c r="AG67" s="3">
        <f t="shared" ca="1" si="76"/>
        <v>7.5974291600568969E-2</v>
      </c>
      <c r="AH67" s="3">
        <f t="shared" ca="1" si="76"/>
        <v>0.1223806877039966</v>
      </c>
      <c r="AI67" s="3">
        <f t="shared" ca="1" si="76"/>
        <v>0.1098761649892385</v>
      </c>
      <c r="AJ67" s="3">
        <f t="shared" ca="1" si="76"/>
        <v>0.16972257710998501</v>
      </c>
    </row>
    <row r="68" spans="1:36" x14ac:dyDescent="0.35">
      <c r="A68" t="s">
        <v>77</v>
      </c>
      <c r="B68" t="s">
        <v>76</v>
      </c>
      <c r="C68" s="4">
        <v>3</v>
      </c>
      <c r="D68" s="3">
        <f t="shared" ca="1" si="77"/>
        <v>2.866935971845546E-2</v>
      </c>
      <c r="E68" s="3">
        <f t="shared" ca="1" si="75"/>
        <v>2.8666240621826908E-2</v>
      </c>
      <c r="F68" s="3">
        <f t="shared" ca="1" si="75"/>
        <v>3.1682592007757644E-2</v>
      </c>
      <c r="G68" s="3">
        <f t="shared" ca="1" si="75"/>
        <v>2.93400461386088E-2</v>
      </c>
      <c r="H68" s="3">
        <f t="shared" ca="1" si="75"/>
        <v>3.3772945413609472E-2</v>
      </c>
      <c r="I68" s="3">
        <f t="shared" ca="1" si="75"/>
        <v>3.0766609486790414E-2</v>
      </c>
      <c r="J68" s="3">
        <f t="shared" ca="1" si="75"/>
        <v>3.757334450664742E-2</v>
      </c>
      <c r="K68" s="3">
        <f t="shared" ca="1" si="75"/>
        <v>3.2748849623278273E-2</v>
      </c>
      <c r="L68" s="3">
        <f t="shared" ca="1" si="75"/>
        <v>3.9070659984928965E-2</v>
      </c>
      <c r="M68" s="3">
        <f t="shared" ca="1" si="75"/>
        <v>3.3979809971407704E-2</v>
      </c>
      <c r="N68" s="3">
        <f t="shared" ca="1" si="75"/>
        <v>4.0958931459472957E-2</v>
      </c>
      <c r="O68" s="3">
        <f t="shared" ca="1" si="75"/>
        <v>3.6202359955625964E-2</v>
      </c>
      <c r="P68" s="3">
        <f t="shared" ca="1" si="75"/>
        <v>4.2770199779425928E-2</v>
      </c>
      <c r="Q68" s="3">
        <f t="shared" ca="1" si="75"/>
        <v>3.7795084812374501E-2</v>
      </c>
      <c r="R68" s="3">
        <f t="shared" ca="1" si="75"/>
        <v>4.6203671507448557E-2</v>
      </c>
      <c r="S68" s="3">
        <f t="shared" ca="1" si="75"/>
        <v>3.9017340461537153E-2</v>
      </c>
      <c r="T68" s="3">
        <f t="shared" ca="1" si="75"/>
        <v>4.9251911535335383E-2</v>
      </c>
      <c r="U68" s="3">
        <f t="shared" ca="1" si="75"/>
        <v>4.0116404116747453E-2</v>
      </c>
      <c r="V68" s="3">
        <f t="shared" ca="1" si="75"/>
        <v>5.1593747347461139E-2</v>
      </c>
      <c r="W68" s="3">
        <f t="shared" ca="1" si="75"/>
        <v>4.2593499936989208E-2</v>
      </c>
      <c r="X68" s="3">
        <f t="shared" ca="1" si="75"/>
        <v>5.6753372640952461E-2</v>
      </c>
      <c r="Y68" s="3">
        <f t="shared" ca="1" si="75"/>
        <v>5.1989290267113158E-2</v>
      </c>
      <c r="Z68" s="3">
        <f t="shared" ca="1" si="75"/>
        <v>6.6429384288995807E-2</v>
      </c>
      <c r="AA68" s="3">
        <f t="shared" ca="1" si="75"/>
        <v>5.8897187753335106E-2</v>
      </c>
      <c r="AB68" s="3">
        <f t="shared" ref="AB68" ca="1" si="82">MIN(0.99,AB11+$O$3)</f>
        <v>7.2743369845187547E-2</v>
      </c>
      <c r="AC68" s="3">
        <f t="shared" ca="1" si="76"/>
        <v>6.3355880227485284E-2</v>
      </c>
      <c r="AD68" s="3">
        <f t="shared" ca="1" si="76"/>
        <v>8.4852457227631239E-2</v>
      </c>
      <c r="AE68" s="3">
        <f t="shared" ca="1" si="76"/>
        <v>7.0945981465828756E-2</v>
      </c>
      <c r="AF68" s="3">
        <f t="shared" ca="1" si="76"/>
        <v>9.203606532491182E-2</v>
      </c>
      <c r="AG68" s="3">
        <f t="shared" ca="1" si="76"/>
        <v>7.691416490740946E-2</v>
      </c>
      <c r="AH68" s="3">
        <f t="shared" ca="1" si="76"/>
        <v>0.12334730881982606</v>
      </c>
      <c r="AI68" s="3">
        <f t="shared" ca="1" si="76"/>
        <v>0.1108062859834307</v>
      </c>
      <c r="AJ68" s="3">
        <f t="shared" ca="1" si="76"/>
        <v>0.17067869475161423</v>
      </c>
    </row>
    <row r="69" spans="1:36" x14ac:dyDescent="0.35">
      <c r="A69" t="s">
        <v>77</v>
      </c>
      <c r="B69" t="s">
        <v>76</v>
      </c>
      <c r="C69" s="4" t="s">
        <v>67</v>
      </c>
      <c r="D69" s="3">
        <f t="shared" ca="1" si="77"/>
        <v>2.9609784391895742E-2</v>
      </c>
      <c r="E69" s="3">
        <f t="shared" ca="1" si="75"/>
        <v>2.9637079861433418E-2</v>
      </c>
      <c r="F69" s="3">
        <f t="shared" ca="1" si="75"/>
        <v>3.2638562829574752E-2</v>
      </c>
      <c r="G69" s="3">
        <f t="shared" ca="1" si="75"/>
        <v>3.0253995788523155E-2</v>
      </c>
      <c r="H69" s="3">
        <f t="shared" ca="1" si="75"/>
        <v>3.4716007484139423E-2</v>
      </c>
      <c r="I69" s="3">
        <f t="shared" ca="1" si="75"/>
        <v>3.1714563245252375E-2</v>
      </c>
      <c r="J69" s="3">
        <f t="shared" ca="1" si="75"/>
        <v>3.8506029205336828E-2</v>
      </c>
      <c r="K69" s="3">
        <f t="shared" ca="1" si="75"/>
        <v>3.3669484781254283E-2</v>
      </c>
      <c r="L69" s="3">
        <f t="shared" ca="1" si="75"/>
        <v>3.9988946462865244E-2</v>
      </c>
      <c r="M69" s="3">
        <f t="shared" ca="1" si="75"/>
        <v>3.4954249364166426E-2</v>
      </c>
      <c r="N69" s="3">
        <f t="shared" ca="1" si="75"/>
        <v>4.1947564407299798E-2</v>
      </c>
      <c r="O69" s="3">
        <f t="shared" ca="1" si="75"/>
        <v>3.7105791073401825E-2</v>
      </c>
      <c r="P69" s="3">
        <f t="shared" ca="1" si="75"/>
        <v>4.3671471193201292E-2</v>
      </c>
      <c r="Q69" s="3">
        <f t="shared" ca="1" si="75"/>
        <v>3.8763867289089191E-2</v>
      </c>
      <c r="R69" s="3">
        <f t="shared" ca="1" si="75"/>
        <v>4.7151736727915838E-2</v>
      </c>
      <c r="S69" s="3">
        <f t="shared" ca="1" si="75"/>
        <v>3.9945579010579976E-2</v>
      </c>
      <c r="T69" s="3">
        <f t="shared" ca="1" si="75"/>
        <v>5.0190276389162305E-2</v>
      </c>
      <c r="U69" s="3">
        <f t="shared" ca="1" si="75"/>
        <v>4.1050766572171819E-2</v>
      </c>
      <c r="V69" s="3">
        <f t="shared" ca="1" si="75"/>
        <v>5.2560243023749259E-2</v>
      </c>
      <c r="W69" s="3">
        <f t="shared" ca="1" si="75"/>
        <v>4.3533068446941006E-2</v>
      </c>
      <c r="X69" s="3">
        <f t="shared" ca="1" si="75"/>
        <v>5.7740686148998008E-2</v>
      </c>
      <c r="Y69" s="3">
        <f t="shared" ca="1" si="75"/>
        <v>5.290538995203356E-2</v>
      </c>
      <c r="Z69" s="3">
        <f t="shared" ca="1" si="75"/>
        <v>6.7428403292747865E-2</v>
      </c>
      <c r="AA69" s="3">
        <f t="shared" ca="1" si="75"/>
        <v>5.9862424695422474E-2</v>
      </c>
      <c r="AB69" s="3">
        <f t="shared" ref="AB69" ca="1" si="83">MIN(0.99,AB12+$O$3)</f>
        <v>7.3716111888956604E-2</v>
      </c>
      <c r="AC69" s="3">
        <f t="shared" ca="1" si="76"/>
        <v>6.4279953613157109E-2</v>
      </c>
      <c r="AD69" s="3">
        <f t="shared" ca="1" si="76"/>
        <v>8.5759064276979269E-2</v>
      </c>
      <c r="AE69" s="3">
        <f t="shared" ca="1" si="76"/>
        <v>7.1852611762909802E-2</v>
      </c>
      <c r="AF69" s="3">
        <f t="shared" ca="1" si="76"/>
        <v>9.3008131839625724E-2</v>
      </c>
      <c r="AG69" s="3">
        <f t="shared" ca="1" si="76"/>
        <v>7.7821814817648133E-2</v>
      </c>
      <c r="AH69" s="3">
        <f t="shared" ca="1" si="76"/>
        <v>0.12431069772834699</v>
      </c>
      <c r="AI69" s="3">
        <f t="shared" ca="1" si="76"/>
        <v>0.11172605083131312</v>
      </c>
      <c r="AJ69" s="3">
        <f t="shared" ca="1" si="76"/>
        <v>0.17165119939555118</v>
      </c>
    </row>
    <row r="70" spans="1:36" x14ac:dyDescent="0.35">
      <c r="A70" t="s">
        <v>77</v>
      </c>
      <c r="B70" t="s">
        <v>76</v>
      </c>
      <c r="C70" s="4" t="s">
        <v>68</v>
      </c>
      <c r="D70" s="3">
        <f t="shared" ca="1" si="77"/>
        <v>3.0514626892921434E-2</v>
      </c>
      <c r="E70" s="3">
        <f t="shared" ca="1" si="75"/>
        <v>3.0560481051637209E-2</v>
      </c>
      <c r="F70" s="3">
        <f t="shared" ca="1" si="75"/>
        <v>3.3577015999812082E-2</v>
      </c>
      <c r="G70" s="3">
        <f t="shared" ca="1" si="75"/>
        <v>3.1169958427536663E-2</v>
      </c>
      <c r="H70" s="3">
        <f t="shared" ca="1" si="75"/>
        <v>3.5657134417089752E-2</v>
      </c>
      <c r="I70" s="3">
        <f t="shared" ca="1" si="75"/>
        <v>3.2615320269035436E-2</v>
      </c>
      <c r="J70" s="3">
        <f t="shared" ca="1" si="75"/>
        <v>3.9412456339383811E-2</v>
      </c>
      <c r="K70" s="3">
        <f t="shared" ca="1" si="75"/>
        <v>3.461485910879581E-2</v>
      </c>
      <c r="L70" s="3">
        <f t="shared" ca="1" si="75"/>
        <v>4.089377104873422E-2</v>
      </c>
      <c r="M70" s="3">
        <f t="shared" ca="1" si="75"/>
        <v>3.5921256037177066E-2</v>
      </c>
      <c r="N70" s="3">
        <f t="shared" ca="1" si="75"/>
        <v>4.28919432237269E-2</v>
      </c>
      <c r="O70" s="3">
        <f t="shared" ca="1" si="75"/>
        <v>3.8075533665439205E-2</v>
      </c>
      <c r="P70" s="3">
        <f t="shared" ca="1" si="75"/>
        <v>4.4588156290569399E-2</v>
      </c>
      <c r="Q70" s="3">
        <f t="shared" ca="1" si="75"/>
        <v>3.973528863912535E-2</v>
      </c>
      <c r="R70" s="3">
        <f t="shared" ca="1" si="75"/>
        <v>4.8062237012516731E-2</v>
      </c>
      <c r="S70" s="3">
        <f t="shared" ca="1" si="75"/>
        <v>4.0874124100872898E-2</v>
      </c>
      <c r="T70" s="3">
        <f t="shared" ca="1" si="75"/>
        <v>5.1185086397123311E-2</v>
      </c>
      <c r="U70" s="3">
        <f t="shared" ca="1" si="75"/>
        <v>4.2021988726707434E-2</v>
      </c>
      <c r="V70" s="3">
        <f t="shared" ca="1" si="75"/>
        <v>5.347007614088195E-2</v>
      </c>
      <c r="W70" s="3">
        <f t="shared" ca="1" si="75"/>
        <v>4.4459328376510607E-2</v>
      </c>
      <c r="X70" s="3">
        <f t="shared" ca="1" si="75"/>
        <v>5.8721483647560073E-2</v>
      </c>
      <c r="Y70" s="3">
        <f t="shared" ca="1" si="75"/>
        <v>5.3813263717884148E-2</v>
      </c>
      <c r="Z70" s="3">
        <f t="shared" ca="1" si="75"/>
        <v>6.8335735657418573E-2</v>
      </c>
      <c r="AA70" s="3">
        <f t="shared" ca="1" si="75"/>
        <v>6.0818446840070116E-2</v>
      </c>
      <c r="AB70" s="3">
        <f t="shared" ref="AB70" ca="1" si="84">MIN(0.99,AB13+$O$3)</f>
        <v>7.4628033584131392E-2</v>
      </c>
      <c r="AC70" s="3">
        <f t="shared" ca="1" si="76"/>
        <v>6.5180968156039382E-2</v>
      </c>
      <c r="AD70" s="3">
        <f t="shared" ca="1" si="76"/>
        <v>8.6673298902339491E-2</v>
      </c>
      <c r="AE70" s="3">
        <f t="shared" ca="1" si="76"/>
        <v>7.2759844697054946E-2</v>
      </c>
      <c r="AF70" s="3">
        <f t="shared" ca="1" si="76"/>
        <v>9.3939674133183632E-2</v>
      </c>
      <c r="AG70" s="3">
        <f t="shared" ca="1" si="76"/>
        <v>7.8734280172886417E-2</v>
      </c>
      <c r="AH70" s="3">
        <f t="shared" ca="1" si="76"/>
        <v>0.1252153888842755</v>
      </c>
      <c r="AI70" s="3">
        <f t="shared" ca="1" si="76"/>
        <v>0.11272538702969306</v>
      </c>
      <c r="AJ70" s="3">
        <f t="shared" ca="1" si="76"/>
        <v>0.17260688788931283</v>
      </c>
    </row>
    <row r="71" spans="1:36" x14ac:dyDescent="0.35">
      <c r="A71" t="s">
        <v>77</v>
      </c>
      <c r="B71" t="s">
        <v>76</v>
      </c>
      <c r="C71" s="4">
        <v>4</v>
      </c>
      <c r="D71" s="3">
        <f t="shared" ca="1" si="77"/>
        <v>3.1434599147483255E-2</v>
      </c>
      <c r="E71" s="3">
        <f t="shared" ca="1" si="75"/>
        <v>3.1469896123868212E-2</v>
      </c>
      <c r="F71" s="3">
        <f t="shared" ca="1" si="75"/>
        <v>3.4548285470761345E-2</v>
      </c>
      <c r="G71" s="3">
        <f t="shared" ca="1" si="75"/>
        <v>3.2114529993795229E-2</v>
      </c>
      <c r="H71" s="3">
        <f t="shared" ca="1" si="75"/>
        <v>3.6604507945391891E-2</v>
      </c>
      <c r="I71" s="3">
        <f t="shared" ca="1" si="75"/>
        <v>3.3587131639926819E-2</v>
      </c>
      <c r="J71" s="3">
        <f t="shared" ca="1" si="75"/>
        <v>4.0385860734487779E-2</v>
      </c>
      <c r="K71" s="3">
        <f t="shared" ca="1" si="75"/>
        <v>3.5555807675196158E-2</v>
      </c>
      <c r="L71" s="3">
        <f t="shared" ca="1" si="75"/>
        <v>4.1798101036850992E-2</v>
      </c>
      <c r="M71" s="3">
        <f t="shared" ca="1" si="75"/>
        <v>3.6843904955614612E-2</v>
      </c>
      <c r="N71" s="3">
        <f t="shared" ca="1" si="75"/>
        <v>4.3816789454752036E-2</v>
      </c>
      <c r="O71" s="3">
        <f t="shared" ca="1" si="75"/>
        <v>3.9033001669030828E-2</v>
      </c>
      <c r="P71" s="3">
        <f t="shared" ca="1" si="75"/>
        <v>4.5583330612562672E-2</v>
      </c>
      <c r="Q71" s="3">
        <f t="shared" ca="1" si="75"/>
        <v>4.0649984960146233E-2</v>
      </c>
      <c r="R71" s="3">
        <f t="shared" ca="1" si="75"/>
        <v>4.9039073792018065E-2</v>
      </c>
      <c r="S71" s="3">
        <f t="shared" ca="1" si="75"/>
        <v>4.1864880486290945E-2</v>
      </c>
      <c r="T71" s="3">
        <f t="shared" ca="1" si="75"/>
        <v>5.2161731581030747E-2</v>
      </c>
      <c r="U71" s="3">
        <f t="shared" ca="1" si="75"/>
        <v>4.3000614096510084E-2</v>
      </c>
      <c r="V71" s="3">
        <f t="shared" ca="1" si="75"/>
        <v>5.4420192427099057E-2</v>
      </c>
      <c r="W71" s="3">
        <f t="shared" ca="1" si="75"/>
        <v>4.5409699368010162E-2</v>
      </c>
      <c r="X71" s="3">
        <f t="shared" ca="1" si="75"/>
        <v>5.9708701127595132E-2</v>
      </c>
      <c r="Y71" s="3">
        <f t="shared" ca="1" si="75"/>
        <v>5.47653741667418E-2</v>
      </c>
      <c r="Z71" s="3">
        <f t="shared" ca="1" si="75"/>
        <v>6.9270428216570007E-2</v>
      </c>
      <c r="AA71" s="3">
        <f t="shared" ca="1" si="75"/>
        <v>6.1753183848065711E-2</v>
      </c>
      <c r="AB71" s="3">
        <f t="shared" ref="AB71" ca="1" si="85">MIN(0.99,AB14+$O$3)</f>
        <v>7.5542984051629319E-2</v>
      </c>
      <c r="AC71" s="3">
        <f t="shared" ca="1" si="76"/>
        <v>6.6154279584718645E-2</v>
      </c>
      <c r="AD71" s="3">
        <f t="shared" ca="1" si="76"/>
        <v>8.7586704413309568E-2</v>
      </c>
      <c r="AE71" s="3">
        <f t="shared" ca="1" si="76"/>
        <v>7.366248497083619E-2</v>
      </c>
      <c r="AF71" s="3">
        <f t="shared" ca="1" si="76"/>
        <v>9.486761031547894E-2</v>
      </c>
      <c r="AG71" s="3">
        <f t="shared" ca="1" si="76"/>
        <v>7.969577013913319E-2</v>
      </c>
      <c r="AH71" s="3">
        <f t="shared" ca="1" si="76"/>
        <v>0.12620260001787467</v>
      </c>
      <c r="AI71" s="3">
        <f t="shared" ca="1" si="76"/>
        <v>0.11369329072769133</v>
      </c>
      <c r="AJ71" s="3">
        <f t="shared" ca="1" si="76"/>
        <v>0.17356612343656838</v>
      </c>
    </row>
    <row r="72" spans="1:36" x14ac:dyDescent="0.35">
      <c r="A72" t="s">
        <v>77</v>
      </c>
      <c r="B72" t="s">
        <v>76</v>
      </c>
      <c r="C72" s="4" t="s">
        <v>69</v>
      </c>
      <c r="D72" s="3">
        <f t="shared" ca="1" si="77"/>
        <v>3.2408185418172211E-2</v>
      </c>
      <c r="E72" s="3">
        <f t="shared" ca="1" si="75"/>
        <v>3.244169619556439E-2</v>
      </c>
      <c r="F72" s="3">
        <f t="shared" ca="1" si="75"/>
        <v>3.5511172737799857E-2</v>
      </c>
      <c r="G72" s="3">
        <f t="shared" ca="1" si="75"/>
        <v>3.3058594454961988E-2</v>
      </c>
      <c r="H72" s="3">
        <f t="shared" ca="1" si="75"/>
        <v>3.7538355755186138E-2</v>
      </c>
      <c r="I72" s="3">
        <f t="shared" ca="1" si="75"/>
        <v>3.4518066694897653E-2</v>
      </c>
      <c r="J72" s="3">
        <f t="shared" ca="1" si="75"/>
        <v>4.1302681791716186E-2</v>
      </c>
      <c r="K72" s="3">
        <f t="shared" ca="1" si="75"/>
        <v>3.6530367286194097E-2</v>
      </c>
      <c r="L72" s="3">
        <f t="shared" ca="1" si="75"/>
        <v>4.2779489932963308E-2</v>
      </c>
      <c r="M72" s="3">
        <f t="shared" ca="1" si="75"/>
        <v>3.7779153519085881E-2</v>
      </c>
      <c r="N72" s="3">
        <f t="shared" ca="1" si="75"/>
        <v>4.4771803780739652E-2</v>
      </c>
      <c r="O72" s="3">
        <f t="shared" ca="1" si="75"/>
        <v>3.9976346235376006E-2</v>
      </c>
      <c r="P72" s="3">
        <f t="shared" ca="1" si="75"/>
        <v>4.6546762219440201E-2</v>
      </c>
      <c r="Q72" s="3">
        <f t="shared" ca="1" si="75"/>
        <v>4.1559259860613658E-2</v>
      </c>
      <c r="R72" s="3">
        <f t="shared" ca="1" si="75"/>
        <v>4.9939231392549577E-2</v>
      </c>
      <c r="S72" s="3">
        <f t="shared" ca="1" si="75"/>
        <v>4.2796291657058769E-2</v>
      </c>
      <c r="T72" s="3">
        <f t="shared" ca="1" si="75"/>
        <v>5.3101036866897919E-2</v>
      </c>
      <c r="U72" s="3">
        <f t="shared" ca="1" si="75"/>
        <v>4.3957882205879553E-2</v>
      </c>
      <c r="V72" s="3">
        <f t="shared" ca="1" si="75"/>
        <v>5.5408106648694722E-2</v>
      </c>
      <c r="W72" s="3">
        <f t="shared" ca="1" si="75"/>
        <v>4.6409102240684397E-2</v>
      </c>
      <c r="X72" s="3">
        <f t="shared" ca="1" si="75"/>
        <v>6.0646229357098444E-2</v>
      </c>
      <c r="Y72" s="3">
        <f t="shared" ca="1" si="75"/>
        <v>5.5689596708190819E-2</v>
      </c>
      <c r="Z72" s="3">
        <f t="shared" ca="1" si="75"/>
        <v>7.0255761975697523E-2</v>
      </c>
      <c r="AA72" s="3">
        <f t="shared" ca="1" si="75"/>
        <v>6.2745541297092033E-2</v>
      </c>
      <c r="AB72" s="3">
        <f t="shared" ref="AB72" ca="1" si="86">MIN(0.99,AB15+$O$3)</f>
        <v>7.6448325725640462E-2</v>
      </c>
      <c r="AC72" s="3">
        <f t="shared" ca="1" si="76"/>
        <v>6.7142096348510996E-2</v>
      </c>
      <c r="AD72" s="3">
        <f t="shared" ca="1" si="76"/>
        <v>8.8567941771360542E-2</v>
      </c>
      <c r="AE72" s="3">
        <f t="shared" ca="1" si="76"/>
        <v>7.4607974614669392E-2</v>
      </c>
      <c r="AF72" s="3">
        <f t="shared" ca="1" si="76"/>
        <v>9.5852071641408243E-2</v>
      </c>
      <c r="AG72" s="3">
        <f t="shared" ca="1" si="76"/>
        <v>8.0635292898063787E-2</v>
      </c>
      <c r="AH72" s="3">
        <f t="shared" ca="1" si="76"/>
        <v>0.12715324735661818</v>
      </c>
      <c r="AI72" s="3">
        <f t="shared" ca="1" si="76"/>
        <v>0.11462799243267988</v>
      </c>
      <c r="AJ72" s="3">
        <f t="shared" ca="1" si="76"/>
        <v>0.17454003311526109</v>
      </c>
    </row>
    <row r="73" spans="1:36" x14ac:dyDescent="0.35">
      <c r="A73" t="s">
        <v>77</v>
      </c>
      <c r="B73" t="s">
        <v>76</v>
      </c>
      <c r="C73" s="4" t="s">
        <v>70</v>
      </c>
      <c r="D73" s="3">
        <f t="shared" ca="1" si="77"/>
        <v>3.3317542773828576E-2</v>
      </c>
      <c r="E73" s="3">
        <f t="shared" ca="1" si="75"/>
        <v>3.3407039152101449E-2</v>
      </c>
      <c r="F73" s="3">
        <f t="shared" ca="1" si="75"/>
        <v>3.6414772533662328E-2</v>
      </c>
      <c r="G73" s="3">
        <f t="shared" ca="1" si="75"/>
        <v>3.4022240144337926E-2</v>
      </c>
      <c r="H73" s="3">
        <f t="shared" ca="1" si="75"/>
        <v>3.8522354140553362E-2</v>
      </c>
      <c r="I73" s="3">
        <f t="shared" ca="1" si="75"/>
        <v>3.5447846504871594E-2</v>
      </c>
      <c r="J73" s="3">
        <f t="shared" ca="1" si="75"/>
        <v>4.2294863382542638E-2</v>
      </c>
      <c r="K73" s="3">
        <f t="shared" ca="1" si="75"/>
        <v>3.7465800133560621E-2</v>
      </c>
      <c r="L73" s="3">
        <f t="shared" ca="1" si="75"/>
        <v>4.3735027543955668E-2</v>
      </c>
      <c r="M73" s="3">
        <f t="shared" ca="1" si="75"/>
        <v>3.8713112513556358E-2</v>
      </c>
      <c r="N73" s="3">
        <f t="shared" ca="1" si="75"/>
        <v>4.5672114160175775E-2</v>
      </c>
      <c r="O73" s="3">
        <f t="shared" ca="1" si="75"/>
        <v>4.0956084208662411E-2</v>
      </c>
      <c r="P73" s="3">
        <f t="shared" ca="1" si="75"/>
        <v>4.7474623554382048E-2</v>
      </c>
      <c r="Q73" s="3">
        <f t="shared" ca="1" si="75"/>
        <v>4.254199931217658E-2</v>
      </c>
      <c r="R73" s="3">
        <f t="shared" ca="1" si="75"/>
        <v>5.0869778407794386E-2</v>
      </c>
      <c r="S73" s="3">
        <f t="shared" ca="1" si="75"/>
        <v>4.3744876197004762E-2</v>
      </c>
      <c r="T73" s="3">
        <f t="shared" ca="1" si="75"/>
        <v>5.4022845908059357E-2</v>
      </c>
      <c r="U73" s="3">
        <f t="shared" ca="1" si="75"/>
        <v>4.4951980035256564E-2</v>
      </c>
      <c r="V73" s="3">
        <f t="shared" ca="1" si="75"/>
        <v>5.6402841823526409E-2</v>
      </c>
      <c r="W73" s="3">
        <f t="shared" ca="1" si="75"/>
        <v>4.740225869042132E-2</v>
      </c>
      <c r="X73" s="3">
        <f t="shared" ca="1" si="75"/>
        <v>6.1567902592149448E-2</v>
      </c>
      <c r="Y73" s="3">
        <f t="shared" ca="1" si="75"/>
        <v>5.6620877961553323E-2</v>
      </c>
      <c r="Z73" s="3">
        <f t="shared" ca="1" si="75"/>
        <v>7.1193254216070798E-2</v>
      </c>
      <c r="AA73" s="3">
        <f t="shared" ca="1" si="75"/>
        <v>6.372862361069094E-2</v>
      </c>
      <c r="AB73" s="3">
        <f t="shared" ref="AB73" ca="1" si="87">MIN(0.99,AB16+$O$3)</f>
        <v>7.7418983494675686E-2</v>
      </c>
      <c r="AC73" s="3">
        <f t="shared" ca="1" si="76"/>
        <v>6.8105130423717158E-2</v>
      </c>
      <c r="AD73" s="3">
        <f t="shared" ca="1" si="76"/>
        <v>8.9561101797659887E-2</v>
      </c>
      <c r="AE73" s="3">
        <f t="shared" ca="1" si="76"/>
        <v>7.5559536327821503E-2</v>
      </c>
      <c r="AF73" s="3">
        <f t="shared" ca="1" si="76"/>
        <v>9.679985327436369E-2</v>
      </c>
      <c r="AG73" s="3">
        <f t="shared" ca="1" si="76"/>
        <v>8.1564960024732069E-2</v>
      </c>
      <c r="AH73" s="3">
        <f t="shared" ca="1" si="76"/>
        <v>0.12813661533902354</v>
      </c>
      <c r="AI73" s="3">
        <f t="shared" ca="1" si="76"/>
        <v>0.11554560432279623</v>
      </c>
      <c r="AJ73" s="3">
        <f t="shared" ca="1" si="76"/>
        <v>0.17549710609399016</v>
      </c>
    </row>
    <row r="74" spans="1:36" x14ac:dyDescent="0.35">
      <c r="A74" t="s">
        <v>77</v>
      </c>
      <c r="B74" t="s">
        <v>76</v>
      </c>
      <c r="C74" s="4">
        <v>5</v>
      </c>
      <c r="D74" s="3">
        <f t="shared" ca="1" si="77"/>
        <v>3.4278276665449685E-2</v>
      </c>
      <c r="E74" s="3">
        <f t="shared" ca="1" si="75"/>
        <v>3.4350397253026015E-2</v>
      </c>
      <c r="F74" s="3">
        <f t="shared" ca="1" si="75"/>
        <v>3.7352751453999591E-2</v>
      </c>
      <c r="G74" s="3">
        <f t="shared" ca="1" si="75"/>
        <v>3.4963690130217093E-2</v>
      </c>
      <c r="H74" s="3">
        <f t="shared" ca="1" si="75"/>
        <v>3.9497164379325198E-2</v>
      </c>
      <c r="I74" s="3">
        <f t="shared" ca="1" si="75"/>
        <v>3.6348659280301399E-2</v>
      </c>
      <c r="J74" s="3">
        <f t="shared" ca="1" si="75"/>
        <v>4.3284793965583275E-2</v>
      </c>
      <c r="K74" s="3">
        <f t="shared" ca="1" si="75"/>
        <v>3.8393352112012072E-2</v>
      </c>
      <c r="L74" s="3">
        <f t="shared" ca="1" si="75"/>
        <v>4.4731237942804189E-2</v>
      </c>
      <c r="M74" s="3">
        <f t="shared" ca="1" si="75"/>
        <v>3.9649145729671292E-2</v>
      </c>
      <c r="N74" s="3">
        <f t="shared" ca="1" si="75"/>
        <v>4.6626897571473161E-2</v>
      </c>
      <c r="O74" s="3">
        <f t="shared" ca="1" si="75"/>
        <v>4.1887852778356771E-2</v>
      </c>
      <c r="P74" s="3">
        <f t="shared" ca="1" si="75"/>
        <v>4.8440034308008653E-2</v>
      </c>
      <c r="Q74" s="3">
        <f t="shared" ca="1" si="75"/>
        <v>4.3481320900152012E-2</v>
      </c>
      <c r="R74" s="3">
        <f t="shared" ca="1" si="75"/>
        <v>5.1797862299913316E-2</v>
      </c>
      <c r="S74" s="3">
        <f t="shared" ca="1" si="75"/>
        <v>4.4744245949930914E-2</v>
      </c>
      <c r="T74" s="3">
        <f t="shared" ca="1" si="75"/>
        <v>5.4974457777620146E-2</v>
      </c>
      <c r="U74" s="3">
        <f t="shared" ca="1" si="75"/>
        <v>4.5899781034648639E-2</v>
      </c>
      <c r="V74" s="3">
        <f t="shared" ref="E74:AA85" ca="1" si="88">MIN(0.99,V17+$O$3)</f>
        <v>5.7332998605004418E-2</v>
      </c>
      <c r="W74" s="3">
        <f t="shared" ca="1" si="88"/>
        <v>4.834235803959766E-2</v>
      </c>
      <c r="X74" s="3">
        <f t="shared" ca="1" si="88"/>
        <v>6.2482059374819127E-2</v>
      </c>
      <c r="Y74" s="3">
        <f t="shared" ca="1" si="88"/>
        <v>5.7569242562660015E-2</v>
      </c>
      <c r="Z74" s="3">
        <f t="shared" ca="1" si="88"/>
        <v>7.2161754567345554E-2</v>
      </c>
      <c r="AA74" s="3">
        <f t="shared" ca="1" si="88"/>
        <v>6.4695991764628341E-2</v>
      </c>
      <c r="AB74" s="3">
        <f t="shared" ref="AB74" ca="1" si="89">MIN(0.99,AB17+$O$3)</f>
        <v>7.8339331469253246E-2</v>
      </c>
      <c r="AC74" s="3">
        <f t="shared" ca="1" si="76"/>
        <v>6.9043196818381863E-2</v>
      </c>
      <c r="AD74" s="3">
        <f t="shared" ca="1" si="76"/>
        <v>9.0498224781989878E-2</v>
      </c>
      <c r="AE74" s="3">
        <f t="shared" ca="1" si="76"/>
        <v>7.6520924554888126E-2</v>
      </c>
      <c r="AF74" s="3">
        <f t="shared" ca="1" si="76"/>
        <v>9.7765495561987686E-2</v>
      </c>
      <c r="AG74" s="3">
        <f t="shared" ca="1" si="76"/>
        <v>8.2485286242682032E-2</v>
      </c>
      <c r="AH74" s="3">
        <f t="shared" ca="1" si="76"/>
        <v>0.12906357850662545</v>
      </c>
      <c r="AI74" s="3">
        <f t="shared" ca="1" si="76"/>
        <v>0.11647837735867794</v>
      </c>
      <c r="AJ74" s="3">
        <f t="shared" ca="1" si="76"/>
        <v>0.176432292188516</v>
      </c>
    </row>
    <row r="75" spans="1:36" x14ac:dyDescent="0.35">
      <c r="A75" t="s">
        <v>77</v>
      </c>
      <c r="B75" t="s">
        <v>76</v>
      </c>
      <c r="C75" s="4" t="s">
        <v>71</v>
      </c>
      <c r="D75" s="3">
        <f t="shared" ca="1" si="77"/>
        <v>3.5212129306174886E-2</v>
      </c>
      <c r="E75" s="3">
        <f t="shared" ca="1" si="88"/>
        <v>3.5345087175522628E-2</v>
      </c>
      <c r="F75" s="3">
        <f t="shared" ca="1" si="88"/>
        <v>3.8339071726916689E-2</v>
      </c>
      <c r="G75" s="3">
        <f t="shared" ca="1" si="88"/>
        <v>3.5883523303339757E-2</v>
      </c>
      <c r="H75" s="3">
        <f t="shared" ca="1" si="88"/>
        <v>4.0490949478404134E-2</v>
      </c>
      <c r="I75" s="3">
        <f t="shared" ca="1" si="88"/>
        <v>3.7252056401569526E-2</v>
      </c>
      <c r="J75" s="3">
        <f t="shared" ca="1" si="88"/>
        <v>4.4200645433838046E-2</v>
      </c>
      <c r="K75" s="3">
        <f t="shared" ca="1" si="88"/>
        <v>3.9351370924962985E-2</v>
      </c>
      <c r="L75" s="3">
        <f t="shared" ca="1" si="88"/>
        <v>4.5693984896337421E-2</v>
      </c>
      <c r="M75" s="3">
        <f t="shared" ca="1" si="88"/>
        <v>4.0612620384975165E-2</v>
      </c>
      <c r="N75" s="3">
        <f t="shared" ca="1" si="88"/>
        <v>4.7624602150411713E-2</v>
      </c>
      <c r="O75" s="3">
        <f t="shared" ca="1" si="88"/>
        <v>4.281164543483032E-2</v>
      </c>
      <c r="P75" s="3">
        <f t="shared" ca="1" si="88"/>
        <v>4.9350979373547876E-2</v>
      </c>
      <c r="Q75" s="3">
        <f t="shared" ca="1" si="88"/>
        <v>4.4407377716922852E-2</v>
      </c>
      <c r="R75" s="3">
        <f t="shared" ca="1" si="88"/>
        <v>5.2727355535961966E-2</v>
      </c>
      <c r="S75" s="3">
        <f t="shared" ca="1" si="88"/>
        <v>4.5733348931272434E-2</v>
      </c>
      <c r="T75" s="3">
        <f t="shared" ca="1" si="88"/>
        <v>5.5963322534819178E-2</v>
      </c>
      <c r="U75" s="3">
        <f t="shared" ca="1" si="88"/>
        <v>4.6897869207785298E-2</v>
      </c>
      <c r="V75" s="3">
        <f t="shared" ca="1" si="88"/>
        <v>5.824593200796073E-2</v>
      </c>
      <c r="W75" s="3">
        <f t="shared" ca="1" si="88"/>
        <v>4.9317228953962053E-2</v>
      </c>
      <c r="X75" s="3">
        <f t="shared" ca="1" si="88"/>
        <v>6.3442640487239563E-2</v>
      </c>
      <c r="Y75" s="3">
        <f t="shared" ca="1" si="88"/>
        <v>5.8549016605743485E-2</v>
      </c>
      <c r="Z75" s="3">
        <f t="shared" ca="1" si="88"/>
        <v>7.3154473615062193E-2</v>
      </c>
      <c r="AA75" s="3">
        <f t="shared" ca="1" si="88"/>
        <v>6.5621092780161205E-2</v>
      </c>
      <c r="AB75" s="3">
        <f t="shared" ref="AB75" ca="1" si="90">MIN(0.99,AB18+$O$3)</f>
        <v>7.9261489218278608E-2</v>
      </c>
      <c r="AC75" s="3">
        <f t="shared" ca="1" si="76"/>
        <v>6.9955665569841563E-2</v>
      </c>
      <c r="AD75" s="3">
        <f t="shared" ca="1" si="76"/>
        <v>9.1433402294950616E-2</v>
      </c>
      <c r="AE75" s="3">
        <f t="shared" ca="1" si="76"/>
        <v>7.7447459554089521E-2</v>
      </c>
      <c r="AF75" s="3">
        <f t="shared" ca="1" si="76"/>
        <v>9.8667892818718822E-2</v>
      </c>
      <c r="AG75" s="3">
        <f t="shared" ca="1" si="76"/>
        <v>8.3470211501170108E-2</v>
      </c>
      <c r="AH75" s="3">
        <f t="shared" ca="1" si="76"/>
        <v>0.13004945136478938</v>
      </c>
      <c r="AI75" s="3">
        <f t="shared" ca="1" si="76"/>
        <v>0.11745907092266167</v>
      </c>
      <c r="AJ75" s="3">
        <f t="shared" ca="1" si="76"/>
        <v>0.17735566424944285</v>
      </c>
    </row>
    <row r="76" spans="1:36" x14ac:dyDescent="0.35">
      <c r="A76" t="s">
        <v>77</v>
      </c>
      <c r="B76" t="s">
        <v>76</v>
      </c>
      <c r="C76" s="4" t="s">
        <v>72</v>
      </c>
      <c r="D76" s="3">
        <f t="shared" ca="1" si="77"/>
        <v>3.612818509900631E-2</v>
      </c>
      <c r="E76" s="3">
        <f t="shared" ca="1" si="88"/>
        <v>3.6247151516542807E-2</v>
      </c>
      <c r="F76" s="3">
        <f t="shared" ca="1" si="88"/>
        <v>3.9242444686108213E-2</v>
      </c>
      <c r="G76" s="3">
        <f t="shared" ca="1" si="88"/>
        <v>3.6856606566587485E-2</v>
      </c>
      <c r="H76" s="3">
        <f t="shared" ca="1" si="88"/>
        <v>4.1442503313797042E-2</v>
      </c>
      <c r="I76" s="3">
        <f t="shared" ca="1" si="88"/>
        <v>3.8197687483148834E-2</v>
      </c>
      <c r="J76" s="3">
        <f t="shared" ca="1" si="88"/>
        <v>4.5197168872614935E-2</v>
      </c>
      <c r="K76" s="3">
        <f t="shared" ca="1" si="88"/>
        <v>4.0300935379595323E-2</v>
      </c>
      <c r="L76" s="3">
        <f t="shared" ca="1" si="88"/>
        <v>4.6617443192611831E-2</v>
      </c>
      <c r="M76" s="3">
        <f t="shared" ca="1" si="88"/>
        <v>4.1540365926147266E-2</v>
      </c>
      <c r="N76" s="3">
        <f t="shared" ca="1" si="88"/>
        <v>4.8535343661582978E-2</v>
      </c>
      <c r="O76" s="3">
        <f t="shared" ca="1" si="88"/>
        <v>4.3739832601578515E-2</v>
      </c>
      <c r="P76" s="3">
        <f t="shared" ca="1" si="88"/>
        <v>5.0307615178540113E-2</v>
      </c>
      <c r="Q76" s="3">
        <f t="shared" ca="1" si="88"/>
        <v>4.5325803822732436E-2</v>
      </c>
      <c r="R76" s="3">
        <f t="shared" ca="1" si="88"/>
        <v>5.3629303917077362E-2</v>
      </c>
      <c r="S76" s="3">
        <f t="shared" ca="1" si="88"/>
        <v>4.6664726196192399E-2</v>
      </c>
      <c r="T76" s="3">
        <f t="shared" ca="1" si="88"/>
        <v>5.6915872129533029E-2</v>
      </c>
      <c r="U76" s="3">
        <f t="shared" ca="1" si="88"/>
        <v>4.7823514320029001E-2</v>
      </c>
      <c r="V76" s="3">
        <f t="shared" ca="1" si="88"/>
        <v>5.920351521807516E-2</v>
      </c>
      <c r="W76" s="3">
        <f t="shared" ca="1" si="88"/>
        <v>5.0231918438233596E-2</v>
      </c>
      <c r="X76" s="3">
        <f t="shared" ca="1" si="88"/>
        <v>6.4425487831070577E-2</v>
      </c>
      <c r="Y76" s="3">
        <f t="shared" ca="1" si="88"/>
        <v>5.9473784649613705E-2</v>
      </c>
      <c r="Z76" s="3">
        <f t="shared" ca="1" si="88"/>
        <v>7.4055830245674803E-2</v>
      </c>
      <c r="AA76" s="3">
        <f t="shared" ca="1" si="88"/>
        <v>6.6586454249275506E-2</v>
      </c>
      <c r="AB76" s="3">
        <f t="shared" ref="AB76" ca="1" si="91">MIN(0.99,AB19+$O$3)</f>
        <v>8.0217342464777575E-2</v>
      </c>
      <c r="AC76" s="3">
        <f t="shared" ca="1" si="76"/>
        <v>7.0951463955215038E-2</v>
      </c>
      <c r="AD76" s="3">
        <f t="shared" ca="1" si="76"/>
        <v>9.2370000945281777E-2</v>
      </c>
      <c r="AE76" s="3">
        <f t="shared" ca="1" si="76"/>
        <v>7.8377878909033388E-2</v>
      </c>
      <c r="AF76" s="3">
        <f t="shared" ca="1" si="76"/>
        <v>9.9641492006359383E-2</v>
      </c>
      <c r="AG76" s="3">
        <f t="shared" ca="1" si="76"/>
        <v>8.444186757343794E-2</v>
      </c>
      <c r="AH76" s="3">
        <f t="shared" ca="1" si="76"/>
        <v>0.13099270865631241</v>
      </c>
      <c r="AI76" s="3">
        <f t="shared" ca="1" si="76"/>
        <v>0.1184284810259785</v>
      </c>
      <c r="AJ76" s="3">
        <f t="shared" ca="1" si="76"/>
        <v>0.17833425837581454</v>
      </c>
    </row>
    <row r="77" spans="1:36" x14ac:dyDescent="0.35">
      <c r="A77" t="s">
        <v>77</v>
      </c>
      <c r="B77" t="s">
        <v>76</v>
      </c>
      <c r="C77" s="4">
        <v>6</v>
      </c>
      <c r="D77" s="3">
        <f t="shared" ca="1" si="77"/>
        <v>3.7051078000001368E-2</v>
      </c>
      <c r="E77" s="3">
        <f t="shared" ca="1" si="88"/>
        <v>3.720116051015146E-2</v>
      </c>
      <c r="F77" s="3">
        <f t="shared" ca="1" si="88"/>
        <v>4.0153316338432443E-2</v>
      </c>
      <c r="G77" s="3">
        <f t="shared" ca="1" si="88"/>
        <v>3.7832942048262069E-2</v>
      </c>
      <c r="H77" s="3">
        <f t="shared" ca="1" si="88"/>
        <v>4.2395225024892333E-2</v>
      </c>
      <c r="I77" s="3">
        <f t="shared" ca="1" si="88"/>
        <v>3.9100007425419941E-2</v>
      </c>
      <c r="J77" s="3">
        <f t="shared" ca="1" si="88"/>
        <v>4.612765087645692E-2</v>
      </c>
      <c r="K77" s="3">
        <f t="shared" ca="1" si="88"/>
        <v>4.1291575939216223E-2</v>
      </c>
      <c r="L77" s="3">
        <f t="shared" ca="1" si="88"/>
        <v>4.7586231582569485E-2</v>
      </c>
      <c r="M77" s="3">
        <f t="shared" ca="1" si="88"/>
        <v>4.2501244944021715E-2</v>
      </c>
      <c r="N77" s="3">
        <f t="shared" ca="1" si="88"/>
        <v>4.94597553130596E-2</v>
      </c>
      <c r="O77" s="3">
        <f t="shared" ca="1" si="88"/>
        <v>4.4715274962924476E-2</v>
      </c>
      <c r="P77" s="3">
        <f t="shared" ca="1" si="88"/>
        <v>5.1231207554820579E-2</v>
      </c>
      <c r="Q77" s="3">
        <f t="shared" ca="1" si="88"/>
        <v>4.6298810263202025E-2</v>
      </c>
      <c r="R77" s="3">
        <f t="shared" ca="1" si="88"/>
        <v>5.4531895968191801E-2</v>
      </c>
      <c r="S77" s="3">
        <f t="shared" ca="1" si="88"/>
        <v>4.7645095987074879E-2</v>
      </c>
      <c r="T77" s="3">
        <f t="shared" ca="1" si="88"/>
        <v>5.7882931097634087E-2</v>
      </c>
      <c r="U77" s="3">
        <f t="shared" ca="1" si="88"/>
        <v>4.8741613395099054E-2</v>
      </c>
      <c r="V77" s="3">
        <f t="shared" ca="1" si="88"/>
        <v>6.0169494192171352E-2</v>
      </c>
      <c r="W77" s="3">
        <f t="shared" ca="1" si="88"/>
        <v>5.1192383888055054E-2</v>
      </c>
      <c r="X77" s="3">
        <f t="shared" ca="1" si="88"/>
        <v>6.5403332879757164E-2</v>
      </c>
      <c r="Y77" s="3">
        <f t="shared" ca="1" si="88"/>
        <v>6.0378109657716415E-2</v>
      </c>
      <c r="Z77" s="3">
        <f t="shared" ca="1" si="88"/>
        <v>7.4958267387872479E-2</v>
      </c>
      <c r="AA77" s="3">
        <f t="shared" ca="1" si="88"/>
        <v>6.7557768322229178E-2</v>
      </c>
      <c r="AB77" s="3">
        <f t="shared" ref="AB77" ca="1" si="92">MIN(0.99,AB20+$O$3)</f>
        <v>8.1212420651349621E-2</v>
      </c>
      <c r="AC77" s="3">
        <f t="shared" ca="1" si="76"/>
        <v>7.1887769107564614E-2</v>
      </c>
      <c r="AD77" s="3">
        <f t="shared" ca="1" si="76"/>
        <v>9.3293805489971848E-2</v>
      </c>
      <c r="AE77" s="3">
        <f t="shared" ca="1" si="76"/>
        <v>7.9282633303114053E-2</v>
      </c>
      <c r="AF77" s="3">
        <f t="shared" ca="1" si="76"/>
        <v>0.10061493331166124</v>
      </c>
      <c r="AG77" s="3">
        <f t="shared" ca="1" si="76"/>
        <v>8.5368838791105711E-2</v>
      </c>
      <c r="AH77" s="3">
        <f t="shared" ca="1" si="76"/>
        <v>0.13190584860430749</v>
      </c>
      <c r="AI77" s="3">
        <f t="shared" ca="1" si="76"/>
        <v>0.1193542713882115</v>
      </c>
      <c r="AJ77" s="3">
        <f t="shared" ca="1" si="76"/>
        <v>0.17930918441522248</v>
      </c>
    </row>
    <row r="78" spans="1:36" x14ac:dyDescent="0.35">
      <c r="A78" t="s">
        <v>77</v>
      </c>
      <c r="B78" t="s">
        <v>76</v>
      </c>
      <c r="C78" s="4" t="s">
        <v>73</v>
      </c>
      <c r="D78" s="3">
        <f t="shared" ca="1" si="77"/>
        <v>3.8047662455575032E-2</v>
      </c>
      <c r="E78" s="3">
        <f t="shared" ca="1" si="88"/>
        <v>3.8167957091932561E-2</v>
      </c>
      <c r="F78" s="3">
        <f t="shared" ca="1" si="88"/>
        <v>4.1134386193298511E-2</v>
      </c>
      <c r="G78" s="3">
        <f t="shared" ca="1" si="88"/>
        <v>3.8734548024131857E-2</v>
      </c>
      <c r="H78" s="3">
        <f t="shared" ca="1" si="88"/>
        <v>4.3383142705779712E-2</v>
      </c>
      <c r="I78" s="3">
        <f t="shared" ca="1" si="88"/>
        <v>4.0070177772854113E-2</v>
      </c>
      <c r="J78" s="3">
        <f t="shared" ca="1" si="88"/>
        <v>4.711668158161475E-2</v>
      </c>
      <c r="K78" s="3">
        <f t="shared" ca="1" si="88"/>
        <v>4.2269726577750119E-2</v>
      </c>
      <c r="L78" s="3">
        <f t="shared" ca="1" si="88"/>
        <v>4.8496602354504682E-2</v>
      </c>
      <c r="M78" s="3">
        <f t="shared" ca="1" si="88"/>
        <v>4.3496920851320786E-2</v>
      </c>
      <c r="N78" s="3">
        <f t="shared" ca="1" si="88"/>
        <v>5.0439036848392654E-2</v>
      </c>
      <c r="O78" s="3">
        <f t="shared" ca="1" si="88"/>
        <v>4.568686800827141E-2</v>
      </c>
      <c r="P78" s="3">
        <f t="shared" ca="1" si="88"/>
        <v>5.2207940185442794E-2</v>
      </c>
      <c r="Q78" s="3">
        <f t="shared" ca="1" si="88"/>
        <v>4.7231349607093354E-2</v>
      </c>
      <c r="R78" s="3">
        <f t="shared" ca="1" si="88"/>
        <v>5.5462258911113407E-2</v>
      </c>
      <c r="S78" s="3">
        <f t="shared" ca="1" si="88"/>
        <v>4.8622200406470889E-2</v>
      </c>
      <c r="T78" s="3">
        <f t="shared" ca="1" si="88"/>
        <v>5.8879524885207618E-2</v>
      </c>
      <c r="U78" s="3">
        <f t="shared" ca="1" si="88"/>
        <v>4.9723808910012796E-2</v>
      </c>
      <c r="V78" s="3">
        <f t="shared" ca="1" si="88"/>
        <v>6.1119645947732087E-2</v>
      </c>
      <c r="W78" s="3">
        <f t="shared" ca="1" si="88"/>
        <v>5.2103971075882452E-2</v>
      </c>
      <c r="X78" s="3">
        <f t="shared" ca="1" si="88"/>
        <v>6.6351206467032048E-2</v>
      </c>
      <c r="Y78" s="3">
        <f t="shared" ca="1" si="88"/>
        <v>6.1348125495202382E-2</v>
      </c>
      <c r="Z78" s="3">
        <f t="shared" ca="1" si="88"/>
        <v>7.5865874921204585E-2</v>
      </c>
      <c r="AA78" s="3">
        <f t="shared" ca="1" si="88"/>
        <v>6.847284180793646E-2</v>
      </c>
      <c r="AB78" s="3">
        <f t="shared" ref="AB78" ca="1" si="93">MIN(0.99,AB21+$O$3)</f>
        <v>8.2172256348590753E-2</v>
      </c>
      <c r="AC78" s="3">
        <f t="shared" ca="1" si="76"/>
        <v>7.2803451265321728E-2</v>
      </c>
      <c r="AD78" s="3">
        <f t="shared" ca="1" si="76"/>
        <v>9.4251331751850909E-2</v>
      </c>
      <c r="AE78" s="3">
        <f t="shared" ca="1" si="76"/>
        <v>8.0242253874024005E-2</v>
      </c>
      <c r="AF78" s="3">
        <f t="shared" ca="1" si="76"/>
        <v>0.10151530096810063</v>
      </c>
      <c r="AG78" s="3">
        <f t="shared" ca="1" si="76"/>
        <v>8.6350059734375484E-2</v>
      </c>
      <c r="AH78" s="3">
        <f t="shared" ca="1" si="76"/>
        <v>0.13286511519689947</v>
      </c>
      <c r="AI78" s="3">
        <f t="shared" ca="1" si="76"/>
        <v>0.12030131649291206</v>
      </c>
      <c r="AJ78" s="3">
        <f t="shared" ca="1" si="76"/>
        <v>0.18028721798427361</v>
      </c>
    </row>
    <row r="79" spans="1:36" x14ac:dyDescent="0.35">
      <c r="A79" t="s">
        <v>77</v>
      </c>
      <c r="B79" t="s">
        <v>76</v>
      </c>
      <c r="C79" s="4" t="s">
        <v>74</v>
      </c>
      <c r="D79" s="3">
        <f t="shared" ca="1" si="77"/>
        <v>3.9020747840983049E-2</v>
      </c>
      <c r="E79" s="3">
        <f t="shared" ca="1" si="88"/>
        <v>3.9094534043477187E-2</v>
      </c>
      <c r="F79" s="3">
        <f t="shared" ca="1" si="88"/>
        <v>4.2059084693179448E-2</v>
      </c>
      <c r="G79" s="3">
        <f t="shared" ca="1" si="88"/>
        <v>3.9641128864361372E-2</v>
      </c>
      <c r="H79" s="3">
        <f t="shared" ca="1" si="88"/>
        <v>4.4360842807264142E-2</v>
      </c>
      <c r="I79" s="3">
        <f t="shared" ca="1" si="88"/>
        <v>4.1027254721049629E-2</v>
      </c>
      <c r="J79" s="3">
        <f t="shared" ca="1" si="88"/>
        <v>4.8063784014990507E-2</v>
      </c>
      <c r="K79" s="3">
        <f t="shared" ca="1" si="88"/>
        <v>4.3248501720931129E-2</v>
      </c>
      <c r="L79" s="3">
        <f t="shared" ca="1" si="88"/>
        <v>4.9480606259042839E-2</v>
      </c>
      <c r="M79" s="3">
        <f t="shared" ca="1" si="88"/>
        <v>4.4490783078957555E-2</v>
      </c>
      <c r="N79" s="3">
        <f t="shared" ca="1" si="88"/>
        <v>5.136084846544637E-2</v>
      </c>
      <c r="O79" s="3">
        <f t="shared" ca="1" si="88"/>
        <v>4.6624566540011611E-2</v>
      </c>
      <c r="P79" s="3">
        <f t="shared" ca="1" si="88"/>
        <v>5.3200615451437304E-2</v>
      </c>
      <c r="Q79" s="3">
        <f t="shared" ca="1" si="88"/>
        <v>4.8159465917760096E-2</v>
      </c>
      <c r="R79" s="3">
        <f t="shared" ca="1" si="88"/>
        <v>5.6432347481547525E-2</v>
      </c>
      <c r="S79" s="3">
        <f t="shared" ca="1" si="88"/>
        <v>4.9592849640076278E-2</v>
      </c>
      <c r="T79" s="3">
        <f t="shared" ca="1" si="88"/>
        <v>5.9837020412524256E-2</v>
      </c>
      <c r="U79" s="3">
        <f t="shared" ca="1" si="88"/>
        <v>5.070653577279112E-2</v>
      </c>
      <c r="V79" s="3">
        <f t="shared" ca="1" si="88"/>
        <v>6.2027220245693071E-2</v>
      </c>
      <c r="W79" s="3">
        <f t="shared" ca="1" si="88"/>
        <v>5.3102577206807271E-2</v>
      </c>
      <c r="X79" s="3">
        <f t="shared" ca="1" si="88"/>
        <v>6.7301104546630797E-2</v>
      </c>
      <c r="Y79" s="3">
        <f t="shared" ca="1" si="88"/>
        <v>6.2255816155555067E-2</v>
      </c>
      <c r="Z79" s="3">
        <f t="shared" ca="1" si="88"/>
        <v>7.6785686065572428E-2</v>
      </c>
      <c r="AA79" s="3">
        <f t="shared" ca="1" si="88"/>
        <v>6.9449611393887417E-2</v>
      </c>
      <c r="AB79" s="3">
        <f t="shared" ref="AB79:AJ94" ca="1" si="94">MIN(0.99,AB22+$O$3)</f>
        <v>8.316846304263395E-2</v>
      </c>
      <c r="AC79" s="3">
        <f t="shared" ca="1" si="94"/>
        <v>7.3798272709414081E-2</v>
      </c>
      <c r="AD79" s="3">
        <f t="shared" ca="1" si="94"/>
        <v>9.5185801822216698E-2</v>
      </c>
      <c r="AE79" s="3">
        <f t="shared" ca="1" si="94"/>
        <v>8.1155793297869788E-2</v>
      </c>
      <c r="AF79" s="3">
        <f t="shared" ca="1" si="94"/>
        <v>0.10249772797467946</v>
      </c>
      <c r="AG79" s="3">
        <f t="shared" ca="1" si="94"/>
        <v>8.7263833395342022E-2</v>
      </c>
      <c r="AH79" s="3">
        <f t="shared" ca="1" si="94"/>
        <v>0.13378506008438304</v>
      </c>
      <c r="AI79" s="3">
        <f t="shared" ca="1" si="94"/>
        <v>0.12127246415596329</v>
      </c>
      <c r="AJ79" s="3">
        <f t="shared" ca="1" si="94"/>
        <v>0.18128377184732714</v>
      </c>
    </row>
    <row r="80" spans="1:36" x14ac:dyDescent="0.35">
      <c r="A80" t="s">
        <v>77</v>
      </c>
      <c r="B80" t="s">
        <v>76</v>
      </c>
      <c r="C80" s="4">
        <v>7</v>
      </c>
      <c r="D80" s="3">
        <f t="shared" ca="1" si="77"/>
        <v>3.9924079137333493E-2</v>
      </c>
      <c r="E80" s="3">
        <f t="shared" ca="1" si="88"/>
        <v>4.005690303072558E-2</v>
      </c>
      <c r="F80" s="3">
        <f t="shared" ca="1" si="88"/>
        <v>4.3027810803992941E-2</v>
      </c>
      <c r="G80" s="3">
        <f t="shared" ca="1" si="88"/>
        <v>4.0568272190976987E-2</v>
      </c>
      <c r="H80" s="3">
        <f t="shared" ca="1" si="88"/>
        <v>4.5277759922571201E-2</v>
      </c>
      <c r="I80" s="3">
        <f t="shared" ca="1" si="88"/>
        <v>4.200531883044234E-2</v>
      </c>
      <c r="J80" s="3">
        <f t="shared" ca="1" si="88"/>
        <v>4.9011108696630515E-2</v>
      </c>
      <c r="K80" s="3">
        <f t="shared" ca="1" si="88"/>
        <v>4.4244925429034465E-2</v>
      </c>
      <c r="L80" s="3">
        <f t="shared" ca="1" si="88"/>
        <v>5.0383975971968656E-2</v>
      </c>
      <c r="M80" s="3">
        <f t="shared" ca="1" si="88"/>
        <v>4.5453256663753626E-2</v>
      </c>
      <c r="N80" s="3">
        <f t="shared" ca="1" si="88"/>
        <v>5.2308686583069551E-2</v>
      </c>
      <c r="O80" s="3">
        <f t="shared" ca="1" si="88"/>
        <v>4.7579893309022639E-2</v>
      </c>
      <c r="P80" s="3">
        <f t="shared" ca="1" si="88"/>
        <v>5.4181477688766827E-2</v>
      </c>
      <c r="Q80" s="3">
        <f t="shared" ca="1" si="88"/>
        <v>4.9066321530640444E-2</v>
      </c>
      <c r="R80" s="3">
        <f t="shared" ca="1" si="88"/>
        <v>5.7350403069878972E-2</v>
      </c>
      <c r="S80" s="3">
        <f t="shared" ca="1" si="88"/>
        <v>5.0575560272319763E-2</v>
      </c>
      <c r="T80" s="3">
        <f t="shared" ca="1" si="88"/>
        <v>6.0775367178758845E-2</v>
      </c>
      <c r="U80" s="3">
        <f t="shared" ca="1" si="88"/>
        <v>5.1620598985571364E-2</v>
      </c>
      <c r="V80" s="3">
        <f t="shared" ca="1" si="88"/>
        <v>6.3020167173230224E-2</v>
      </c>
      <c r="W80" s="3">
        <f t="shared" ca="1" si="88"/>
        <v>5.4034637869438074E-2</v>
      </c>
      <c r="X80" s="3">
        <f t="shared" ca="1" si="88"/>
        <v>6.8213200824799508E-2</v>
      </c>
      <c r="Y80" s="3">
        <f t="shared" ca="1" si="88"/>
        <v>6.3220442417139283E-2</v>
      </c>
      <c r="Z80" s="3">
        <f t="shared" ca="1" si="88"/>
        <v>7.7705744925759379E-2</v>
      </c>
      <c r="AA80" s="3">
        <f t="shared" ca="1" si="88"/>
        <v>7.0437354915034389E-2</v>
      </c>
      <c r="AB80" s="3">
        <f t="shared" ref="AB80" ca="1" si="95">MIN(0.99,AB23+$O$3)</f>
        <v>8.4098521658857367E-2</v>
      </c>
      <c r="AC80" s="3">
        <f t="shared" ca="1" si="94"/>
        <v>7.4763808687455025E-2</v>
      </c>
      <c r="AD80" s="3">
        <f t="shared" ca="1" si="94"/>
        <v>9.6115075495291052E-2</v>
      </c>
      <c r="AE80" s="3">
        <f t="shared" ca="1" si="94"/>
        <v>8.2076532847619857E-2</v>
      </c>
      <c r="AF80" s="3">
        <f t="shared" ca="1" si="94"/>
        <v>0.10346052924359697</v>
      </c>
      <c r="AG80" s="3">
        <f t="shared" ca="1" si="94"/>
        <v>8.8197966552727547E-2</v>
      </c>
      <c r="AH80" s="3">
        <f t="shared" ca="1" si="94"/>
        <v>0.13471931802701131</v>
      </c>
      <c r="AI80" s="3">
        <f t="shared" ca="1" si="94"/>
        <v>0.12223699306830482</v>
      </c>
      <c r="AJ80" s="3">
        <f t="shared" ca="1" si="94"/>
        <v>0.18222507544920605</v>
      </c>
    </row>
    <row r="81" spans="1:36" x14ac:dyDescent="0.35">
      <c r="A81" t="s">
        <v>77</v>
      </c>
      <c r="B81" t="s">
        <v>76</v>
      </c>
      <c r="C81" s="4" t="s">
        <v>75</v>
      </c>
      <c r="D81" s="3">
        <f t="shared" ca="1" si="77"/>
        <v>4.089734901716939E-2</v>
      </c>
      <c r="E81" s="3">
        <f t="shared" ca="1" si="88"/>
        <v>4.0993036118353143E-2</v>
      </c>
      <c r="F81" s="3">
        <f t="shared" ca="1" si="88"/>
        <v>4.3988557339824833E-2</v>
      </c>
      <c r="G81" s="3">
        <f t="shared" ca="1" si="88"/>
        <v>4.1561854570311127E-2</v>
      </c>
      <c r="H81" s="3">
        <f t="shared" ca="1" si="88"/>
        <v>4.6214599472825246E-2</v>
      </c>
      <c r="I81" s="3">
        <f t="shared" ca="1" si="88"/>
        <v>4.2931157587923069E-2</v>
      </c>
      <c r="J81" s="3">
        <f t="shared" ca="1" si="88"/>
        <v>5.0007776111423097E-2</v>
      </c>
      <c r="K81" s="3">
        <f t="shared" ca="1" si="88"/>
        <v>4.5153353763690104E-2</v>
      </c>
      <c r="L81" s="3">
        <f t="shared" ca="1" si="88"/>
        <v>5.1379392755382898E-2</v>
      </c>
      <c r="M81" s="3">
        <f t="shared" ca="1" si="88"/>
        <v>4.6407803697912288E-2</v>
      </c>
      <c r="N81" s="3">
        <f t="shared" ca="1" si="88"/>
        <v>5.3275861455660545E-2</v>
      </c>
      <c r="O81" s="3">
        <f t="shared" ca="1" si="88"/>
        <v>4.8518188071535323E-2</v>
      </c>
      <c r="P81" s="3">
        <f t="shared" ca="1" si="88"/>
        <v>5.5157032819406204E-2</v>
      </c>
      <c r="Q81" s="3">
        <f t="shared" ca="1" si="88"/>
        <v>4.9986113440450619E-2</v>
      </c>
      <c r="R81" s="3">
        <f t="shared" ca="1" si="88"/>
        <v>5.8260511586442833E-2</v>
      </c>
      <c r="S81" s="3">
        <f t="shared" ca="1" si="88"/>
        <v>5.1502379878107948E-2</v>
      </c>
      <c r="T81" s="3">
        <f t="shared" ca="1" si="88"/>
        <v>6.1720510047526933E-2</v>
      </c>
      <c r="U81" s="3">
        <f t="shared" ca="1" si="88"/>
        <v>5.2562212148225471E-2</v>
      </c>
      <c r="V81" s="3">
        <f t="shared" ca="1" si="88"/>
        <v>6.3952679457509057E-2</v>
      </c>
      <c r="W81" s="3">
        <f t="shared" ca="1" si="88"/>
        <v>5.5023179116663143E-2</v>
      </c>
      <c r="X81" s="3">
        <f t="shared" ca="1" si="88"/>
        <v>6.9167818110563564E-2</v>
      </c>
      <c r="Y81" s="3">
        <f t="shared" ca="1" si="88"/>
        <v>6.4199603190695509E-2</v>
      </c>
      <c r="Z81" s="3">
        <f t="shared" ca="1" si="88"/>
        <v>7.8607178509014886E-2</v>
      </c>
      <c r="AA81" s="3">
        <f t="shared" ca="1" si="88"/>
        <v>7.1345372926057499E-2</v>
      </c>
      <c r="AB81" s="3">
        <f t="shared" ref="AB81" ca="1" si="96">MIN(0.99,AB24+$O$3)</f>
        <v>8.5071263165112196E-2</v>
      </c>
      <c r="AC81" s="3">
        <f t="shared" ca="1" si="94"/>
        <v>7.5690535688989646E-2</v>
      </c>
      <c r="AD81" s="3">
        <f t="shared" ca="1" si="94"/>
        <v>9.7065978168155265E-2</v>
      </c>
      <c r="AE81" s="3">
        <f t="shared" ca="1" si="94"/>
        <v>8.3021728333656286E-2</v>
      </c>
      <c r="AF81" s="3">
        <f t="shared" ca="1" si="94"/>
        <v>0.10445103579581541</v>
      </c>
      <c r="AG81" s="3">
        <f t="shared" ca="1" si="94"/>
        <v>8.9109674479155104E-2</v>
      </c>
      <c r="AH81" s="3">
        <f t="shared" ca="1" si="94"/>
        <v>0.13562679196357308</v>
      </c>
      <c r="AI81" s="3">
        <f t="shared" ca="1" si="94"/>
        <v>0.12319831791838859</v>
      </c>
      <c r="AJ81" s="3">
        <f t="shared" ca="1" si="94"/>
        <v>0.18314245105247473</v>
      </c>
    </row>
    <row r="82" spans="1:36" x14ac:dyDescent="0.35">
      <c r="A82" t="s">
        <v>77</v>
      </c>
      <c r="B82" t="s">
        <v>61</v>
      </c>
      <c r="C82" s="4">
        <v>1</v>
      </c>
      <c r="D82" s="3">
        <f t="shared" ca="1" si="77"/>
        <v>2.4963610654793293E-2</v>
      </c>
      <c r="E82" s="3">
        <f t="shared" ca="1" si="88"/>
        <v>2.4986378643548222E-2</v>
      </c>
      <c r="F82" s="3">
        <f t="shared" ca="1" si="88"/>
        <v>2.7852926234317558E-2</v>
      </c>
      <c r="G82" s="3">
        <f t="shared" ca="1" si="88"/>
        <v>2.5732198078093398E-2</v>
      </c>
      <c r="H82" s="3">
        <f t="shared" ca="1" si="88"/>
        <v>3.0029368035721215E-2</v>
      </c>
      <c r="I82" s="3">
        <f t="shared" ca="1" si="88"/>
        <v>2.7058557526889931E-2</v>
      </c>
      <c r="J82" s="3">
        <f t="shared" ca="1" si="88"/>
        <v>3.3779142565684789E-2</v>
      </c>
      <c r="K82" s="3">
        <f t="shared" ca="1" si="88"/>
        <v>2.8971138683631947E-2</v>
      </c>
      <c r="L82" s="3">
        <f t="shared" ca="1" si="88"/>
        <v>3.5291874151644621E-2</v>
      </c>
      <c r="M82" s="3">
        <f t="shared" ca="1" si="88"/>
        <v>3.0311275442501937E-2</v>
      </c>
      <c r="N82" s="3">
        <f t="shared" ca="1" si="88"/>
        <v>3.7215547330367277E-2</v>
      </c>
      <c r="O82" s="3">
        <f t="shared" ca="1" si="88"/>
        <v>3.2441558093049223E-2</v>
      </c>
      <c r="P82" s="3">
        <f t="shared" ca="1" si="88"/>
        <v>3.894960476880957E-2</v>
      </c>
      <c r="Q82" s="3">
        <f t="shared" ca="1" si="88"/>
        <v>3.4141476720116942E-2</v>
      </c>
      <c r="R82" s="3">
        <f t="shared" ca="1" si="88"/>
        <v>4.2617496858363191E-2</v>
      </c>
      <c r="S82" s="3">
        <f t="shared" ca="1" si="88"/>
        <v>3.5295079226981496E-2</v>
      </c>
      <c r="T82" s="3">
        <f t="shared" ca="1" si="88"/>
        <v>4.5386816404777597E-2</v>
      </c>
      <c r="U82" s="3">
        <f t="shared" ca="1" si="88"/>
        <v>3.6415289082021858E-2</v>
      </c>
      <c r="V82" s="3">
        <f t="shared" ca="1" si="88"/>
        <v>4.7840662825578487E-2</v>
      </c>
      <c r="W82" s="3">
        <f t="shared" ca="1" si="88"/>
        <v>3.8756983466441922E-2</v>
      </c>
      <c r="X82" s="3">
        <f t="shared" ca="1" si="88"/>
        <v>5.3018810675467397E-2</v>
      </c>
      <c r="Y82" s="3">
        <f t="shared" ca="1" si="88"/>
        <v>4.8132018513747939E-2</v>
      </c>
      <c r="Z82" s="3">
        <f t="shared" ca="1" si="88"/>
        <v>6.2708291342225081E-2</v>
      </c>
      <c r="AA82" s="3">
        <f t="shared" ca="1" si="88"/>
        <v>5.521411920786904E-2</v>
      </c>
      <c r="AB82" s="3">
        <f t="shared" ref="AB82" ca="1" si="97">MIN(0.99,AB25+$O$3)</f>
        <v>6.897170809778036E-2</v>
      </c>
      <c r="AC82" s="3">
        <f t="shared" ca="1" si="94"/>
        <v>5.9510498544814168E-2</v>
      </c>
      <c r="AD82" s="3">
        <f t="shared" ca="1" si="94"/>
        <v>8.1099193380066686E-2</v>
      </c>
      <c r="AE82" s="3">
        <f t="shared" ca="1" si="94"/>
        <v>6.7151079453496382E-2</v>
      </c>
      <c r="AF82" s="3">
        <f t="shared" ca="1" si="94"/>
        <v>8.8121534079713154E-2</v>
      </c>
      <c r="AG82" s="3">
        <f t="shared" ca="1" si="94"/>
        <v>7.3200792786726171E-2</v>
      </c>
      <c r="AH82" s="3">
        <f t="shared" ca="1" si="94"/>
        <v>0.11956416028824146</v>
      </c>
      <c r="AI82" s="3">
        <f t="shared" ca="1" si="94"/>
        <v>0.10713646739740754</v>
      </c>
      <c r="AJ82" s="3">
        <f t="shared" ca="1" si="94"/>
        <v>0.1668712147902057</v>
      </c>
    </row>
    <row r="83" spans="1:36" x14ac:dyDescent="0.35">
      <c r="A83" t="s">
        <v>77</v>
      </c>
      <c r="B83" t="s">
        <v>61</v>
      </c>
      <c r="C83" s="4" t="s">
        <v>64</v>
      </c>
      <c r="D83" s="3">
        <f t="shared" ca="1" si="77"/>
        <v>2.589567449615025E-2</v>
      </c>
      <c r="E83" s="3">
        <f t="shared" ca="1" si="88"/>
        <v>2.5913151229578869E-2</v>
      </c>
      <c r="F83" s="3">
        <f t="shared" ca="1" si="88"/>
        <v>2.8763947210570438E-2</v>
      </c>
      <c r="G83" s="3">
        <f t="shared" ca="1" si="88"/>
        <v>2.6661332550578901E-2</v>
      </c>
      <c r="H83" s="3">
        <f t="shared" ca="1" si="88"/>
        <v>3.1011286673707644E-2</v>
      </c>
      <c r="I83" s="3">
        <f t="shared" ca="1" si="88"/>
        <v>2.797693663763675E-2</v>
      </c>
      <c r="J83" s="3">
        <f t="shared" ca="1" si="88"/>
        <v>3.473750216434382E-2</v>
      </c>
      <c r="K83" s="3">
        <f t="shared" ca="1" si="88"/>
        <v>2.9933340036620869E-2</v>
      </c>
      <c r="L83" s="3">
        <f t="shared" ca="1" si="88"/>
        <v>3.6222726071191091E-2</v>
      </c>
      <c r="M83" s="3">
        <f t="shared" ca="1" si="88"/>
        <v>3.121686451919567E-2</v>
      </c>
      <c r="N83" s="3">
        <f t="shared" ca="1" si="88"/>
        <v>3.8145445645127854E-2</v>
      </c>
      <c r="O83" s="3">
        <f t="shared" ca="1" si="88"/>
        <v>3.3380705225840676E-2</v>
      </c>
      <c r="P83" s="3">
        <f t="shared" ca="1" si="88"/>
        <v>3.9916524675471583E-2</v>
      </c>
      <c r="Q83" s="3">
        <f t="shared" ca="1" si="88"/>
        <v>3.5091829185656433E-2</v>
      </c>
      <c r="R83" s="3">
        <f t="shared" ca="1" si="88"/>
        <v>4.3521037891602714E-2</v>
      </c>
      <c r="S83" s="3">
        <f t="shared" ca="1" si="88"/>
        <v>3.623988253162886E-2</v>
      </c>
      <c r="T83" s="3">
        <f t="shared" ca="1" si="88"/>
        <v>4.6362729252741347E-2</v>
      </c>
      <c r="U83" s="3">
        <f t="shared" ca="1" si="88"/>
        <v>3.7344626709085976E-2</v>
      </c>
      <c r="V83" s="3">
        <f t="shared" ca="1" si="88"/>
        <v>4.8755388032904939E-2</v>
      </c>
      <c r="W83" s="3">
        <f t="shared" ca="1" si="88"/>
        <v>3.9732336389798922E-2</v>
      </c>
      <c r="X83" s="3">
        <f t="shared" ca="1" si="88"/>
        <v>5.3969765923460505E-2</v>
      </c>
      <c r="Y83" s="3">
        <f t="shared" ca="1" si="88"/>
        <v>4.903373264648149E-2</v>
      </c>
      <c r="Z83" s="3">
        <f t="shared" ca="1" si="88"/>
        <v>6.3640018030334894E-2</v>
      </c>
      <c r="AA83" s="3">
        <f t="shared" ca="1" si="88"/>
        <v>5.6114930541868321E-2</v>
      </c>
      <c r="AB83" s="3">
        <f t="shared" ref="AB83" ca="1" si="98">MIN(0.99,AB26+$O$3)</f>
        <v>6.989160979821904E-2</v>
      </c>
      <c r="AC83" s="3">
        <f t="shared" ca="1" si="94"/>
        <v>6.050680584455756E-2</v>
      </c>
      <c r="AD83" s="3">
        <f t="shared" ca="1" si="94"/>
        <v>8.2042860136960383E-2</v>
      </c>
      <c r="AE83" s="3">
        <f t="shared" ca="1" si="94"/>
        <v>6.8075957717422614E-2</v>
      </c>
      <c r="AF83" s="3">
        <f t="shared" ca="1" si="94"/>
        <v>8.9103765089266013E-2</v>
      </c>
      <c r="AG83" s="3">
        <f t="shared" ca="1" si="94"/>
        <v>7.4114089815503714E-2</v>
      </c>
      <c r="AH83" s="3">
        <f t="shared" ca="1" si="94"/>
        <v>0.12052867003247805</v>
      </c>
      <c r="AI83" s="3">
        <f t="shared" ca="1" si="94"/>
        <v>0.10804611153261484</v>
      </c>
      <c r="AJ83" s="3">
        <f t="shared" ca="1" si="94"/>
        <v>0.16785152375639067</v>
      </c>
    </row>
    <row r="84" spans="1:36" x14ac:dyDescent="0.35">
      <c r="A84" t="s">
        <v>77</v>
      </c>
      <c r="B84" t="s">
        <v>61</v>
      </c>
      <c r="C84" s="4">
        <v>2</v>
      </c>
      <c r="D84" s="3">
        <f t="shared" ca="1" si="77"/>
        <v>2.6821632048266642E-2</v>
      </c>
      <c r="E84" s="3">
        <f t="shared" ca="1" si="88"/>
        <v>2.6881326667409444E-2</v>
      </c>
      <c r="F84" s="3">
        <f t="shared" ca="1" si="88"/>
        <v>2.9745221216458867E-2</v>
      </c>
      <c r="G84" s="3">
        <f t="shared" ca="1" si="88"/>
        <v>2.7581344455460101E-2</v>
      </c>
      <c r="H84" s="3">
        <f t="shared" ca="1" si="88"/>
        <v>3.1927212612361013E-2</v>
      </c>
      <c r="I84" s="3">
        <f t="shared" ca="1" si="88"/>
        <v>2.8882004695922937E-2</v>
      </c>
      <c r="J84" s="3">
        <f t="shared" ca="1" si="88"/>
        <v>3.5667351914065545E-2</v>
      </c>
      <c r="K84" s="3">
        <f t="shared" ca="1" si="88"/>
        <v>3.0927812578458429E-2</v>
      </c>
      <c r="L84" s="3">
        <f t="shared" ca="1" si="88"/>
        <v>3.7147081007738086E-2</v>
      </c>
      <c r="M84" s="3">
        <f t="shared" ca="1" si="88"/>
        <v>3.2154036065123411E-2</v>
      </c>
      <c r="N84" s="3">
        <f t="shared" ca="1" si="88"/>
        <v>3.9137716243787674E-2</v>
      </c>
      <c r="O84" s="3">
        <f t="shared" ca="1" si="88"/>
        <v>3.4298412590599472E-2</v>
      </c>
      <c r="P84" s="3">
        <f t="shared" ca="1" si="88"/>
        <v>4.0905856216276244E-2</v>
      </c>
      <c r="Q84" s="3">
        <f t="shared" ca="1" si="88"/>
        <v>3.604513537358528E-2</v>
      </c>
      <c r="R84" s="3">
        <f t="shared" ca="1" si="88"/>
        <v>4.4429588836605707E-2</v>
      </c>
      <c r="S84" s="3">
        <f t="shared" ca="1" si="88"/>
        <v>3.7185928747438139E-2</v>
      </c>
      <c r="T84" s="3">
        <f t="shared" ca="1" si="88"/>
        <v>4.7342687261826374E-2</v>
      </c>
      <c r="U84" s="3">
        <f t="shared" ca="1" si="88"/>
        <v>3.833716419072189E-2</v>
      </c>
      <c r="V84" s="3">
        <f t="shared" ca="1" si="88"/>
        <v>4.9675416397122335E-2</v>
      </c>
      <c r="W84" s="3">
        <f t="shared" ca="1" si="88"/>
        <v>4.0730733342937725E-2</v>
      </c>
      <c r="X84" s="3">
        <f t="shared" ca="1" si="88"/>
        <v>5.4891797710573162E-2</v>
      </c>
      <c r="Y84" s="3">
        <f t="shared" ca="1" si="88"/>
        <v>5.0033109927439076E-2</v>
      </c>
      <c r="Z84" s="3">
        <f t="shared" ca="1" si="88"/>
        <v>6.4611250237837148E-2</v>
      </c>
      <c r="AA84" s="3">
        <f t="shared" ca="1" si="88"/>
        <v>5.7071368324505732E-2</v>
      </c>
      <c r="AB84" s="3">
        <f t="shared" ref="AB84" ca="1" si="99">MIN(0.99,AB27+$O$3)</f>
        <v>7.0858461869391903E-2</v>
      </c>
      <c r="AC84" s="3">
        <f t="shared" ca="1" si="94"/>
        <v>6.1499331606229612E-2</v>
      </c>
      <c r="AD84" s="3">
        <f t="shared" ca="1" si="94"/>
        <v>8.2959287196309628E-2</v>
      </c>
      <c r="AE84" s="3">
        <f t="shared" ca="1" si="94"/>
        <v>6.8999456248432872E-2</v>
      </c>
      <c r="AF84" s="3">
        <f t="shared" ca="1" si="94"/>
        <v>9.0101944943421469E-2</v>
      </c>
      <c r="AG84" s="3">
        <f t="shared" ca="1" si="94"/>
        <v>7.5062559886522329E-2</v>
      </c>
      <c r="AH84" s="3">
        <f t="shared" ca="1" si="94"/>
        <v>0.12152214064559788</v>
      </c>
      <c r="AI84" s="3">
        <f t="shared" ca="1" si="94"/>
        <v>0.10897097129372371</v>
      </c>
      <c r="AJ84" s="3">
        <f t="shared" ca="1" si="94"/>
        <v>0.16883244390878499</v>
      </c>
    </row>
    <row r="85" spans="1:36" x14ac:dyDescent="0.35">
      <c r="A85" t="s">
        <v>77</v>
      </c>
      <c r="B85" t="s">
        <v>61</v>
      </c>
      <c r="C85" s="4" t="s">
        <v>65</v>
      </c>
      <c r="D85" s="3">
        <f t="shared" ca="1" si="77"/>
        <v>2.7795895207593131E-2</v>
      </c>
      <c r="E85" s="3">
        <f t="shared" ca="1" si="88"/>
        <v>2.7840108809453971E-2</v>
      </c>
      <c r="F85" s="3">
        <f t="shared" ca="1" si="88"/>
        <v>3.0741492140446684E-2</v>
      </c>
      <c r="G85" s="3">
        <f t="shared" ca="1" si="88"/>
        <v>2.8502465008599473E-2</v>
      </c>
      <c r="H85" s="3">
        <f t="shared" ca="1" si="88"/>
        <v>3.2841828132960431E-2</v>
      </c>
      <c r="I85" s="3">
        <f t="shared" ca="1" si="88"/>
        <v>2.9839279866072394E-2</v>
      </c>
      <c r="J85" s="3">
        <f t="shared" ca="1" si="88"/>
        <v>3.6630177288603641E-2</v>
      </c>
      <c r="K85" s="3">
        <f t="shared" ca="1" si="88"/>
        <v>3.1900339438126965E-2</v>
      </c>
      <c r="L85" s="3">
        <f t="shared" ca="1" si="88"/>
        <v>3.8145960609541493E-2</v>
      </c>
      <c r="M85" s="3">
        <f t="shared" ca="1" si="88"/>
        <v>3.315085218468497E-2</v>
      </c>
      <c r="N85" s="3">
        <f t="shared" ca="1" si="88"/>
        <v>4.0112036345857111E-2</v>
      </c>
      <c r="O85" s="3">
        <f t="shared" ca="1" si="88"/>
        <v>3.5274637448645133E-2</v>
      </c>
      <c r="P85" s="3">
        <f t="shared" ca="1" si="88"/>
        <v>4.1898490210762487E-2</v>
      </c>
      <c r="Q85" s="3">
        <f t="shared" ca="1" si="88"/>
        <v>3.6963244489139242E-2</v>
      </c>
      <c r="R85" s="3">
        <f t="shared" ca="1" si="88"/>
        <v>4.5388105366261866E-2</v>
      </c>
      <c r="S85" s="3">
        <f t="shared" ca="1" si="88"/>
        <v>3.8115891148335093E-2</v>
      </c>
      <c r="T85" s="3">
        <f t="shared" ca="1" si="88"/>
        <v>4.8336634618697874E-2</v>
      </c>
      <c r="U85" s="3">
        <f t="shared" ca="1" si="88"/>
        <v>3.9265356228156717E-2</v>
      </c>
      <c r="V85" s="3">
        <f t="shared" ca="1" si="88"/>
        <v>5.0643132128602206E-2</v>
      </c>
      <c r="W85" s="3">
        <f t="shared" ca="1" si="88"/>
        <v>4.16659007961835E-2</v>
      </c>
      <c r="X85" s="3">
        <f t="shared" ref="E85:AA96" ca="1" si="100">MIN(0.99,X28+$O$3)</f>
        <v>5.5797122156003152E-2</v>
      </c>
      <c r="Y85" s="3">
        <f t="shared" ca="1" si="100"/>
        <v>5.1030831300711482E-2</v>
      </c>
      <c r="Z85" s="3">
        <f t="shared" ca="1" si="100"/>
        <v>6.5511659738968914E-2</v>
      </c>
      <c r="AA85" s="3">
        <f t="shared" ca="1" si="100"/>
        <v>5.8019110935936244E-2</v>
      </c>
      <c r="AB85" s="3">
        <f t="shared" ref="AB85" ca="1" si="101">MIN(0.99,AB28+$O$3)</f>
        <v>7.1829398594925237E-2</v>
      </c>
      <c r="AC85" s="3">
        <f t="shared" ca="1" si="94"/>
        <v>6.2433912361452265E-2</v>
      </c>
      <c r="AD85" s="3">
        <f t="shared" ca="1" si="94"/>
        <v>8.3933831114099938E-2</v>
      </c>
      <c r="AE85" s="3">
        <f t="shared" ca="1" si="94"/>
        <v>6.997791243116408E-2</v>
      </c>
      <c r="AF85" s="3">
        <f t="shared" ca="1" si="94"/>
        <v>9.107641021258428E-2</v>
      </c>
      <c r="AG85" s="3">
        <f t="shared" ca="1" si="94"/>
        <v>7.6020526637825908E-2</v>
      </c>
      <c r="AH85" s="3">
        <f t="shared" ca="1" si="94"/>
        <v>0.12244566515932662</v>
      </c>
      <c r="AI85" s="3">
        <f t="shared" ca="1" si="94"/>
        <v>0.10995910859147615</v>
      </c>
      <c r="AJ85" s="3">
        <f t="shared" ca="1" si="94"/>
        <v>0.16980013731177765</v>
      </c>
    </row>
    <row r="86" spans="1:36" x14ac:dyDescent="0.35">
      <c r="A86" t="s">
        <v>77</v>
      </c>
      <c r="B86" t="s">
        <v>61</v>
      </c>
      <c r="C86" s="4" t="s">
        <v>66</v>
      </c>
      <c r="D86" s="3">
        <f t="shared" ca="1" si="77"/>
        <v>2.8738157924163621E-2</v>
      </c>
      <c r="E86" s="3">
        <f t="shared" ca="1" si="100"/>
        <v>2.8753001933190841E-2</v>
      </c>
      <c r="F86" s="3">
        <f t="shared" ca="1" si="100"/>
        <v>3.1714046159224379E-2</v>
      </c>
      <c r="G86" s="3">
        <f t="shared" ca="1" si="100"/>
        <v>2.9410459666311103E-2</v>
      </c>
      <c r="H86" s="3">
        <f t="shared" ca="1" si="100"/>
        <v>3.379803418889811E-2</v>
      </c>
      <c r="I86" s="3">
        <f t="shared" ca="1" si="100"/>
        <v>3.0771855789401639E-2</v>
      </c>
      <c r="J86" s="3">
        <f t="shared" ca="1" si="100"/>
        <v>3.7600994063881663E-2</v>
      </c>
      <c r="K86" s="3">
        <f t="shared" ca="1" si="100"/>
        <v>3.2803710122416285E-2</v>
      </c>
      <c r="L86" s="3">
        <f t="shared" ca="1" si="100"/>
        <v>3.9143807515253995E-2</v>
      </c>
      <c r="M86" s="3">
        <f t="shared" ca="1" si="100"/>
        <v>3.4073595419630689E-2</v>
      </c>
      <c r="N86" s="3">
        <f t="shared" ca="1" si="100"/>
        <v>4.1058621914542834E-2</v>
      </c>
      <c r="O86" s="3">
        <f t="shared" ca="1" si="100"/>
        <v>3.6223107852569492E-2</v>
      </c>
      <c r="P86" s="3">
        <f t="shared" ca="1" si="100"/>
        <v>4.2847514753066598E-2</v>
      </c>
      <c r="Q86" s="3">
        <f t="shared" ca="1" si="100"/>
        <v>3.7874488541864905E-2</v>
      </c>
      <c r="R86" s="3">
        <f t="shared" ca="1" si="100"/>
        <v>4.6292268621443255E-2</v>
      </c>
      <c r="S86" s="3">
        <f t="shared" ca="1" si="100"/>
        <v>3.9045455968365846E-2</v>
      </c>
      <c r="T86" s="3">
        <f t="shared" ca="1" si="100"/>
        <v>4.926693100634276E-2</v>
      </c>
      <c r="U86" s="3">
        <f t="shared" ca="1" si="100"/>
        <v>4.0193013443737088E-2</v>
      </c>
      <c r="V86" s="3">
        <f t="shared" ca="1" si="100"/>
        <v>5.1608950403480611E-2</v>
      </c>
      <c r="W86" s="3">
        <f t="shared" ca="1" si="100"/>
        <v>4.2594399889035801E-2</v>
      </c>
      <c r="X86" s="3">
        <f t="shared" ca="1" si="100"/>
        <v>5.677493769766314E-2</v>
      </c>
      <c r="Y86" s="3">
        <f t="shared" ca="1" si="100"/>
        <v>5.2012536993972125E-2</v>
      </c>
      <c r="Z86" s="3">
        <f t="shared" ca="1" si="100"/>
        <v>6.64402372269014E-2</v>
      </c>
      <c r="AA86" s="3">
        <f t="shared" ca="1" si="100"/>
        <v>5.8974583166414886E-2</v>
      </c>
      <c r="AB86" s="3">
        <f t="shared" ref="AB86" ca="1" si="102">MIN(0.99,AB29+$O$3)</f>
        <v>7.2821233798801663E-2</v>
      </c>
      <c r="AC86" s="3">
        <f t="shared" ca="1" si="94"/>
        <v>6.3367269863840184E-2</v>
      </c>
      <c r="AD86" s="3">
        <f t="shared" ca="1" si="94"/>
        <v>8.486973876104531E-2</v>
      </c>
      <c r="AE86" s="3">
        <f t="shared" ca="1" si="94"/>
        <v>7.0950086949822397E-2</v>
      </c>
      <c r="AF86" s="3">
        <f t="shared" ca="1" si="94"/>
        <v>9.2055947160218893E-2</v>
      </c>
      <c r="AG86" s="3">
        <f t="shared" ca="1" si="94"/>
        <v>7.697429160056897E-2</v>
      </c>
      <c r="AH86" s="3">
        <f t="shared" ca="1" si="94"/>
        <v>0.1233806877039966</v>
      </c>
      <c r="AI86" s="3">
        <f t="shared" ca="1" si="94"/>
        <v>0.1108761649892385</v>
      </c>
      <c r="AJ86" s="3">
        <f t="shared" ca="1" si="94"/>
        <v>0.17072257710998501</v>
      </c>
    </row>
    <row r="87" spans="1:36" x14ac:dyDescent="0.35">
      <c r="A87" t="s">
        <v>77</v>
      </c>
      <c r="B87" t="s">
        <v>61</v>
      </c>
      <c r="C87" s="4">
        <v>3</v>
      </c>
      <c r="D87" s="3">
        <f t="shared" ca="1" si="77"/>
        <v>2.9669359718455461E-2</v>
      </c>
      <c r="E87" s="3">
        <f t="shared" ca="1" si="100"/>
        <v>2.9666240621826909E-2</v>
      </c>
      <c r="F87" s="3">
        <f t="shared" ca="1" si="100"/>
        <v>3.2682592007757645E-2</v>
      </c>
      <c r="G87" s="3">
        <f t="shared" ca="1" si="100"/>
        <v>3.0340046138608801E-2</v>
      </c>
      <c r="H87" s="3">
        <f t="shared" ca="1" si="100"/>
        <v>3.4772945413609473E-2</v>
      </c>
      <c r="I87" s="3">
        <f t="shared" ca="1" si="100"/>
        <v>3.1766609486790415E-2</v>
      </c>
      <c r="J87" s="3">
        <f t="shared" ca="1" si="100"/>
        <v>3.8573344506647421E-2</v>
      </c>
      <c r="K87" s="3">
        <f t="shared" ca="1" si="100"/>
        <v>3.3748849623278274E-2</v>
      </c>
      <c r="L87" s="3">
        <f t="shared" ca="1" si="100"/>
        <v>4.0070659984928966E-2</v>
      </c>
      <c r="M87" s="3">
        <f t="shared" ca="1" si="100"/>
        <v>3.4979809971407705E-2</v>
      </c>
      <c r="N87" s="3">
        <f t="shared" ca="1" si="100"/>
        <v>4.1958931459472958E-2</v>
      </c>
      <c r="O87" s="3">
        <f t="shared" ca="1" si="100"/>
        <v>3.7202359955625958E-2</v>
      </c>
      <c r="P87" s="3">
        <f t="shared" ca="1" si="100"/>
        <v>4.3770199779425929E-2</v>
      </c>
      <c r="Q87" s="3">
        <f t="shared" ca="1" si="100"/>
        <v>3.8795084812374502E-2</v>
      </c>
      <c r="R87" s="3">
        <f t="shared" ca="1" si="100"/>
        <v>4.7203671507448558E-2</v>
      </c>
      <c r="S87" s="3">
        <f t="shared" ca="1" si="100"/>
        <v>4.0017340461537154E-2</v>
      </c>
      <c r="T87" s="3">
        <f t="shared" ca="1" si="100"/>
        <v>5.0251911535335383E-2</v>
      </c>
      <c r="U87" s="3">
        <f t="shared" ca="1" si="100"/>
        <v>4.1116404116747454E-2</v>
      </c>
      <c r="V87" s="3">
        <f t="shared" ca="1" si="100"/>
        <v>5.2593747347461139E-2</v>
      </c>
      <c r="W87" s="3">
        <f t="shared" ca="1" si="100"/>
        <v>4.3593499936989209E-2</v>
      </c>
      <c r="X87" s="3">
        <f t="shared" ca="1" si="100"/>
        <v>5.7753372640952462E-2</v>
      </c>
      <c r="Y87" s="3">
        <f t="shared" ca="1" si="100"/>
        <v>5.2989290267113159E-2</v>
      </c>
      <c r="Z87" s="3">
        <f t="shared" ca="1" si="100"/>
        <v>6.7429384288995808E-2</v>
      </c>
      <c r="AA87" s="3">
        <f t="shared" ca="1" si="100"/>
        <v>5.9897187753335107E-2</v>
      </c>
      <c r="AB87" s="3">
        <f t="shared" ref="AB87" ca="1" si="103">MIN(0.99,AB30+$O$3)</f>
        <v>7.3743369845187548E-2</v>
      </c>
      <c r="AC87" s="3">
        <f t="shared" ca="1" si="94"/>
        <v>6.4355880227485285E-2</v>
      </c>
      <c r="AD87" s="3">
        <f t="shared" ca="1" si="94"/>
        <v>8.585245722763124E-2</v>
      </c>
      <c r="AE87" s="3">
        <f t="shared" ca="1" si="94"/>
        <v>7.1945981465828757E-2</v>
      </c>
      <c r="AF87" s="3">
        <f t="shared" ca="1" si="94"/>
        <v>9.3036065324911821E-2</v>
      </c>
      <c r="AG87" s="3">
        <f t="shared" ca="1" si="94"/>
        <v>7.7914164907409461E-2</v>
      </c>
      <c r="AH87" s="3">
        <f t="shared" ca="1" si="94"/>
        <v>0.12434730881982606</v>
      </c>
      <c r="AI87" s="3">
        <f t="shared" ca="1" si="94"/>
        <v>0.1118062859834307</v>
      </c>
      <c r="AJ87" s="3">
        <f t="shared" ca="1" si="94"/>
        <v>0.17167869475161424</v>
      </c>
    </row>
    <row r="88" spans="1:36" x14ac:dyDescent="0.35">
      <c r="A88" t="s">
        <v>77</v>
      </c>
      <c r="B88" t="s">
        <v>61</v>
      </c>
      <c r="C88" s="4" t="s">
        <v>67</v>
      </c>
      <c r="D88" s="3">
        <f t="shared" ca="1" si="77"/>
        <v>3.0609784391895743E-2</v>
      </c>
      <c r="E88" s="3">
        <f t="shared" ca="1" si="100"/>
        <v>3.0637079861433419E-2</v>
      </c>
      <c r="F88" s="3">
        <f t="shared" ca="1" si="100"/>
        <v>3.3638562829574753E-2</v>
      </c>
      <c r="G88" s="3">
        <f t="shared" ca="1" si="100"/>
        <v>3.1253995788523156E-2</v>
      </c>
      <c r="H88" s="3">
        <f t="shared" ca="1" si="100"/>
        <v>3.5716007484139424E-2</v>
      </c>
      <c r="I88" s="3">
        <f t="shared" ca="1" si="100"/>
        <v>3.2714563245252376E-2</v>
      </c>
      <c r="J88" s="3">
        <f t="shared" ca="1" si="100"/>
        <v>3.9506029205336829E-2</v>
      </c>
      <c r="K88" s="3">
        <f t="shared" ca="1" si="100"/>
        <v>3.4669484781254284E-2</v>
      </c>
      <c r="L88" s="3">
        <f t="shared" ca="1" si="100"/>
        <v>4.0988946462865244E-2</v>
      </c>
      <c r="M88" s="3">
        <f t="shared" ca="1" si="100"/>
        <v>3.5954249364166427E-2</v>
      </c>
      <c r="N88" s="3">
        <f t="shared" ca="1" si="100"/>
        <v>4.2947564407299799E-2</v>
      </c>
      <c r="O88" s="3">
        <f t="shared" ca="1" si="100"/>
        <v>3.8105791073401826E-2</v>
      </c>
      <c r="P88" s="3">
        <f t="shared" ca="1" si="100"/>
        <v>4.4671471193201293E-2</v>
      </c>
      <c r="Q88" s="3">
        <f t="shared" ca="1" si="100"/>
        <v>3.9763867289089191E-2</v>
      </c>
      <c r="R88" s="3">
        <f t="shared" ca="1" si="100"/>
        <v>4.8151736727915839E-2</v>
      </c>
      <c r="S88" s="3">
        <f t="shared" ca="1" si="100"/>
        <v>4.0945579010579977E-2</v>
      </c>
      <c r="T88" s="3">
        <f t="shared" ca="1" si="100"/>
        <v>5.1190276389162306E-2</v>
      </c>
      <c r="U88" s="3">
        <f t="shared" ca="1" si="100"/>
        <v>4.205076657217182E-2</v>
      </c>
      <c r="V88" s="3">
        <f t="shared" ca="1" si="100"/>
        <v>5.356024302374926E-2</v>
      </c>
      <c r="W88" s="3">
        <f t="shared" ca="1" si="100"/>
        <v>4.4533068446941007E-2</v>
      </c>
      <c r="X88" s="3">
        <f t="shared" ca="1" si="100"/>
        <v>5.8740686148998009E-2</v>
      </c>
      <c r="Y88" s="3">
        <f t="shared" ca="1" si="100"/>
        <v>5.3905389952033561E-2</v>
      </c>
      <c r="Z88" s="3">
        <f t="shared" ca="1" si="100"/>
        <v>6.8428403292747866E-2</v>
      </c>
      <c r="AA88" s="3">
        <f t="shared" ca="1" si="100"/>
        <v>6.0862424695422475E-2</v>
      </c>
      <c r="AB88" s="3">
        <f t="shared" ref="AB88" ca="1" si="104">MIN(0.99,AB31+$O$3)</f>
        <v>7.4716111888956604E-2</v>
      </c>
      <c r="AC88" s="3">
        <f t="shared" ca="1" si="94"/>
        <v>6.527995361315711E-2</v>
      </c>
      <c r="AD88" s="3">
        <f t="shared" ca="1" si="94"/>
        <v>8.675906427697927E-2</v>
      </c>
      <c r="AE88" s="3">
        <f t="shared" ca="1" si="94"/>
        <v>7.2852611762909802E-2</v>
      </c>
      <c r="AF88" s="3">
        <f t="shared" ca="1" si="94"/>
        <v>9.4008131839625725E-2</v>
      </c>
      <c r="AG88" s="3">
        <f t="shared" ca="1" si="94"/>
        <v>7.8821814817648134E-2</v>
      </c>
      <c r="AH88" s="3">
        <f t="shared" ca="1" si="94"/>
        <v>0.12531069772834699</v>
      </c>
      <c r="AI88" s="3">
        <f t="shared" ca="1" si="94"/>
        <v>0.11272605083131312</v>
      </c>
      <c r="AJ88" s="3">
        <f t="shared" ca="1" si="94"/>
        <v>0.17265119939555118</v>
      </c>
    </row>
    <row r="89" spans="1:36" x14ac:dyDescent="0.35">
      <c r="A89" t="s">
        <v>77</v>
      </c>
      <c r="B89" t="s">
        <v>61</v>
      </c>
      <c r="C89" s="4" t="s">
        <v>68</v>
      </c>
      <c r="D89" s="3">
        <f t="shared" ca="1" si="77"/>
        <v>3.1514626892921435E-2</v>
      </c>
      <c r="E89" s="3">
        <f t="shared" ca="1" si="100"/>
        <v>3.156048105163721E-2</v>
      </c>
      <c r="F89" s="3">
        <f t="shared" ca="1" si="100"/>
        <v>3.4577015999812083E-2</v>
      </c>
      <c r="G89" s="3">
        <f t="shared" ca="1" si="100"/>
        <v>3.2169958427536664E-2</v>
      </c>
      <c r="H89" s="3">
        <f t="shared" ca="1" si="100"/>
        <v>3.6657134417089753E-2</v>
      </c>
      <c r="I89" s="3">
        <f t="shared" ca="1" si="100"/>
        <v>3.3615320269035437E-2</v>
      </c>
      <c r="J89" s="3">
        <f t="shared" ca="1" si="100"/>
        <v>4.0412456339383812E-2</v>
      </c>
      <c r="K89" s="3">
        <f t="shared" ca="1" si="100"/>
        <v>3.5614859108795811E-2</v>
      </c>
      <c r="L89" s="3">
        <f t="shared" ca="1" si="100"/>
        <v>4.1893771048734221E-2</v>
      </c>
      <c r="M89" s="3">
        <f t="shared" ca="1" si="100"/>
        <v>3.6921256037177067E-2</v>
      </c>
      <c r="N89" s="3">
        <f t="shared" ca="1" si="100"/>
        <v>4.3891943223726901E-2</v>
      </c>
      <c r="O89" s="3">
        <f t="shared" ca="1" si="100"/>
        <v>3.9075533665439199E-2</v>
      </c>
      <c r="P89" s="3">
        <f t="shared" ca="1" si="100"/>
        <v>4.55881562905694E-2</v>
      </c>
      <c r="Q89" s="3">
        <f t="shared" ca="1" si="100"/>
        <v>4.0735288639125351E-2</v>
      </c>
      <c r="R89" s="3">
        <f t="shared" ca="1" si="100"/>
        <v>4.9062237012516732E-2</v>
      </c>
      <c r="S89" s="3">
        <f t="shared" ca="1" si="100"/>
        <v>4.1874124100872899E-2</v>
      </c>
      <c r="T89" s="3">
        <f t="shared" ca="1" si="100"/>
        <v>5.2185086397123312E-2</v>
      </c>
      <c r="U89" s="3">
        <f t="shared" ca="1" si="100"/>
        <v>4.3021988726707434E-2</v>
      </c>
      <c r="V89" s="3">
        <f t="shared" ca="1" si="100"/>
        <v>5.4470076140881944E-2</v>
      </c>
      <c r="W89" s="3">
        <f t="shared" ca="1" si="100"/>
        <v>4.5459328376510608E-2</v>
      </c>
      <c r="X89" s="3">
        <f t="shared" ca="1" si="100"/>
        <v>5.9721483647560074E-2</v>
      </c>
      <c r="Y89" s="3">
        <f t="shared" ca="1" si="100"/>
        <v>5.4813263717884149E-2</v>
      </c>
      <c r="Z89" s="3">
        <f t="shared" ca="1" si="100"/>
        <v>6.9335735657418573E-2</v>
      </c>
      <c r="AA89" s="3">
        <f t="shared" ca="1" si="100"/>
        <v>6.1818446840070117E-2</v>
      </c>
      <c r="AB89" s="3">
        <f t="shared" ref="AB89" ca="1" si="105">MIN(0.99,AB32+$O$3)</f>
        <v>7.5628033584131393E-2</v>
      </c>
      <c r="AC89" s="3">
        <f t="shared" ca="1" si="94"/>
        <v>6.6180968156039383E-2</v>
      </c>
      <c r="AD89" s="3">
        <f t="shared" ca="1" si="94"/>
        <v>8.7673298902339492E-2</v>
      </c>
      <c r="AE89" s="3">
        <f t="shared" ca="1" si="94"/>
        <v>7.3759844697054947E-2</v>
      </c>
      <c r="AF89" s="3">
        <f t="shared" ca="1" si="94"/>
        <v>9.4939674133183632E-2</v>
      </c>
      <c r="AG89" s="3">
        <f t="shared" ca="1" si="94"/>
        <v>7.9734280172886418E-2</v>
      </c>
      <c r="AH89" s="3">
        <f t="shared" ca="1" si="94"/>
        <v>0.1262153888842755</v>
      </c>
      <c r="AI89" s="3">
        <f t="shared" ca="1" si="94"/>
        <v>0.11372538702969306</v>
      </c>
      <c r="AJ89" s="3">
        <f t="shared" ca="1" si="94"/>
        <v>0.17360688788931283</v>
      </c>
    </row>
    <row r="90" spans="1:36" x14ac:dyDescent="0.35">
      <c r="A90" t="s">
        <v>77</v>
      </c>
      <c r="B90" t="s">
        <v>61</v>
      </c>
      <c r="C90" s="4">
        <v>4</v>
      </c>
      <c r="D90" s="3">
        <f t="shared" ca="1" si="77"/>
        <v>3.2434599147483256E-2</v>
      </c>
      <c r="E90" s="3">
        <f t="shared" ca="1" si="100"/>
        <v>3.2469896123868212E-2</v>
      </c>
      <c r="F90" s="3">
        <f t="shared" ca="1" si="100"/>
        <v>3.5548285470761345E-2</v>
      </c>
      <c r="G90" s="3">
        <f t="shared" ca="1" si="100"/>
        <v>3.311452999379523E-2</v>
      </c>
      <c r="H90" s="3">
        <f t="shared" ca="1" si="100"/>
        <v>3.7604507945391892E-2</v>
      </c>
      <c r="I90" s="3">
        <f t="shared" ca="1" si="100"/>
        <v>3.458713163992682E-2</v>
      </c>
      <c r="J90" s="3">
        <f t="shared" ca="1" si="100"/>
        <v>4.138586073448778E-2</v>
      </c>
      <c r="K90" s="3">
        <f t="shared" ca="1" si="100"/>
        <v>3.6555807675196159E-2</v>
      </c>
      <c r="L90" s="3">
        <f t="shared" ca="1" si="100"/>
        <v>4.2798101036850993E-2</v>
      </c>
      <c r="M90" s="3">
        <f t="shared" ca="1" si="100"/>
        <v>3.7843904955614613E-2</v>
      </c>
      <c r="N90" s="3">
        <f t="shared" ca="1" si="100"/>
        <v>4.4816789454752037E-2</v>
      </c>
      <c r="O90" s="3">
        <f t="shared" ca="1" si="100"/>
        <v>4.0033001669030829E-2</v>
      </c>
      <c r="P90" s="3">
        <f t="shared" ca="1" si="100"/>
        <v>4.6583330612562673E-2</v>
      </c>
      <c r="Q90" s="3">
        <f t="shared" ca="1" si="100"/>
        <v>4.1649984960146234E-2</v>
      </c>
      <c r="R90" s="3">
        <f t="shared" ca="1" si="100"/>
        <v>5.0039073792018066E-2</v>
      </c>
      <c r="S90" s="3">
        <f t="shared" ca="1" si="100"/>
        <v>4.2864880486290946E-2</v>
      </c>
      <c r="T90" s="3">
        <f t="shared" ca="1" si="100"/>
        <v>5.3161731581030748E-2</v>
      </c>
      <c r="U90" s="3">
        <f t="shared" ca="1" si="100"/>
        <v>4.4000614096510085E-2</v>
      </c>
      <c r="V90" s="3">
        <f t="shared" ca="1" si="100"/>
        <v>5.5420192427099058E-2</v>
      </c>
      <c r="W90" s="3">
        <f t="shared" ca="1" si="100"/>
        <v>4.6409699368010163E-2</v>
      </c>
      <c r="X90" s="3">
        <f t="shared" ca="1" si="100"/>
        <v>6.0708701127595133E-2</v>
      </c>
      <c r="Y90" s="3">
        <f t="shared" ca="1" si="100"/>
        <v>5.57653741667418E-2</v>
      </c>
      <c r="Z90" s="3">
        <f t="shared" ca="1" si="100"/>
        <v>7.0270428216570008E-2</v>
      </c>
      <c r="AA90" s="3">
        <f t="shared" ca="1" si="100"/>
        <v>6.2753183848065719E-2</v>
      </c>
      <c r="AB90" s="3">
        <f t="shared" ref="AB90" ca="1" si="106">MIN(0.99,AB33+$O$3)</f>
        <v>7.654298405162932E-2</v>
      </c>
      <c r="AC90" s="3">
        <f t="shared" ca="1" si="94"/>
        <v>6.7154279584718646E-2</v>
      </c>
      <c r="AD90" s="3">
        <f t="shared" ca="1" si="94"/>
        <v>8.8586704413309569E-2</v>
      </c>
      <c r="AE90" s="3">
        <f t="shared" ca="1" si="94"/>
        <v>7.466248497083619E-2</v>
      </c>
      <c r="AF90" s="3">
        <f t="shared" ca="1" si="94"/>
        <v>9.5867610315478941E-2</v>
      </c>
      <c r="AG90" s="3">
        <f t="shared" ca="1" si="94"/>
        <v>8.0695770139133191E-2</v>
      </c>
      <c r="AH90" s="3">
        <f t="shared" ca="1" si="94"/>
        <v>0.12720260001787467</v>
      </c>
      <c r="AI90" s="3">
        <f t="shared" ca="1" si="94"/>
        <v>0.11469329072769133</v>
      </c>
      <c r="AJ90" s="3">
        <f t="shared" ca="1" si="94"/>
        <v>0.17456612343656838</v>
      </c>
    </row>
    <row r="91" spans="1:36" x14ac:dyDescent="0.35">
      <c r="A91" t="s">
        <v>77</v>
      </c>
      <c r="B91" t="s">
        <v>61</v>
      </c>
      <c r="C91" s="4" t="s">
        <v>69</v>
      </c>
      <c r="D91" s="3">
        <f t="shared" ca="1" si="77"/>
        <v>3.3408185418172212E-2</v>
      </c>
      <c r="E91" s="3">
        <f t="shared" ca="1" si="100"/>
        <v>3.3441696195564391E-2</v>
      </c>
      <c r="F91" s="3">
        <f t="shared" ca="1" si="100"/>
        <v>3.6511172737799857E-2</v>
      </c>
      <c r="G91" s="3">
        <f t="shared" ca="1" si="100"/>
        <v>3.4058594454961982E-2</v>
      </c>
      <c r="H91" s="3">
        <f t="shared" ca="1" si="100"/>
        <v>3.8538355755186139E-2</v>
      </c>
      <c r="I91" s="3">
        <f t="shared" ca="1" si="100"/>
        <v>3.5518066694897654E-2</v>
      </c>
      <c r="J91" s="3">
        <f t="shared" ca="1" si="100"/>
        <v>4.2302681791716187E-2</v>
      </c>
      <c r="K91" s="3">
        <f t="shared" ca="1" si="100"/>
        <v>3.7530367286194098E-2</v>
      </c>
      <c r="L91" s="3">
        <f t="shared" ca="1" si="100"/>
        <v>4.3779489932963309E-2</v>
      </c>
      <c r="M91" s="3">
        <f t="shared" ca="1" si="100"/>
        <v>3.8779153519085882E-2</v>
      </c>
      <c r="N91" s="3">
        <f t="shared" ca="1" si="100"/>
        <v>4.5771803780739653E-2</v>
      </c>
      <c r="O91" s="3">
        <f t="shared" ca="1" si="100"/>
        <v>4.0976346235376007E-2</v>
      </c>
      <c r="P91" s="3">
        <f t="shared" ca="1" si="100"/>
        <v>4.7546762219440201E-2</v>
      </c>
      <c r="Q91" s="3">
        <f t="shared" ca="1" si="100"/>
        <v>4.2559259860613659E-2</v>
      </c>
      <c r="R91" s="3">
        <f t="shared" ca="1" si="100"/>
        <v>5.0939231392549578E-2</v>
      </c>
      <c r="S91" s="3">
        <f t="shared" ca="1" si="100"/>
        <v>4.379629165705877E-2</v>
      </c>
      <c r="T91" s="3">
        <f t="shared" ca="1" si="100"/>
        <v>5.410103686689792E-2</v>
      </c>
      <c r="U91" s="3">
        <f t="shared" ca="1" si="100"/>
        <v>4.4957882205879554E-2</v>
      </c>
      <c r="V91" s="3">
        <f t="shared" ca="1" si="100"/>
        <v>5.6408106648694722E-2</v>
      </c>
      <c r="W91" s="3">
        <f t="shared" ca="1" si="100"/>
        <v>4.7409102240684398E-2</v>
      </c>
      <c r="X91" s="3">
        <f t="shared" ca="1" si="100"/>
        <v>6.1646229357098445E-2</v>
      </c>
      <c r="Y91" s="3">
        <f t="shared" ca="1" si="100"/>
        <v>5.668959670819082E-2</v>
      </c>
      <c r="Z91" s="3">
        <f t="shared" ca="1" si="100"/>
        <v>7.1255761975697524E-2</v>
      </c>
      <c r="AA91" s="3">
        <f t="shared" ca="1" si="100"/>
        <v>6.3745541297092034E-2</v>
      </c>
      <c r="AB91" s="3">
        <f t="shared" ref="AB91" ca="1" si="107">MIN(0.99,AB34+$O$3)</f>
        <v>7.7448325725640463E-2</v>
      </c>
      <c r="AC91" s="3">
        <f t="shared" ca="1" si="94"/>
        <v>6.8142096348510997E-2</v>
      </c>
      <c r="AD91" s="3">
        <f t="shared" ca="1" si="94"/>
        <v>8.9567941771360543E-2</v>
      </c>
      <c r="AE91" s="3">
        <f t="shared" ca="1" si="94"/>
        <v>7.5607974614669393E-2</v>
      </c>
      <c r="AF91" s="3">
        <f t="shared" ca="1" si="94"/>
        <v>9.6852071641408244E-2</v>
      </c>
      <c r="AG91" s="3">
        <f t="shared" ca="1" si="94"/>
        <v>8.1635292898063788E-2</v>
      </c>
      <c r="AH91" s="3">
        <f t="shared" ca="1" si="94"/>
        <v>0.12815324735661818</v>
      </c>
      <c r="AI91" s="3">
        <f t="shared" ca="1" si="94"/>
        <v>0.11562799243267988</v>
      </c>
      <c r="AJ91" s="3">
        <f t="shared" ca="1" si="94"/>
        <v>0.17554003311526109</v>
      </c>
    </row>
    <row r="92" spans="1:36" x14ac:dyDescent="0.35">
      <c r="A92" t="s">
        <v>77</v>
      </c>
      <c r="B92" t="s">
        <v>61</v>
      </c>
      <c r="C92" s="4" t="s">
        <v>70</v>
      </c>
      <c r="D92" s="3">
        <f t="shared" ca="1" si="77"/>
        <v>3.4317542773828577E-2</v>
      </c>
      <c r="E92" s="3">
        <f t="shared" ca="1" si="100"/>
        <v>3.440703915210145E-2</v>
      </c>
      <c r="F92" s="3">
        <f t="shared" ca="1" si="100"/>
        <v>3.7414772533662329E-2</v>
      </c>
      <c r="G92" s="3">
        <f t="shared" ca="1" si="100"/>
        <v>3.5022240144337927E-2</v>
      </c>
      <c r="H92" s="3">
        <f t="shared" ca="1" si="100"/>
        <v>3.9522354140553363E-2</v>
      </c>
      <c r="I92" s="3">
        <f t="shared" ca="1" si="100"/>
        <v>3.6447846504871595E-2</v>
      </c>
      <c r="J92" s="3">
        <f t="shared" ca="1" si="100"/>
        <v>4.3294863382542639E-2</v>
      </c>
      <c r="K92" s="3">
        <f t="shared" ca="1" si="100"/>
        <v>3.8465800133560622E-2</v>
      </c>
      <c r="L92" s="3">
        <f t="shared" ca="1" si="100"/>
        <v>4.4735027543955669E-2</v>
      </c>
      <c r="M92" s="3">
        <f t="shared" ca="1" si="100"/>
        <v>3.9713112513556359E-2</v>
      </c>
      <c r="N92" s="3">
        <f t="shared" ca="1" si="100"/>
        <v>4.6672114160175776E-2</v>
      </c>
      <c r="O92" s="3">
        <f t="shared" ca="1" si="100"/>
        <v>4.1956084208662411E-2</v>
      </c>
      <c r="P92" s="3">
        <f t="shared" ca="1" si="100"/>
        <v>4.8474623554382049E-2</v>
      </c>
      <c r="Q92" s="3">
        <f t="shared" ca="1" si="100"/>
        <v>4.3541999312176581E-2</v>
      </c>
      <c r="R92" s="3">
        <f t="shared" ca="1" si="100"/>
        <v>5.1869778407794387E-2</v>
      </c>
      <c r="S92" s="3">
        <f t="shared" ca="1" si="100"/>
        <v>4.4744876197004763E-2</v>
      </c>
      <c r="T92" s="3">
        <f t="shared" ca="1" si="100"/>
        <v>5.5022845908059358E-2</v>
      </c>
      <c r="U92" s="3">
        <f t="shared" ca="1" si="100"/>
        <v>4.5951980035256565E-2</v>
      </c>
      <c r="V92" s="3">
        <f t="shared" ca="1" si="100"/>
        <v>5.740284182352641E-2</v>
      </c>
      <c r="W92" s="3">
        <f t="shared" ca="1" si="100"/>
        <v>4.8402258690421321E-2</v>
      </c>
      <c r="X92" s="3">
        <f t="shared" ca="1" si="100"/>
        <v>6.2567902592149449E-2</v>
      </c>
      <c r="Y92" s="3">
        <f t="shared" ca="1" si="100"/>
        <v>5.7620877961553324E-2</v>
      </c>
      <c r="Z92" s="3">
        <f t="shared" ca="1" si="100"/>
        <v>7.2193254216070799E-2</v>
      </c>
      <c r="AA92" s="3">
        <f t="shared" ca="1" si="100"/>
        <v>6.4728623610690941E-2</v>
      </c>
      <c r="AB92" s="3">
        <f t="shared" ref="AB92" ca="1" si="108">MIN(0.99,AB35+$O$3)</f>
        <v>7.8418983494675687E-2</v>
      </c>
      <c r="AC92" s="3">
        <f t="shared" ca="1" si="94"/>
        <v>6.9105130423717159E-2</v>
      </c>
      <c r="AD92" s="3">
        <f t="shared" ca="1" si="94"/>
        <v>9.0561101797659888E-2</v>
      </c>
      <c r="AE92" s="3">
        <f t="shared" ca="1" si="94"/>
        <v>7.6559536327821504E-2</v>
      </c>
      <c r="AF92" s="3">
        <f t="shared" ca="1" si="94"/>
        <v>9.7799853274363691E-2</v>
      </c>
      <c r="AG92" s="3">
        <f t="shared" ca="1" si="94"/>
        <v>8.256496002473207E-2</v>
      </c>
      <c r="AH92" s="3">
        <f t="shared" ca="1" si="94"/>
        <v>0.12913661533902354</v>
      </c>
      <c r="AI92" s="3">
        <f t="shared" ca="1" si="94"/>
        <v>0.11654560432279623</v>
      </c>
      <c r="AJ92" s="3">
        <f t="shared" ca="1" si="94"/>
        <v>0.17649710609399016</v>
      </c>
    </row>
    <row r="93" spans="1:36" x14ac:dyDescent="0.35">
      <c r="A93" t="s">
        <v>77</v>
      </c>
      <c r="B93" t="s">
        <v>61</v>
      </c>
      <c r="C93" s="4">
        <v>5</v>
      </c>
      <c r="D93" s="3">
        <f t="shared" ca="1" si="77"/>
        <v>3.5278276665449686E-2</v>
      </c>
      <c r="E93" s="3">
        <f t="shared" ca="1" si="100"/>
        <v>3.5350397253026015E-2</v>
      </c>
      <c r="F93" s="3">
        <f t="shared" ca="1" si="100"/>
        <v>3.8352751453999592E-2</v>
      </c>
      <c r="G93" s="3">
        <f t="shared" ca="1" si="100"/>
        <v>3.5963690130217094E-2</v>
      </c>
      <c r="H93" s="3">
        <f t="shared" ca="1" si="100"/>
        <v>4.0497164379325198E-2</v>
      </c>
      <c r="I93" s="3">
        <f t="shared" ca="1" si="100"/>
        <v>3.7348659280301399E-2</v>
      </c>
      <c r="J93" s="3">
        <f t="shared" ca="1" si="100"/>
        <v>4.4284793965583276E-2</v>
      </c>
      <c r="K93" s="3">
        <f t="shared" ca="1" si="100"/>
        <v>3.9393352112012073E-2</v>
      </c>
      <c r="L93" s="3">
        <f t="shared" ca="1" si="100"/>
        <v>4.573123794280419E-2</v>
      </c>
      <c r="M93" s="3">
        <f t="shared" ca="1" si="100"/>
        <v>4.0649145729671293E-2</v>
      </c>
      <c r="N93" s="3">
        <f t="shared" ca="1" si="100"/>
        <v>4.7626897571473162E-2</v>
      </c>
      <c r="O93" s="3">
        <f t="shared" ca="1" si="100"/>
        <v>4.2887852778356772E-2</v>
      </c>
      <c r="P93" s="3">
        <f t="shared" ca="1" si="100"/>
        <v>4.9440034308008654E-2</v>
      </c>
      <c r="Q93" s="3">
        <f t="shared" ca="1" si="100"/>
        <v>4.4481320900152013E-2</v>
      </c>
      <c r="R93" s="3">
        <f t="shared" ca="1" si="100"/>
        <v>5.2797862299913317E-2</v>
      </c>
      <c r="S93" s="3">
        <f t="shared" ca="1" si="100"/>
        <v>4.5744245949930915E-2</v>
      </c>
      <c r="T93" s="3">
        <f t="shared" ca="1" si="100"/>
        <v>5.5974457777620147E-2</v>
      </c>
      <c r="U93" s="3">
        <f t="shared" ca="1" si="100"/>
        <v>4.689978103464864E-2</v>
      </c>
      <c r="V93" s="3">
        <f t="shared" ca="1" si="100"/>
        <v>5.8332998605004419E-2</v>
      </c>
      <c r="W93" s="3">
        <f t="shared" ca="1" si="100"/>
        <v>4.9342358039597661E-2</v>
      </c>
      <c r="X93" s="3">
        <f t="shared" ca="1" si="100"/>
        <v>6.3482059374819128E-2</v>
      </c>
      <c r="Y93" s="3">
        <f t="shared" ca="1" si="100"/>
        <v>5.8569242562660016E-2</v>
      </c>
      <c r="Z93" s="3">
        <f t="shared" ca="1" si="100"/>
        <v>7.3161754567345555E-2</v>
      </c>
      <c r="AA93" s="3">
        <f t="shared" ca="1" si="100"/>
        <v>6.5695991764628342E-2</v>
      </c>
      <c r="AB93" s="3">
        <f t="shared" ref="AB93" ca="1" si="109">MIN(0.99,AB36+$O$3)</f>
        <v>7.9339331469253246E-2</v>
      </c>
      <c r="AC93" s="3">
        <f t="shared" ca="1" si="94"/>
        <v>7.0043196818381864E-2</v>
      </c>
      <c r="AD93" s="3">
        <f t="shared" ca="1" si="94"/>
        <v>9.1498224781989879E-2</v>
      </c>
      <c r="AE93" s="3">
        <f t="shared" ca="1" si="94"/>
        <v>7.7520924554888127E-2</v>
      </c>
      <c r="AF93" s="3">
        <f t="shared" ca="1" si="94"/>
        <v>9.8765495561987687E-2</v>
      </c>
      <c r="AG93" s="3">
        <f t="shared" ca="1" si="94"/>
        <v>8.3485286242682033E-2</v>
      </c>
      <c r="AH93" s="3">
        <f t="shared" ca="1" si="94"/>
        <v>0.13006357850662545</v>
      </c>
      <c r="AI93" s="3">
        <f t="shared" ca="1" si="94"/>
        <v>0.11747837735867794</v>
      </c>
      <c r="AJ93" s="3">
        <f t="shared" ca="1" si="94"/>
        <v>0.177432292188516</v>
      </c>
    </row>
    <row r="94" spans="1:36" x14ac:dyDescent="0.35">
      <c r="A94" t="s">
        <v>77</v>
      </c>
      <c r="B94" t="s">
        <v>61</v>
      </c>
      <c r="C94" s="4" t="s">
        <v>71</v>
      </c>
      <c r="D94" s="3">
        <f t="shared" ca="1" si="77"/>
        <v>3.6212129306174887E-2</v>
      </c>
      <c r="E94" s="3">
        <f t="shared" ca="1" si="100"/>
        <v>3.6345087175522629E-2</v>
      </c>
      <c r="F94" s="3">
        <f t="shared" ca="1" si="100"/>
        <v>3.9339071726916683E-2</v>
      </c>
      <c r="G94" s="3">
        <f t="shared" ca="1" si="100"/>
        <v>3.6883523303339757E-2</v>
      </c>
      <c r="H94" s="3">
        <f t="shared" ca="1" si="100"/>
        <v>4.1490949478404135E-2</v>
      </c>
      <c r="I94" s="3">
        <f t="shared" ca="1" si="100"/>
        <v>3.8252056401569527E-2</v>
      </c>
      <c r="J94" s="3">
        <f t="shared" ca="1" si="100"/>
        <v>4.5200645433838046E-2</v>
      </c>
      <c r="K94" s="3">
        <f t="shared" ca="1" si="100"/>
        <v>4.0351370924962986E-2</v>
      </c>
      <c r="L94" s="3">
        <f t="shared" ca="1" si="100"/>
        <v>4.6693984896337422E-2</v>
      </c>
      <c r="M94" s="3">
        <f t="shared" ca="1" si="100"/>
        <v>4.1612620384975166E-2</v>
      </c>
      <c r="N94" s="3">
        <f t="shared" ca="1" si="100"/>
        <v>4.8624602150411714E-2</v>
      </c>
      <c r="O94" s="3">
        <f t="shared" ca="1" si="100"/>
        <v>4.3811645434830321E-2</v>
      </c>
      <c r="P94" s="3">
        <f t="shared" ca="1" si="100"/>
        <v>5.0350979373547877E-2</v>
      </c>
      <c r="Q94" s="3">
        <f t="shared" ca="1" si="100"/>
        <v>4.5407377716922853E-2</v>
      </c>
      <c r="R94" s="3">
        <f t="shared" ca="1" si="100"/>
        <v>5.3727355535961967E-2</v>
      </c>
      <c r="S94" s="3">
        <f t="shared" ca="1" si="100"/>
        <v>4.6733348931272435E-2</v>
      </c>
      <c r="T94" s="3">
        <f t="shared" ca="1" si="100"/>
        <v>5.6963322534819179E-2</v>
      </c>
      <c r="U94" s="3">
        <f t="shared" ca="1" si="100"/>
        <v>4.7897869207785299E-2</v>
      </c>
      <c r="V94" s="3">
        <f t="shared" ca="1" si="100"/>
        <v>5.924593200796073E-2</v>
      </c>
      <c r="W94" s="3">
        <f t="shared" ca="1" si="100"/>
        <v>5.0317228953962054E-2</v>
      </c>
      <c r="X94" s="3">
        <f t="shared" ca="1" si="100"/>
        <v>6.4442640487239564E-2</v>
      </c>
      <c r="Y94" s="3">
        <f t="shared" ca="1" si="100"/>
        <v>5.9549016605743486E-2</v>
      </c>
      <c r="Z94" s="3">
        <f t="shared" ca="1" si="100"/>
        <v>7.4154473615062194E-2</v>
      </c>
      <c r="AA94" s="3">
        <f t="shared" ca="1" si="100"/>
        <v>6.6621092780161206E-2</v>
      </c>
      <c r="AB94" s="3">
        <f t="shared" ref="AB94" ca="1" si="110">MIN(0.99,AB37+$O$3)</f>
        <v>8.0261489218278609E-2</v>
      </c>
      <c r="AC94" s="3">
        <f t="shared" ca="1" si="94"/>
        <v>7.0955665569841564E-2</v>
      </c>
      <c r="AD94" s="3">
        <f t="shared" ca="1" si="94"/>
        <v>9.2433402294950617E-2</v>
      </c>
      <c r="AE94" s="3">
        <f t="shared" ca="1" si="94"/>
        <v>7.8447459554089521E-2</v>
      </c>
      <c r="AF94" s="3">
        <f t="shared" ca="1" si="94"/>
        <v>9.9667892818718823E-2</v>
      </c>
      <c r="AG94" s="3">
        <f t="shared" ca="1" si="94"/>
        <v>8.4470211501170109E-2</v>
      </c>
      <c r="AH94" s="3">
        <f t="shared" ca="1" si="94"/>
        <v>0.13104945136478938</v>
      </c>
      <c r="AI94" s="3">
        <f t="shared" ca="1" si="94"/>
        <v>0.11845907092266167</v>
      </c>
      <c r="AJ94" s="3">
        <f t="shared" ca="1" si="94"/>
        <v>0.17835566424944285</v>
      </c>
    </row>
    <row r="95" spans="1:36" x14ac:dyDescent="0.35">
      <c r="A95" t="s">
        <v>77</v>
      </c>
      <c r="B95" t="s">
        <v>61</v>
      </c>
      <c r="C95" s="4" t="s">
        <v>72</v>
      </c>
      <c r="D95" s="3">
        <f t="shared" ca="1" si="77"/>
        <v>3.7128185099006311E-2</v>
      </c>
      <c r="E95" s="3">
        <f t="shared" ca="1" si="100"/>
        <v>3.7247151516542801E-2</v>
      </c>
      <c r="F95" s="3">
        <f t="shared" ca="1" si="100"/>
        <v>4.0242444686108214E-2</v>
      </c>
      <c r="G95" s="3">
        <f t="shared" ca="1" si="100"/>
        <v>3.7856606566587486E-2</v>
      </c>
      <c r="H95" s="3">
        <f t="shared" ca="1" si="100"/>
        <v>4.2442503313797043E-2</v>
      </c>
      <c r="I95" s="3">
        <f t="shared" ca="1" si="100"/>
        <v>3.9197687483148835E-2</v>
      </c>
      <c r="J95" s="3">
        <f t="shared" ca="1" si="100"/>
        <v>4.6197168872614935E-2</v>
      </c>
      <c r="K95" s="3">
        <f t="shared" ca="1" si="100"/>
        <v>4.1300935379595324E-2</v>
      </c>
      <c r="L95" s="3">
        <f t="shared" ca="1" si="100"/>
        <v>4.7617443192611832E-2</v>
      </c>
      <c r="M95" s="3">
        <f t="shared" ca="1" si="100"/>
        <v>4.2540365926147267E-2</v>
      </c>
      <c r="N95" s="3">
        <f t="shared" ca="1" si="100"/>
        <v>4.9535343661582978E-2</v>
      </c>
      <c r="O95" s="3">
        <f t="shared" ca="1" si="100"/>
        <v>4.4739832601578516E-2</v>
      </c>
      <c r="P95" s="3">
        <f t="shared" ca="1" si="100"/>
        <v>5.1307615178540114E-2</v>
      </c>
      <c r="Q95" s="3">
        <f t="shared" ca="1" si="100"/>
        <v>4.6325803822732436E-2</v>
      </c>
      <c r="R95" s="3">
        <f t="shared" ca="1" si="100"/>
        <v>5.4629303917077363E-2</v>
      </c>
      <c r="S95" s="3">
        <f t="shared" ca="1" si="100"/>
        <v>4.76647261961924E-2</v>
      </c>
      <c r="T95" s="3">
        <f t="shared" ca="1" si="100"/>
        <v>5.791587212953303E-2</v>
      </c>
      <c r="U95" s="3">
        <f t="shared" ca="1" si="100"/>
        <v>4.8823514320029002E-2</v>
      </c>
      <c r="V95" s="3">
        <f t="shared" ca="1" si="100"/>
        <v>6.0203515218075161E-2</v>
      </c>
      <c r="W95" s="3">
        <f t="shared" ca="1" si="100"/>
        <v>5.1231918438233597E-2</v>
      </c>
      <c r="X95" s="3">
        <f t="shared" ca="1" si="100"/>
        <v>6.5425487831070578E-2</v>
      </c>
      <c r="Y95" s="3">
        <f t="shared" ca="1" si="100"/>
        <v>6.0473784649613706E-2</v>
      </c>
      <c r="Z95" s="3">
        <f t="shared" ca="1" si="100"/>
        <v>7.5055830245674804E-2</v>
      </c>
      <c r="AA95" s="3">
        <f t="shared" ca="1" si="100"/>
        <v>6.7586454249275507E-2</v>
      </c>
      <c r="AB95" s="3">
        <f t="shared" ref="AB95:AJ110" ca="1" si="111">MIN(0.99,AB38+$O$3)</f>
        <v>8.1217342464777575E-2</v>
      </c>
      <c r="AC95" s="3">
        <f t="shared" ca="1" si="111"/>
        <v>7.1951463955215039E-2</v>
      </c>
      <c r="AD95" s="3">
        <f t="shared" ca="1" si="111"/>
        <v>9.3370000945281778E-2</v>
      </c>
      <c r="AE95" s="3">
        <f t="shared" ca="1" si="111"/>
        <v>7.9377878909033389E-2</v>
      </c>
      <c r="AF95" s="3">
        <f t="shared" ca="1" si="111"/>
        <v>0.10064149200635938</v>
      </c>
      <c r="AG95" s="3">
        <f t="shared" ca="1" si="111"/>
        <v>8.5441867573437941E-2</v>
      </c>
      <c r="AH95" s="3">
        <f t="shared" ca="1" si="111"/>
        <v>0.13199270865631241</v>
      </c>
      <c r="AI95" s="3">
        <f t="shared" ca="1" si="111"/>
        <v>0.1194284810259785</v>
      </c>
      <c r="AJ95" s="3">
        <f t="shared" ca="1" si="111"/>
        <v>0.17933425837581454</v>
      </c>
    </row>
    <row r="96" spans="1:36" x14ac:dyDescent="0.35">
      <c r="A96" t="s">
        <v>77</v>
      </c>
      <c r="B96" t="s">
        <v>61</v>
      </c>
      <c r="C96" s="4">
        <v>6</v>
      </c>
      <c r="D96" s="3">
        <f t="shared" ca="1" si="77"/>
        <v>3.8051078000001362E-2</v>
      </c>
      <c r="E96" s="3">
        <f t="shared" ca="1" si="100"/>
        <v>3.8201160510151461E-2</v>
      </c>
      <c r="F96" s="3">
        <f t="shared" ca="1" si="100"/>
        <v>4.1153316338432444E-2</v>
      </c>
      <c r="G96" s="3">
        <f t="shared" ca="1" si="100"/>
        <v>3.883294204826207E-2</v>
      </c>
      <c r="H96" s="3">
        <f t="shared" ca="1" si="100"/>
        <v>4.3395225024892334E-2</v>
      </c>
      <c r="I96" s="3">
        <f t="shared" ca="1" si="100"/>
        <v>4.0100007425419942E-2</v>
      </c>
      <c r="J96" s="3">
        <f t="shared" ca="1" si="100"/>
        <v>4.7127650876456921E-2</v>
      </c>
      <c r="K96" s="3">
        <f t="shared" ca="1" si="100"/>
        <v>4.2291575939216224E-2</v>
      </c>
      <c r="L96" s="3">
        <f t="shared" ca="1" si="100"/>
        <v>4.8586231582569486E-2</v>
      </c>
      <c r="M96" s="3">
        <f t="shared" ca="1" si="100"/>
        <v>4.3501244944021716E-2</v>
      </c>
      <c r="N96" s="3">
        <f t="shared" ca="1" si="100"/>
        <v>5.0459755313059601E-2</v>
      </c>
      <c r="O96" s="3">
        <f t="shared" ca="1" si="100"/>
        <v>4.5715274962924476E-2</v>
      </c>
      <c r="P96" s="3">
        <f t="shared" ca="1" si="100"/>
        <v>5.223120755482058E-2</v>
      </c>
      <c r="Q96" s="3">
        <f t="shared" ca="1" si="100"/>
        <v>4.7298810263202026E-2</v>
      </c>
      <c r="R96" s="3">
        <f t="shared" ca="1" si="100"/>
        <v>5.5531895968191802E-2</v>
      </c>
      <c r="S96" s="3">
        <f t="shared" ca="1" si="100"/>
        <v>4.8645095987074879E-2</v>
      </c>
      <c r="T96" s="3">
        <f t="shared" ca="1" si="100"/>
        <v>5.8882931097634088E-2</v>
      </c>
      <c r="U96" s="3">
        <f t="shared" ca="1" si="100"/>
        <v>4.9741613395099055E-2</v>
      </c>
      <c r="V96" s="3">
        <f t="shared" ca="1" si="100"/>
        <v>6.1169494192171353E-2</v>
      </c>
      <c r="W96" s="3">
        <f t="shared" ca="1" si="100"/>
        <v>5.2192383888055055E-2</v>
      </c>
      <c r="X96" s="3">
        <f t="shared" ca="1" si="100"/>
        <v>6.6403332879757165E-2</v>
      </c>
      <c r="Y96" s="3">
        <f t="shared" ca="1" si="100"/>
        <v>6.1378109657716416E-2</v>
      </c>
      <c r="Z96" s="3">
        <f t="shared" ref="E96:AA107" ca="1" si="112">MIN(0.99,Z39+$O$3)</f>
        <v>7.595826738787248E-2</v>
      </c>
      <c r="AA96" s="3">
        <f t="shared" ca="1" si="112"/>
        <v>6.8557768322229179E-2</v>
      </c>
      <c r="AB96" s="3">
        <f t="shared" ref="AB96" ca="1" si="113">MIN(0.99,AB39+$O$3)</f>
        <v>8.2212420651349621E-2</v>
      </c>
      <c r="AC96" s="3">
        <f t="shared" ca="1" si="111"/>
        <v>7.2887769107564615E-2</v>
      </c>
      <c r="AD96" s="3">
        <f t="shared" ca="1" si="111"/>
        <v>9.4293805489971849E-2</v>
      </c>
      <c r="AE96" s="3">
        <f t="shared" ca="1" si="111"/>
        <v>8.0282633303114054E-2</v>
      </c>
      <c r="AF96" s="3">
        <f t="shared" ca="1" si="111"/>
        <v>0.10161493331166124</v>
      </c>
      <c r="AG96" s="3">
        <f t="shared" ca="1" si="111"/>
        <v>8.6368838791105712E-2</v>
      </c>
      <c r="AH96" s="3">
        <f t="shared" ca="1" si="111"/>
        <v>0.13290584860430749</v>
      </c>
      <c r="AI96" s="3">
        <f t="shared" ca="1" si="111"/>
        <v>0.1203542713882115</v>
      </c>
      <c r="AJ96" s="3">
        <f t="shared" ca="1" si="111"/>
        <v>0.18030918441522248</v>
      </c>
    </row>
    <row r="97" spans="1:36" x14ac:dyDescent="0.35">
      <c r="A97" t="s">
        <v>77</v>
      </c>
      <c r="B97" t="s">
        <v>61</v>
      </c>
      <c r="C97" s="4" t="s">
        <v>73</v>
      </c>
      <c r="D97" s="3">
        <f t="shared" ca="1" si="77"/>
        <v>3.9047662455575033E-2</v>
      </c>
      <c r="E97" s="3">
        <f t="shared" ca="1" si="112"/>
        <v>3.9167957091932562E-2</v>
      </c>
      <c r="F97" s="3">
        <f t="shared" ca="1" si="112"/>
        <v>4.2134386193298512E-2</v>
      </c>
      <c r="G97" s="3">
        <f t="shared" ca="1" si="112"/>
        <v>3.9734548024131858E-2</v>
      </c>
      <c r="H97" s="3">
        <f t="shared" ca="1" si="112"/>
        <v>4.4383142705779713E-2</v>
      </c>
      <c r="I97" s="3">
        <f t="shared" ca="1" si="112"/>
        <v>4.1070177772854113E-2</v>
      </c>
      <c r="J97" s="3">
        <f t="shared" ca="1" si="112"/>
        <v>4.8116681581614751E-2</v>
      </c>
      <c r="K97" s="3">
        <f t="shared" ca="1" si="112"/>
        <v>4.326972657775012E-2</v>
      </c>
      <c r="L97" s="3">
        <f t="shared" ca="1" si="112"/>
        <v>4.9496602354504683E-2</v>
      </c>
      <c r="M97" s="3">
        <f t="shared" ca="1" si="112"/>
        <v>4.4496920851320787E-2</v>
      </c>
      <c r="N97" s="3">
        <f t="shared" ca="1" si="112"/>
        <v>5.1439036848392655E-2</v>
      </c>
      <c r="O97" s="3">
        <f t="shared" ca="1" si="112"/>
        <v>4.6686868008271411E-2</v>
      </c>
      <c r="P97" s="3">
        <f t="shared" ca="1" si="112"/>
        <v>5.3207940185442795E-2</v>
      </c>
      <c r="Q97" s="3">
        <f t="shared" ca="1" si="112"/>
        <v>4.8231349607093355E-2</v>
      </c>
      <c r="R97" s="3">
        <f t="shared" ca="1" si="112"/>
        <v>5.6462258911113408E-2</v>
      </c>
      <c r="S97" s="3">
        <f t="shared" ca="1" si="112"/>
        <v>4.962220040647089E-2</v>
      </c>
      <c r="T97" s="3">
        <f t="shared" ca="1" si="112"/>
        <v>5.9879524885207619E-2</v>
      </c>
      <c r="U97" s="3">
        <f t="shared" ca="1" si="112"/>
        <v>5.0723808910012796E-2</v>
      </c>
      <c r="V97" s="3">
        <f t="shared" ca="1" si="112"/>
        <v>6.2119645947732088E-2</v>
      </c>
      <c r="W97" s="3">
        <f t="shared" ca="1" si="112"/>
        <v>5.3103971075882453E-2</v>
      </c>
      <c r="X97" s="3">
        <f t="shared" ca="1" si="112"/>
        <v>6.7351206467032049E-2</v>
      </c>
      <c r="Y97" s="3">
        <f t="shared" ca="1" si="112"/>
        <v>6.2348125495202383E-2</v>
      </c>
      <c r="Z97" s="3">
        <f t="shared" ca="1" si="112"/>
        <v>7.6865874921204586E-2</v>
      </c>
      <c r="AA97" s="3">
        <f t="shared" ca="1" si="112"/>
        <v>6.9472841807936461E-2</v>
      </c>
      <c r="AB97" s="3">
        <f t="shared" ref="AB97" ca="1" si="114">MIN(0.99,AB40+$O$3)</f>
        <v>8.3172256348590753E-2</v>
      </c>
      <c r="AC97" s="3">
        <f t="shared" ca="1" si="111"/>
        <v>7.3803451265321729E-2</v>
      </c>
      <c r="AD97" s="3">
        <f t="shared" ca="1" si="111"/>
        <v>9.525133175185091E-2</v>
      </c>
      <c r="AE97" s="3">
        <f t="shared" ca="1" si="111"/>
        <v>8.1242253874024006E-2</v>
      </c>
      <c r="AF97" s="3">
        <f t="shared" ca="1" si="111"/>
        <v>0.10251530096810063</v>
      </c>
      <c r="AG97" s="3">
        <f t="shared" ca="1" si="111"/>
        <v>8.7350059734375485E-2</v>
      </c>
      <c r="AH97" s="3">
        <f t="shared" ca="1" si="111"/>
        <v>0.13386511519689948</v>
      </c>
      <c r="AI97" s="3">
        <f t="shared" ca="1" si="111"/>
        <v>0.12130131649291206</v>
      </c>
      <c r="AJ97" s="3">
        <f t="shared" ca="1" si="111"/>
        <v>0.18128721798427361</v>
      </c>
    </row>
    <row r="98" spans="1:36" x14ac:dyDescent="0.35">
      <c r="A98" t="s">
        <v>77</v>
      </c>
      <c r="B98" t="s">
        <v>61</v>
      </c>
      <c r="C98" s="4" t="s">
        <v>74</v>
      </c>
      <c r="D98" s="3">
        <f t="shared" ca="1" si="77"/>
        <v>4.0020747840983049E-2</v>
      </c>
      <c r="E98" s="3">
        <f t="shared" ca="1" si="112"/>
        <v>4.0094534043477188E-2</v>
      </c>
      <c r="F98" s="3">
        <f t="shared" ca="1" si="112"/>
        <v>4.3059084693179449E-2</v>
      </c>
      <c r="G98" s="3">
        <f t="shared" ca="1" si="112"/>
        <v>4.0641128864361373E-2</v>
      </c>
      <c r="H98" s="3">
        <f t="shared" ca="1" si="112"/>
        <v>4.5360842807264143E-2</v>
      </c>
      <c r="I98" s="3">
        <f t="shared" ca="1" si="112"/>
        <v>4.202725472104963E-2</v>
      </c>
      <c r="J98" s="3">
        <f t="shared" ca="1" si="112"/>
        <v>4.9063784014990508E-2</v>
      </c>
      <c r="K98" s="3">
        <f t="shared" ca="1" si="112"/>
        <v>4.424850172093113E-2</v>
      </c>
      <c r="L98" s="3">
        <f t="shared" ca="1" si="112"/>
        <v>5.048060625904284E-2</v>
      </c>
      <c r="M98" s="3">
        <f t="shared" ca="1" si="112"/>
        <v>4.5490783078957556E-2</v>
      </c>
      <c r="N98" s="3">
        <f t="shared" ca="1" si="112"/>
        <v>5.236084846544637E-2</v>
      </c>
      <c r="O98" s="3">
        <f t="shared" ca="1" si="112"/>
        <v>4.7624566540011612E-2</v>
      </c>
      <c r="P98" s="3">
        <f t="shared" ca="1" si="112"/>
        <v>5.4200615451437305E-2</v>
      </c>
      <c r="Q98" s="3">
        <f t="shared" ca="1" si="112"/>
        <v>4.9159465917760096E-2</v>
      </c>
      <c r="R98" s="3">
        <f t="shared" ca="1" si="112"/>
        <v>5.7432347481547526E-2</v>
      </c>
      <c r="S98" s="3">
        <f t="shared" ca="1" si="112"/>
        <v>5.0592849640076279E-2</v>
      </c>
      <c r="T98" s="3">
        <f t="shared" ca="1" si="112"/>
        <v>6.0837020412524256E-2</v>
      </c>
      <c r="U98" s="3">
        <f t="shared" ca="1" si="112"/>
        <v>5.1706535772791121E-2</v>
      </c>
      <c r="V98" s="3">
        <f t="shared" ca="1" si="112"/>
        <v>6.3027220245693072E-2</v>
      </c>
      <c r="W98" s="3">
        <f t="shared" ca="1" si="112"/>
        <v>5.4102577206807272E-2</v>
      </c>
      <c r="X98" s="3">
        <f t="shared" ca="1" si="112"/>
        <v>6.8301104546630798E-2</v>
      </c>
      <c r="Y98" s="3">
        <f t="shared" ca="1" si="112"/>
        <v>6.3255816155555061E-2</v>
      </c>
      <c r="Z98" s="3">
        <f t="shared" ca="1" si="112"/>
        <v>7.7785686065572429E-2</v>
      </c>
      <c r="AA98" s="3">
        <f t="shared" ca="1" si="112"/>
        <v>7.0449611393887418E-2</v>
      </c>
      <c r="AB98" s="3">
        <f t="shared" ref="AB98" ca="1" si="115">MIN(0.99,AB41+$O$3)</f>
        <v>8.4168463042633951E-2</v>
      </c>
      <c r="AC98" s="3">
        <f t="shared" ca="1" si="111"/>
        <v>7.4798272709414082E-2</v>
      </c>
      <c r="AD98" s="3">
        <f t="shared" ca="1" si="111"/>
        <v>9.6185801822216699E-2</v>
      </c>
      <c r="AE98" s="3">
        <f t="shared" ca="1" si="111"/>
        <v>8.2155793297869789E-2</v>
      </c>
      <c r="AF98" s="3">
        <f t="shared" ca="1" si="111"/>
        <v>0.10349772797467946</v>
      </c>
      <c r="AG98" s="3">
        <f t="shared" ca="1" si="111"/>
        <v>8.8263833395342023E-2</v>
      </c>
      <c r="AH98" s="3">
        <f t="shared" ca="1" si="111"/>
        <v>0.13478506008438304</v>
      </c>
      <c r="AI98" s="3">
        <f t="shared" ca="1" si="111"/>
        <v>0.1222724641559633</v>
      </c>
      <c r="AJ98" s="3">
        <f t="shared" ca="1" si="111"/>
        <v>0.18228377184732714</v>
      </c>
    </row>
    <row r="99" spans="1:36" x14ac:dyDescent="0.35">
      <c r="A99" t="s">
        <v>77</v>
      </c>
      <c r="B99" t="s">
        <v>61</v>
      </c>
      <c r="C99" s="4">
        <v>7</v>
      </c>
      <c r="D99" s="3">
        <f t="shared" ca="1" si="77"/>
        <v>4.0924079137333494E-2</v>
      </c>
      <c r="E99" s="3">
        <f t="shared" ca="1" si="112"/>
        <v>4.1056903030725581E-2</v>
      </c>
      <c r="F99" s="3">
        <f t="shared" ca="1" si="112"/>
        <v>4.4027810803992942E-2</v>
      </c>
      <c r="G99" s="3">
        <f t="shared" ca="1" si="112"/>
        <v>4.1568272190976988E-2</v>
      </c>
      <c r="H99" s="3">
        <f t="shared" ca="1" si="112"/>
        <v>4.6277759922571202E-2</v>
      </c>
      <c r="I99" s="3">
        <f t="shared" ca="1" si="112"/>
        <v>4.3005318830442341E-2</v>
      </c>
      <c r="J99" s="3">
        <f t="shared" ca="1" si="112"/>
        <v>5.0011108696630516E-2</v>
      </c>
      <c r="K99" s="3">
        <f t="shared" ca="1" si="112"/>
        <v>4.5244925429034466E-2</v>
      </c>
      <c r="L99" s="3">
        <f t="shared" ca="1" si="112"/>
        <v>5.1383975971968657E-2</v>
      </c>
      <c r="M99" s="3">
        <f t="shared" ca="1" si="112"/>
        <v>4.6453256663753627E-2</v>
      </c>
      <c r="N99" s="3">
        <f t="shared" ca="1" si="112"/>
        <v>5.3308686583069552E-2</v>
      </c>
      <c r="O99" s="3">
        <f t="shared" ca="1" si="112"/>
        <v>4.857989330902264E-2</v>
      </c>
      <c r="P99" s="3">
        <f t="shared" ca="1" si="112"/>
        <v>5.5181477688766828E-2</v>
      </c>
      <c r="Q99" s="3">
        <f t="shared" ca="1" si="112"/>
        <v>5.0066321530640445E-2</v>
      </c>
      <c r="R99" s="3">
        <f t="shared" ca="1" si="112"/>
        <v>5.8350403069878973E-2</v>
      </c>
      <c r="S99" s="3">
        <f t="shared" ca="1" si="112"/>
        <v>5.1575560272319763E-2</v>
      </c>
      <c r="T99" s="3">
        <f t="shared" ca="1" si="112"/>
        <v>6.1775367178758846E-2</v>
      </c>
      <c r="U99" s="3">
        <f t="shared" ca="1" si="112"/>
        <v>5.2620598985571365E-2</v>
      </c>
      <c r="V99" s="3">
        <f t="shared" ca="1" si="112"/>
        <v>6.4020167173230225E-2</v>
      </c>
      <c r="W99" s="3">
        <f t="shared" ca="1" si="112"/>
        <v>5.5034637869438074E-2</v>
      </c>
      <c r="X99" s="3">
        <f t="shared" ca="1" si="112"/>
        <v>6.9213200824799509E-2</v>
      </c>
      <c r="Y99" s="3">
        <f t="shared" ca="1" si="112"/>
        <v>6.4220442417139284E-2</v>
      </c>
      <c r="Z99" s="3">
        <f t="shared" ca="1" si="112"/>
        <v>7.870574492575938E-2</v>
      </c>
      <c r="AA99" s="3">
        <f t="shared" ca="1" si="112"/>
        <v>7.143735491503439E-2</v>
      </c>
      <c r="AB99" s="3">
        <f t="shared" ref="AB99" ca="1" si="116">MIN(0.99,AB42+$O$3)</f>
        <v>8.5098521658857368E-2</v>
      </c>
      <c r="AC99" s="3">
        <f t="shared" ca="1" si="111"/>
        <v>7.5763808687455025E-2</v>
      </c>
      <c r="AD99" s="3">
        <f t="shared" ca="1" si="111"/>
        <v>9.7115075495291053E-2</v>
      </c>
      <c r="AE99" s="3">
        <f t="shared" ca="1" si="111"/>
        <v>8.3076532847619858E-2</v>
      </c>
      <c r="AF99" s="3">
        <f t="shared" ca="1" si="111"/>
        <v>0.10446052924359697</v>
      </c>
      <c r="AG99" s="3">
        <f t="shared" ca="1" si="111"/>
        <v>8.9197966552727548E-2</v>
      </c>
      <c r="AH99" s="3">
        <f t="shared" ca="1" si="111"/>
        <v>0.13571931802701132</v>
      </c>
      <c r="AI99" s="3">
        <f t="shared" ca="1" si="111"/>
        <v>0.12323699306830482</v>
      </c>
      <c r="AJ99" s="3">
        <f t="shared" ca="1" si="111"/>
        <v>0.18322507544920605</v>
      </c>
    </row>
    <row r="100" spans="1:36" x14ac:dyDescent="0.35">
      <c r="A100" t="s">
        <v>77</v>
      </c>
      <c r="B100" t="s">
        <v>61</v>
      </c>
      <c r="C100" s="4" t="s">
        <v>75</v>
      </c>
      <c r="D100" s="3">
        <f t="shared" ca="1" si="77"/>
        <v>4.1897349017169391E-2</v>
      </c>
      <c r="E100" s="3">
        <f t="shared" ca="1" si="112"/>
        <v>4.1993036118353144E-2</v>
      </c>
      <c r="F100" s="3">
        <f t="shared" ca="1" si="112"/>
        <v>4.4988557339824833E-2</v>
      </c>
      <c r="G100" s="3">
        <f t="shared" ca="1" si="112"/>
        <v>4.2561854570311128E-2</v>
      </c>
      <c r="H100" s="3">
        <f t="shared" ca="1" si="112"/>
        <v>4.7214599472825247E-2</v>
      </c>
      <c r="I100" s="3">
        <f t="shared" ca="1" si="112"/>
        <v>4.393115758792307E-2</v>
      </c>
      <c r="J100" s="3">
        <f t="shared" ca="1" si="112"/>
        <v>5.1007776111423098E-2</v>
      </c>
      <c r="K100" s="3">
        <f t="shared" ca="1" si="112"/>
        <v>4.6153353763690105E-2</v>
      </c>
      <c r="L100" s="3">
        <f t="shared" ca="1" si="112"/>
        <v>5.2379392755382899E-2</v>
      </c>
      <c r="M100" s="3">
        <f t="shared" ca="1" si="112"/>
        <v>4.7407803697912289E-2</v>
      </c>
      <c r="N100" s="3">
        <f t="shared" ca="1" si="112"/>
        <v>5.4275861455660546E-2</v>
      </c>
      <c r="O100" s="3">
        <f t="shared" ca="1" si="112"/>
        <v>4.9518188071535324E-2</v>
      </c>
      <c r="P100" s="3">
        <f t="shared" ca="1" si="112"/>
        <v>5.6157032819406205E-2</v>
      </c>
      <c r="Q100" s="3">
        <f t="shared" ca="1" si="112"/>
        <v>5.098611344045062E-2</v>
      </c>
      <c r="R100" s="3">
        <f t="shared" ca="1" si="112"/>
        <v>5.9260511586442834E-2</v>
      </c>
      <c r="S100" s="3">
        <f t="shared" ca="1" si="112"/>
        <v>5.2502379878107949E-2</v>
      </c>
      <c r="T100" s="3">
        <f t="shared" ca="1" si="112"/>
        <v>6.2720510047526934E-2</v>
      </c>
      <c r="U100" s="3">
        <f t="shared" ca="1" si="112"/>
        <v>5.3562212148225471E-2</v>
      </c>
      <c r="V100" s="3">
        <f t="shared" ca="1" si="112"/>
        <v>6.4952679457509058E-2</v>
      </c>
      <c r="W100" s="3">
        <f t="shared" ca="1" si="112"/>
        <v>5.6023179116663144E-2</v>
      </c>
      <c r="X100" s="3">
        <f t="shared" ca="1" si="112"/>
        <v>7.0167818110563565E-2</v>
      </c>
      <c r="Y100" s="3">
        <f t="shared" ca="1" si="112"/>
        <v>6.519960319069551E-2</v>
      </c>
      <c r="Z100" s="3">
        <f t="shared" ca="1" si="112"/>
        <v>7.9607178509014886E-2</v>
      </c>
      <c r="AA100" s="3">
        <f t="shared" ca="1" si="112"/>
        <v>7.23453729260575E-2</v>
      </c>
      <c r="AB100" s="3">
        <f t="shared" ref="AB100" ca="1" si="117">MIN(0.99,AB43+$O$3)</f>
        <v>8.6071263165112183E-2</v>
      </c>
      <c r="AC100" s="3">
        <f t="shared" ca="1" si="111"/>
        <v>7.6690535688989647E-2</v>
      </c>
      <c r="AD100" s="3">
        <f t="shared" ca="1" si="111"/>
        <v>9.8065978168155266E-2</v>
      </c>
      <c r="AE100" s="3">
        <f t="shared" ca="1" si="111"/>
        <v>8.4021728333656287E-2</v>
      </c>
      <c r="AF100" s="3">
        <f t="shared" ca="1" si="111"/>
        <v>0.10545103579581541</v>
      </c>
      <c r="AG100" s="3">
        <f t="shared" ca="1" si="111"/>
        <v>9.0109674479155105E-2</v>
      </c>
      <c r="AH100" s="3">
        <f t="shared" ca="1" si="111"/>
        <v>0.13662679196357308</v>
      </c>
      <c r="AI100" s="3">
        <f t="shared" ca="1" si="111"/>
        <v>0.12419831791838859</v>
      </c>
      <c r="AJ100" s="3">
        <f t="shared" ca="1" si="111"/>
        <v>0.18414245105247473</v>
      </c>
    </row>
    <row r="101" spans="1:36" x14ac:dyDescent="0.35">
      <c r="A101" t="s">
        <v>77</v>
      </c>
      <c r="B101" t="s">
        <v>62</v>
      </c>
      <c r="C101" s="4">
        <v>1</v>
      </c>
      <c r="D101" s="3">
        <f t="shared" ca="1" si="77"/>
        <v>2.5963610654793294E-2</v>
      </c>
      <c r="E101" s="3">
        <f t="shared" ca="1" si="112"/>
        <v>2.5986378643548223E-2</v>
      </c>
      <c r="F101" s="3">
        <f t="shared" ca="1" si="112"/>
        <v>2.8852926234317559E-2</v>
      </c>
      <c r="G101" s="3">
        <f t="shared" ca="1" si="112"/>
        <v>2.6732198078093398E-2</v>
      </c>
      <c r="H101" s="3">
        <f t="shared" ca="1" si="112"/>
        <v>3.1029368035721212E-2</v>
      </c>
      <c r="I101" s="3">
        <f t="shared" ca="1" si="112"/>
        <v>2.8058557526889932E-2</v>
      </c>
      <c r="J101" s="3">
        <f t="shared" ca="1" si="112"/>
        <v>3.477914256568479E-2</v>
      </c>
      <c r="K101" s="3">
        <f t="shared" ca="1" si="112"/>
        <v>2.9971138683631948E-2</v>
      </c>
      <c r="L101" s="3">
        <f t="shared" ca="1" si="112"/>
        <v>3.6291874151644622E-2</v>
      </c>
      <c r="M101" s="3">
        <f t="shared" ca="1" si="112"/>
        <v>3.1311275442501937E-2</v>
      </c>
      <c r="N101" s="3">
        <f t="shared" ca="1" si="112"/>
        <v>3.8215547330367278E-2</v>
      </c>
      <c r="O101" s="3">
        <f t="shared" ca="1" si="112"/>
        <v>3.3441558093049224E-2</v>
      </c>
      <c r="P101" s="3">
        <f t="shared" ca="1" si="112"/>
        <v>3.9949604768809571E-2</v>
      </c>
      <c r="Q101" s="3">
        <f t="shared" ca="1" si="112"/>
        <v>3.5141476720116943E-2</v>
      </c>
      <c r="R101" s="3">
        <f t="shared" ca="1" si="112"/>
        <v>4.3617496858363192E-2</v>
      </c>
      <c r="S101" s="3">
        <f t="shared" ca="1" si="112"/>
        <v>3.6295079226981497E-2</v>
      </c>
      <c r="T101" s="3">
        <f t="shared" ca="1" si="112"/>
        <v>4.6386816404777598E-2</v>
      </c>
      <c r="U101" s="3">
        <f t="shared" ca="1" si="112"/>
        <v>3.7415289082021859E-2</v>
      </c>
      <c r="V101" s="3">
        <f t="shared" ca="1" si="112"/>
        <v>4.8840662825578487E-2</v>
      </c>
      <c r="W101" s="3">
        <f t="shared" ca="1" si="112"/>
        <v>3.9756983466441922E-2</v>
      </c>
      <c r="X101" s="3">
        <f t="shared" ca="1" si="112"/>
        <v>5.4018810675467398E-2</v>
      </c>
      <c r="Y101" s="3">
        <f t="shared" ca="1" si="112"/>
        <v>4.913201851374794E-2</v>
      </c>
      <c r="Z101" s="3">
        <f t="shared" ca="1" si="112"/>
        <v>6.3708291342225082E-2</v>
      </c>
      <c r="AA101" s="3">
        <f t="shared" ca="1" si="112"/>
        <v>5.6214119207869041E-2</v>
      </c>
      <c r="AB101" s="3">
        <f t="shared" ref="AB101" ca="1" si="118">MIN(0.99,AB44+$O$3)</f>
        <v>6.9971708097780361E-2</v>
      </c>
      <c r="AC101" s="3">
        <f t="shared" ca="1" si="111"/>
        <v>6.0510498544814169E-2</v>
      </c>
      <c r="AD101" s="3">
        <f t="shared" ca="1" si="111"/>
        <v>8.2099193380066687E-2</v>
      </c>
      <c r="AE101" s="3">
        <f t="shared" ca="1" si="111"/>
        <v>6.8151079453496383E-2</v>
      </c>
      <c r="AF101" s="3">
        <f t="shared" ca="1" si="111"/>
        <v>8.9121534079713155E-2</v>
      </c>
      <c r="AG101" s="3">
        <f t="shared" ca="1" si="111"/>
        <v>7.4200792786726172E-2</v>
      </c>
      <c r="AH101" s="3">
        <f t="shared" ca="1" si="111"/>
        <v>0.12056416028824146</v>
      </c>
      <c r="AI101" s="3">
        <f t="shared" ca="1" si="111"/>
        <v>0.10813646739740754</v>
      </c>
      <c r="AJ101" s="3">
        <f t="shared" ca="1" si="111"/>
        <v>0.1678712147902057</v>
      </c>
    </row>
    <row r="102" spans="1:36" x14ac:dyDescent="0.35">
      <c r="A102" t="s">
        <v>77</v>
      </c>
      <c r="B102" t="s">
        <v>62</v>
      </c>
      <c r="C102" s="4" t="s">
        <v>64</v>
      </c>
      <c r="D102" s="3">
        <f t="shared" ca="1" si="77"/>
        <v>2.6895674496150251E-2</v>
      </c>
      <c r="E102" s="3">
        <f t="shared" ca="1" si="112"/>
        <v>2.6913151229578866E-2</v>
      </c>
      <c r="F102" s="3">
        <f t="shared" ca="1" si="112"/>
        <v>2.9763947210570438E-2</v>
      </c>
      <c r="G102" s="3">
        <f t="shared" ca="1" si="112"/>
        <v>2.7661332550578899E-2</v>
      </c>
      <c r="H102" s="3">
        <f t="shared" ca="1" si="112"/>
        <v>3.2011286673707645E-2</v>
      </c>
      <c r="I102" s="3">
        <f t="shared" ca="1" si="112"/>
        <v>2.8976936637636747E-2</v>
      </c>
      <c r="J102" s="3">
        <f t="shared" ca="1" si="112"/>
        <v>3.5737502164343821E-2</v>
      </c>
      <c r="K102" s="3">
        <f t="shared" ca="1" si="112"/>
        <v>3.093334003662087E-2</v>
      </c>
      <c r="L102" s="3">
        <f t="shared" ca="1" si="112"/>
        <v>3.7222726071191092E-2</v>
      </c>
      <c r="M102" s="3">
        <f t="shared" ca="1" si="112"/>
        <v>3.221686451919567E-2</v>
      </c>
      <c r="N102" s="3">
        <f t="shared" ca="1" si="112"/>
        <v>3.9145445645127855E-2</v>
      </c>
      <c r="O102" s="3">
        <f t="shared" ca="1" si="112"/>
        <v>3.4380705225840677E-2</v>
      </c>
      <c r="P102" s="3">
        <f t="shared" ca="1" si="112"/>
        <v>4.0916524675471584E-2</v>
      </c>
      <c r="Q102" s="3">
        <f t="shared" ca="1" si="112"/>
        <v>3.6091829185656434E-2</v>
      </c>
      <c r="R102" s="3">
        <f t="shared" ca="1" si="112"/>
        <v>4.4521037891602715E-2</v>
      </c>
      <c r="S102" s="3">
        <f t="shared" ca="1" si="112"/>
        <v>3.7239882531628861E-2</v>
      </c>
      <c r="T102" s="3">
        <f t="shared" ca="1" si="112"/>
        <v>4.7362729252741348E-2</v>
      </c>
      <c r="U102" s="3">
        <f t="shared" ca="1" si="112"/>
        <v>3.8344626709085977E-2</v>
      </c>
      <c r="V102" s="3">
        <f t="shared" ca="1" si="112"/>
        <v>4.975538803290494E-2</v>
      </c>
      <c r="W102" s="3">
        <f t="shared" ca="1" si="112"/>
        <v>4.0732336389798923E-2</v>
      </c>
      <c r="X102" s="3">
        <f t="shared" ca="1" si="112"/>
        <v>5.4969765923460499E-2</v>
      </c>
      <c r="Y102" s="3">
        <f t="shared" ca="1" si="112"/>
        <v>5.0033732646481491E-2</v>
      </c>
      <c r="Z102" s="3">
        <f t="shared" ca="1" si="112"/>
        <v>6.4640018030334895E-2</v>
      </c>
      <c r="AA102" s="3">
        <f t="shared" ca="1" si="112"/>
        <v>5.7114930541868322E-2</v>
      </c>
      <c r="AB102" s="3">
        <f t="shared" ref="AB102" ca="1" si="119">MIN(0.99,AB45+$O$3)</f>
        <v>7.0891609798219041E-2</v>
      </c>
      <c r="AC102" s="3">
        <f t="shared" ca="1" si="111"/>
        <v>6.1506805844557561E-2</v>
      </c>
      <c r="AD102" s="3">
        <f t="shared" ca="1" si="111"/>
        <v>8.3042860136960384E-2</v>
      </c>
      <c r="AE102" s="3">
        <f t="shared" ca="1" si="111"/>
        <v>6.9075957717422615E-2</v>
      </c>
      <c r="AF102" s="3">
        <f t="shared" ca="1" si="111"/>
        <v>9.0103765089266014E-2</v>
      </c>
      <c r="AG102" s="3">
        <f t="shared" ca="1" si="111"/>
        <v>7.5114089815503715E-2</v>
      </c>
      <c r="AH102" s="3">
        <f t="shared" ca="1" si="111"/>
        <v>0.12152867003247805</v>
      </c>
      <c r="AI102" s="3">
        <f t="shared" ca="1" si="111"/>
        <v>0.10904611153261484</v>
      </c>
      <c r="AJ102" s="3">
        <f t="shared" ca="1" si="111"/>
        <v>0.16885152375639068</v>
      </c>
    </row>
    <row r="103" spans="1:36" x14ac:dyDescent="0.35">
      <c r="A103" t="s">
        <v>77</v>
      </c>
      <c r="B103" t="s">
        <v>62</v>
      </c>
      <c r="C103" s="4">
        <v>2</v>
      </c>
      <c r="D103" s="3">
        <f t="shared" ca="1" si="77"/>
        <v>2.782163204826664E-2</v>
      </c>
      <c r="E103" s="3">
        <f t="shared" ca="1" si="112"/>
        <v>2.7881326667409442E-2</v>
      </c>
      <c r="F103" s="3">
        <f t="shared" ca="1" si="112"/>
        <v>3.0745221216458868E-2</v>
      </c>
      <c r="G103" s="3">
        <f t="shared" ca="1" si="112"/>
        <v>2.8581344455460102E-2</v>
      </c>
      <c r="H103" s="3">
        <f t="shared" ca="1" si="112"/>
        <v>3.2927212612361013E-2</v>
      </c>
      <c r="I103" s="3">
        <f t="shared" ca="1" si="112"/>
        <v>2.9882004695922938E-2</v>
      </c>
      <c r="J103" s="3">
        <f t="shared" ca="1" si="112"/>
        <v>3.6667351914065546E-2</v>
      </c>
      <c r="K103" s="3">
        <f t="shared" ca="1" si="112"/>
        <v>3.1927812578458434E-2</v>
      </c>
      <c r="L103" s="3">
        <f t="shared" ca="1" si="112"/>
        <v>3.8147081007738087E-2</v>
      </c>
      <c r="M103" s="3">
        <f t="shared" ca="1" si="112"/>
        <v>3.3154036065123411E-2</v>
      </c>
      <c r="N103" s="3">
        <f t="shared" ca="1" si="112"/>
        <v>4.0137716243787674E-2</v>
      </c>
      <c r="O103" s="3">
        <f t="shared" ca="1" si="112"/>
        <v>3.5298412590599473E-2</v>
      </c>
      <c r="P103" s="3">
        <f t="shared" ca="1" si="112"/>
        <v>4.1905856216276245E-2</v>
      </c>
      <c r="Q103" s="3">
        <f t="shared" ca="1" si="112"/>
        <v>3.7045135373585281E-2</v>
      </c>
      <c r="R103" s="3">
        <f t="shared" ca="1" si="112"/>
        <v>4.5429588836605708E-2</v>
      </c>
      <c r="S103" s="3">
        <f t="shared" ca="1" si="112"/>
        <v>3.818592874743814E-2</v>
      </c>
      <c r="T103" s="3">
        <f t="shared" ca="1" si="112"/>
        <v>4.8342687261826375E-2</v>
      </c>
      <c r="U103" s="3">
        <f t="shared" ca="1" si="112"/>
        <v>3.9337164190721891E-2</v>
      </c>
      <c r="V103" s="3">
        <f t="shared" ca="1" si="112"/>
        <v>5.0675416397122336E-2</v>
      </c>
      <c r="W103" s="3">
        <f t="shared" ca="1" si="112"/>
        <v>4.1730733342937726E-2</v>
      </c>
      <c r="X103" s="3">
        <f t="shared" ca="1" si="112"/>
        <v>5.5891797710573163E-2</v>
      </c>
      <c r="Y103" s="3">
        <f t="shared" ca="1" si="112"/>
        <v>5.1033109927439077E-2</v>
      </c>
      <c r="Z103" s="3">
        <f t="shared" ca="1" si="112"/>
        <v>6.5611250237837149E-2</v>
      </c>
      <c r="AA103" s="3">
        <f t="shared" ca="1" si="112"/>
        <v>5.8071368324505733E-2</v>
      </c>
      <c r="AB103" s="3">
        <f t="shared" ref="AB103" ca="1" si="120">MIN(0.99,AB46+$O$3)</f>
        <v>7.1858461869391904E-2</v>
      </c>
      <c r="AC103" s="3">
        <f t="shared" ca="1" si="111"/>
        <v>6.2499331606229613E-2</v>
      </c>
      <c r="AD103" s="3">
        <f t="shared" ca="1" si="111"/>
        <v>8.3959287196309629E-2</v>
      </c>
      <c r="AE103" s="3">
        <f t="shared" ca="1" si="111"/>
        <v>6.9999456248432873E-2</v>
      </c>
      <c r="AF103" s="3">
        <f t="shared" ca="1" si="111"/>
        <v>9.110194494342147E-2</v>
      </c>
      <c r="AG103" s="3">
        <f t="shared" ca="1" si="111"/>
        <v>7.606255988652233E-2</v>
      </c>
      <c r="AH103" s="3">
        <f t="shared" ca="1" si="111"/>
        <v>0.12252214064559788</v>
      </c>
      <c r="AI103" s="3">
        <f t="shared" ca="1" si="111"/>
        <v>0.10997097129372371</v>
      </c>
      <c r="AJ103" s="3">
        <f t="shared" ca="1" si="111"/>
        <v>0.16983244390878499</v>
      </c>
    </row>
    <row r="104" spans="1:36" x14ac:dyDescent="0.35">
      <c r="A104" t="s">
        <v>77</v>
      </c>
      <c r="B104" t="s">
        <v>62</v>
      </c>
      <c r="C104" s="4" t="s">
        <v>65</v>
      </c>
      <c r="D104" s="3">
        <f t="shared" ca="1" si="77"/>
        <v>2.8795895207593132E-2</v>
      </c>
      <c r="E104" s="3">
        <f t="shared" ca="1" si="112"/>
        <v>2.8840108809453972E-2</v>
      </c>
      <c r="F104" s="3">
        <f t="shared" ca="1" si="112"/>
        <v>3.1741492140446685E-2</v>
      </c>
      <c r="G104" s="3">
        <f t="shared" ca="1" si="112"/>
        <v>2.9502465008599474E-2</v>
      </c>
      <c r="H104" s="3">
        <f t="shared" ca="1" si="112"/>
        <v>3.3841828132960432E-2</v>
      </c>
      <c r="I104" s="3">
        <f t="shared" ca="1" si="112"/>
        <v>3.0839279866072392E-2</v>
      </c>
      <c r="J104" s="3">
        <f t="shared" ca="1" si="112"/>
        <v>3.7630177288603642E-2</v>
      </c>
      <c r="K104" s="3">
        <f t="shared" ca="1" si="112"/>
        <v>3.2900339438126966E-2</v>
      </c>
      <c r="L104" s="3">
        <f t="shared" ca="1" si="112"/>
        <v>3.9145960609541494E-2</v>
      </c>
      <c r="M104" s="3">
        <f t="shared" ca="1" si="112"/>
        <v>3.4150852184684971E-2</v>
      </c>
      <c r="N104" s="3">
        <f t="shared" ca="1" si="112"/>
        <v>4.1112036345857111E-2</v>
      </c>
      <c r="O104" s="3">
        <f t="shared" ca="1" si="112"/>
        <v>3.6274637448645133E-2</v>
      </c>
      <c r="P104" s="3">
        <f t="shared" ca="1" si="112"/>
        <v>4.2898490210762488E-2</v>
      </c>
      <c r="Q104" s="3">
        <f t="shared" ca="1" si="112"/>
        <v>3.7963244489139243E-2</v>
      </c>
      <c r="R104" s="3">
        <f t="shared" ca="1" si="112"/>
        <v>4.6388105366261867E-2</v>
      </c>
      <c r="S104" s="3">
        <f t="shared" ca="1" si="112"/>
        <v>3.9115891148335094E-2</v>
      </c>
      <c r="T104" s="3">
        <f t="shared" ca="1" si="112"/>
        <v>4.9336634618697875E-2</v>
      </c>
      <c r="U104" s="3">
        <f t="shared" ca="1" si="112"/>
        <v>4.0265356228156718E-2</v>
      </c>
      <c r="V104" s="3">
        <f t="shared" ca="1" si="112"/>
        <v>5.1643132128602207E-2</v>
      </c>
      <c r="W104" s="3">
        <f t="shared" ca="1" si="112"/>
        <v>4.2665900796183501E-2</v>
      </c>
      <c r="X104" s="3">
        <f t="shared" ca="1" si="112"/>
        <v>5.6797122156003153E-2</v>
      </c>
      <c r="Y104" s="3">
        <f t="shared" ca="1" si="112"/>
        <v>5.2030831300711483E-2</v>
      </c>
      <c r="Z104" s="3">
        <f t="shared" ca="1" si="112"/>
        <v>6.6511659738968915E-2</v>
      </c>
      <c r="AA104" s="3">
        <f t="shared" ca="1" si="112"/>
        <v>5.9019110935936245E-2</v>
      </c>
      <c r="AB104" s="3">
        <f t="shared" ref="AB104" ca="1" si="121">MIN(0.99,AB47+$O$3)</f>
        <v>7.2829398594925238E-2</v>
      </c>
      <c r="AC104" s="3">
        <f t="shared" ca="1" si="111"/>
        <v>6.3433912361452266E-2</v>
      </c>
      <c r="AD104" s="3">
        <f t="shared" ca="1" si="111"/>
        <v>8.4933831114099939E-2</v>
      </c>
      <c r="AE104" s="3">
        <f t="shared" ca="1" si="111"/>
        <v>7.0977912431164081E-2</v>
      </c>
      <c r="AF104" s="3">
        <f t="shared" ca="1" si="111"/>
        <v>9.2076410212584281E-2</v>
      </c>
      <c r="AG104" s="3">
        <f t="shared" ca="1" si="111"/>
        <v>7.7020526637825909E-2</v>
      </c>
      <c r="AH104" s="3">
        <f t="shared" ca="1" si="111"/>
        <v>0.12344566515932662</v>
      </c>
      <c r="AI104" s="3">
        <f t="shared" ca="1" si="111"/>
        <v>0.11095910859147615</v>
      </c>
      <c r="AJ104" s="3">
        <f t="shared" ca="1" si="111"/>
        <v>0.17080013731177765</v>
      </c>
    </row>
    <row r="105" spans="1:36" x14ac:dyDescent="0.35">
      <c r="A105" t="s">
        <v>77</v>
      </c>
      <c r="B105" t="s">
        <v>62</v>
      </c>
      <c r="C105" s="4" t="s">
        <v>66</v>
      </c>
      <c r="D105" s="3">
        <f t="shared" ca="1" si="77"/>
        <v>2.9738157924163618E-2</v>
      </c>
      <c r="E105" s="3">
        <f t="shared" ca="1" si="112"/>
        <v>2.9753001933190842E-2</v>
      </c>
      <c r="F105" s="3">
        <f t="shared" ca="1" si="112"/>
        <v>3.271404615922438E-2</v>
      </c>
      <c r="G105" s="3">
        <f t="shared" ca="1" si="112"/>
        <v>3.0410459666311101E-2</v>
      </c>
      <c r="H105" s="3">
        <f t="shared" ca="1" si="112"/>
        <v>3.4798034188898111E-2</v>
      </c>
      <c r="I105" s="3">
        <f t="shared" ca="1" si="112"/>
        <v>3.1771855789401636E-2</v>
      </c>
      <c r="J105" s="3">
        <f t="shared" ca="1" si="112"/>
        <v>3.8600994063881663E-2</v>
      </c>
      <c r="K105" s="3">
        <f t="shared" ca="1" si="112"/>
        <v>3.3803710122416286E-2</v>
      </c>
      <c r="L105" s="3">
        <f t="shared" ca="1" si="112"/>
        <v>4.0143807515253996E-2</v>
      </c>
      <c r="M105" s="3">
        <f t="shared" ca="1" si="112"/>
        <v>3.507359541963069E-2</v>
      </c>
      <c r="N105" s="3">
        <f t="shared" ca="1" si="112"/>
        <v>4.2058621914542835E-2</v>
      </c>
      <c r="O105" s="3">
        <f t="shared" ca="1" si="112"/>
        <v>3.7223107852569493E-2</v>
      </c>
      <c r="P105" s="3">
        <f t="shared" ca="1" si="112"/>
        <v>4.3847514753066599E-2</v>
      </c>
      <c r="Q105" s="3">
        <f t="shared" ca="1" si="112"/>
        <v>3.8874488541864906E-2</v>
      </c>
      <c r="R105" s="3">
        <f t="shared" ca="1" si="112"/>
        <v>4.7292268621443256E-2</v>
      </c>
      <c r="S105" s="3">
        <f t="shared" ca="1" si="112"/>
        <v>4.0045455968365846E-2</v>
      </c>
      <c r="T105" s="3">
        <f t="shared" ca="1" si="112"/>
        <v>5.026693100634276E-2</v>
      </c>
      <c r="U105" s="3">
        <f t="shared" ca="1" si="112"/>
        <v>4.1193013443737089E-2</v>
      </c>
      <c r="V105" s="3">
        <f t="shared" ca="1" si="112"/>
        <v>5.2608950403480612E-2</v>
      </c>
      <c r="W105" s="3">
        <f t="shared" ca="1" si="112"/>
        <v>4.3594399889035802E-2</v>
      </c>
      <c r="X105" s="3">
        <f t="shared" ca="1" si="112"/>
        <v>5.7774937697663141E-2</v>
      </c>
      <c r="Y105" s="3">
        <f t="shared" ca="1" si="112"/>
        <v>5.3012536993972126E-2</v>
      </c>
      <c r="Z105" s="3">
        <f t="shared" ca="1" si="112"/>
        <v>6.7440237226901401E-2</v>
      </c>
      <c r="AA105" s="3">
        <f t="shared" ca="1" si="112"/>
        <v>5.9974583166414887E-2</v>
      </c>
      <c r="AB105" s="3">
        <f t="shared" ref="AB105" ca="1" si="122">MIN(0.99,AB48+$O$3)</f>
        <v>7.3821233798801664E-2</v>
      </c>
      <c r="AC105" s="3">
        <f t="shared" ca="1" si="111"/>
        <v>6.4367269863840185E-2</v>
      </c>
      <c r="AD105" s="3">
        <f t="shared" ca="1" si="111"/>
        <v>8.5869738761045311E-2</v>
      </c>
      <c r="AE105" s="3">
        <f t="shared" ca="1" si="111"/>
        <v>7.1950086949822398E-2</v>
      </c>
      <c r="AF105" s="3">
        <f t="shared" ca="1" si="111"/>
        <v>9.3055947160218894E-2</v>
      </c>
      <c r="AG105" s="3">
        <f t="shared" ca="1" si="111"/>
        <v>7.7974291600568971E-2</v>
      </c>
      <c r="AH105" s="3">
        <f t="shared" ca="1" si="111"/>
        <v>0.1243806877039966</v>
      </c>
      <c r="AI105" s="3">
        <f t="shared" ca="1" si="111"/>
        <v>0.1118761649892385</v>
      </c>
      <c r="AJ105" s="3">
        <f t="shared" ca="1" si="111"/>
        <v>0.17172257710998501</v>
      </c>
    </row>
    <row r="106" spans="1:36" x14ac:dyDescent="0.35">
      <c r="A106" t="s">
        <v>77</v>
      </c>
      <c r="B106" t="s">
        <v>62</v>
      </c>
      <c r="C106" s="4">
        <v>3</v>
      </c>
      <c r="D106" s="3">
        <f t="shared" ca="1" si="77"/>
        <v>3.0669359718455462E-2</v>
      </c>
      <c r="E106" s="3">
        <f t="shared" ca="1" si="112"/>
        <v>3.0666240621826907E-2</v>
      </c>
      <c r="F106" s="3">
        <f t="shared" ca="1" si="112"/>
        <v>3.3682592007757646E-2</v>
      </c>
      <c r="G106" s="3">
        <f t="shared" ca="1" si="112"/>
        <v>3.1340046138608801E-2</v>
      </c>
      <c r="H106" s="3">
        <f t="shared" ca="1" si="112"/>
        <v>3.5772945413609473E-2</v>
      </c>
      <c r="I106" s="3">
        <f t="shared" ca="1" si="112"/>
        <v>3.2766609486790416E-2</v>
      </c>
      <c r="J106" s="3">
        <f t="shared" ca="1" si="112"/>
        <v>3.9573344506647422E-2</v>
      </c>
      <c r="K106" s="3">
        <f t="shared" ca="1" si="112"/>
        <v>3.4748849623278275E-2</v>
      </c>
      <c r="L106" s="3">
        <f t="shared" ca="1" si="112"/>
        <v>4.1070659984928967E-2</v>
      </c>
      <c r="M106" s="3">
        <f t="shared" ca="1" si="112"/>
        <v>3.5979809971407706E-2</v>
      </c>
      <c r="N106" s="3">
        <f t="shared" ca="1" si="112"/>
        <v>4.2958931459472958E-2</v>
      </c>
      <c r="O106" s="3">
        <f t="shared" ca="1" si="112"/>
        <v>3.8202359955625959E-2</v>
      </c>
      <c r="P106" s="3">
        <f t="shared" ca="1" si="112"/>
        <v>4.477019977942593E-2</v>
      </c>
      <c r="Q106" s="3">
        <f t="shared" ca="1" si="112"/>
        <v>3.9795084812374502E-2</v>
      </c>
      <c r="R106" s="3">
        <f t="shared" ca="1" si="112"/>
        <v>4.8203671507448559E-2</v>
      </c>
      <c r="S106" s="3">
        <f t="shared" ca="1" si="112"/>
        <v>4.1017340461537155E-2</v>
      </c>
      <c r="T106" s="3">
        <f t="shared" ca="1" si="112"/>
        <v>5.1251911535335384E-2</v>
      </c>
      <c r="U106" s="3">
        <f t="shared" ca="1" si="112"/>
        <v>4.2116404116747455E-2</v>
      </c>
      <c r="V106" s="3">
        <f t="shared" ca="1" si="112"/>
        <v>5.359374734746114E-2</v>
      </c>
      <c r="W106" s="3">
        <f t="shared" ca="1" si="112"/>
        <v>4.459349993698921E-2</v>
      </c>
      <c r="X106" s="3">
        <f t="shared" ca="1" si="112"/>
        <v>5.8753372640952463E-2</v>
      </c>
      <c r="Y106" s="3">
        <f t="shared" ca="1" si="112"/>
        <v>5.398929026711316E-2</v>
      </c>
      <c r="Z106" s="3">
        <f t="shared" ca="1" si="112"/>
        <v>6.8429384288995809E-2</v>
      </c>
      <c r="AA106" s="3">
        <f t="shared" ca="1" si="112"/>
        <v>6.0897187753335108E-2</v>
      </c>
      <c r="AB106" s="3">
        <f t="shared" ref="AB106" ca="1" si="123">MIN(0.99,AB49+$O$3)</f>
        <v>7.4743369845187549E-2</v>
      </c>
      <c r="AC106" s="3">
        <f t="shared" ca="1" si="111"/>
        <v>6.5355880227485286E-2</v>
      </c>
      <c r="AD106" s="3">
        <f t="shared" ca="1" si="111"/>
        <v>8.6852457227631241E-2</v>
      </c>
      <c r="AE106" s="3">
        <f t="shared" ca="1" si="111"/>
        <v>7.2945981465828758E-2</v>
      </c>
      <c r="AF106" s="3">
        <f t="shared" ca="1" si="111"/>
        <v>9.4036065324911822E-2</v>
      </c>
      <c r="AG106" s="3">
        <f t="shared" ca="1" si="111"/>
        <v>7.8914164907409462E-2</v>
      </c>
      <c r="AH106" s="3">
        <f t="shared" ca="1" si="111"/>
        <v>0.12534730881982606</v>
      </c>
      <c r="AI106" s="3">
        <f t="shared" ca="1" si="111"/>
        <v>0.1128062859834307</v>
      </c>
      <c r="AJ106" s="3">
        <f t="shared" ca="1" si="111"/>
        <v>0.17267869475161424</v>
      </c>
    </row>
    <row r="107" spans="1:36" x14ac:dyDescent="0.35">
      <c r="A107" t="s">
        <v>77</v>
      </c>
      <c r="B107" t="s">
        <v>62</v>
      </c>
      <c r="C107" s="4" t="s">
        <v>67</v>
      </c>
      <c r="D107" s="3">
        <f t="shared" ca="1" si="77"/>
        <v>3.160978439189574E-2</v>
      </c>
      <c r="E107" s="3">
        <f t="shared" ca="1" si="112"/>
        <v>3.1637079861433416E-2</v>
      </c>
      <c r="F107" s="3">
        <f t="shared" ca="1" si="112"/>
        <v>3.4638562829574754E-2</v>
      </c>
      <c r="G107" s="3">
        <f t="shared" ca="1" si="112"/>
        <v>3.2253995788523157E-2</v>
      </c>
      <c r="H107" s="3">
        <f t="shared" ca="1" si="112"/>
        <v>3.6716007484139425E-2</v>
      </c>
      <c r="I107" s="3">
        <f t="shared" ca="1" si="112"/>
        <v>3.3714563245252377E-2</v>
      </c>
      <c r="J107" s="3">
        <f t="shared" ca="1" si="112"/>
        <v>4.050602920533683E-2</v>
      </c>
      <c r="K107" s="3">
        <f t="shared" ca="1" si="112"/>
        <v>3.5669484781254285E-2</v>
      </c>
      <c r="L107" s="3">
        <f t="shared" ca="1" si="112"/>
        <v>4.1988946462865245E-2</v>
      </c>
      <c r="M107" s="3">
        <f t="shared" ca="1" si="112"/>
        <v>3.6954249364166428E-2</v>
      </c>
      <c r="N107" s="3">
        <f t="shared" ca="1" si="112"/>
        <v>4.39475644072998E-2</v>
      </c>
      <c r="O107" s="3">
        <f t="shared" ca="1" si="112"/>
        <v>3.9105791073401827E-2</v>
      </c>
      <c r="P107" s="3">
        <f t="shared" ca="1" si="112"/>
        <v>4.5671471193201293E-2</v>
      </c>
      <c r="Q107" s="3">
        <f t="shared" ca="1" si="112"/>
        <v>4.0763867289089192E-2</v>
      </c>
      <c r="R107" s="3">
        <f t="shared" ca="1" si="112"/>
        <v>4.915173672791584E-2</v>
      </c>
      <c r="S107" s="3">
        <f t="shared" ca="1" si="112"/>
        <v>4.1945579010579978E-2</v>
      </c>
      <c r="T107" s="3">
        <f t="shared" ca="1" si="112"/>
        <v>5.2190276389162307E-2</v>
      </c>
      <c r="U107" s="3">
        <f t="shared" ca="1" si="112"/>
        <v>4.3050766572171821E-2</v>
      </c>
      <c r="V107" s="3">
        <f t="shared" ca="1" si="112"/>
        <v>5.4560243023749254E-2</v>
      </c>
      <c r="W107" s="3">
        <f t="shared" ca="1" si="112"/>
        <v>4.5533068446941008E-2</v>
      </c>
      <c r="X107" s="3">
        <f t="shared" ca="1" si="112"/>
        <v>5.974068614899801E-2</v>
      </c>
      <c r="Y107" s="3">
        <f t="shared" ca="1" si="112"/>
        <v>5.4905389952033562E-2</v>
      </c>
      <c r="Z107" s="3">
        <f t="shared" ca="1" si="112"/>
        <v>6.9428403292747867E-2</v>
      </c>
      <c r="AA107" s="3">
        <f t="shared" ca="1" si="112"/>
        <v>6.1862424695422476E-2</v>
      </c>
      <c r="AB107" s="3">
        <f t="shared" ref="AB107" ca="1" si="124">MIN(0.99,AB50+$O$3)</f>
        <v>7.5716111888956605E-2</v>
      </c>
      <c r="AC107" s="3">
        <f t="shared" ca="1" si="111"/>
        <v>6.6279953613157111E-2</v>
      </c>
      <c r="AD107" s="3">
        <f t="shared" ca="1" si="111"/>
        <v>8.7759064276979271E-2</v>
      </c>
      <c r="AE107" s="3">
        <f t="shared" ca="1" si="111"/>
        <v>7.3852611762909803E-2</v>
      </c>
      <c r="AF107" s="3">
        <f t="shared" ca="1" si="111"/>
        <v>9.5008131839625726E-2</v>
      </c>
      <c r="AG107" s="3">
        <f t="shared" ca="1" si="111"/>
        <v>7.9821814817648135E-2</v>
      </c>
      <c r="AH107" s="3">
        <f t="shared" ca="1" si="111"/>
        <v>0.12631069772834699</v>
      </c>
      <c r="AI107" s="3">
        <f t="shared" ca="1" si="111"/>
        <v>0.11372605083131312</v>
      </c>
      <c r="AJ107" s="3">
        <f t="shared" ca="1" si="111"/>
        <v>0.17365119939555118</v>
      </c>
    </row>
    <row r="108" spans="1:36" x14ac:dyDescent="0.35">
      <c r="A108" t="s">
        <v>77</v>
      </c>
      <c r="B108" t="s">
        <v>62</v>
      </c>
      <c r="C108" s="4" t="s">
        <v>68</v>
      </c>
      <c r="D108" s="3">
        <f t="shared" ca="1" si="77"/>
        <v>3.2514626892921436E-2</v>
      </c>
      <c r="E108" s="3">
        <f t="shared" ref="E108:AA119" ca="1" si="125">MIN(0.99,E51+$O$3)</f>
        <v>3.2560481051637211E-2</v>
      </c>
      <c r="F108" s="3">
        <f t="shared" ca="1" si="125"/>
        <v>3.5577015999812084E-2</v>
      </c>
      <c r="G108" s="3">
        <f t="shared" ca="1" si="125"/>
        <v>3.3169958427536665E-2</v>
      </c>
      <c r="H108" s="3">
        <f t="shared" ca="1" si="125"/>
        <v>3.7657134417089753E-2</v>
      </c>
      <c r="I108" s="3">
        <f t="shared" ca="1" si="125"/>
        <v>3.4615320269035438E-2</v>
      </c>
      <c r="J108" s="3">
        <f t="shared" ca="1" si="125"/>
        <v>4.1412456339383813E-2</v>
      </c>
      <c r="K108" s="3">
        <f t="shared" ca="1" si="125"/>
        <v>3.6614859108795812E-2</v>
      </c>
      <c r="L108" s="3">
        <f t="shared" ca="1" si="125"/>
        <v>4.2893771048734222E-2</v>
      </c>
      <c r="M108" s="3">
        <f t="shared" ca="1" si="125"/>
        <v>3.7921256037177067E-2</v>
      </c>
      <c r="N108" s="3">
        <f t="shared" ca="1" si="125"/>
        <v>4.4891943223726902E-2</v>
      </c>
      <c r="O108" s="3">
        <f t="shared" ca="1" si="125"/>
        <v>4.00755336654392E-2</v>
      </c>
      <c r="P108" s="3">
        <f t="shared" ca="1" si="125"/>
        <v>4.65881562905694E-2</v>
      </c>
      <c r="Q108" s="3">
        <f t="shared" ca="1" si="125"/>
        <v>4.1735288639125352E-2</v>
      </c>
      <c r="R108" s="3">
        <f t="shared" ca="1" si="125"/>
        <v>5.0062237012516733E-2</v>
      </c>
      <c r="S108" s="3">
        <f t="shared" ca="1" si="125"/>
        <v>4.28741241008729E-2</v>
      </c>
      <c r="T108" s="3">
        <f t="shared" ca="1" si="125"/>
        <v>5.3185086397123313E-2</v>
      </c>
      <c r="U108" s="3">
        <f t="shared" ca="1" si="125"/>
        <v>4.4021988726707435E-2</v>
      </c>
      <c r="V108" s="3">
        <f t="shared" ca="1" si="125"/>
        <v>5.5470076140881945E-2</v>
      </c>
      <c r="W108" s="3">
        <f t="shared" ca="1" si="125"/>
        <v>4.6459328376510609E-2</v>
      </c>
      <c r="X108" s="3">
        <f t="shared" ca="1" si="125"/>
        <v>6.0721483647560075E-2</v>
      </c>
      <c r="Y108" s="3">
        <f t="shared" ca="1" si="125"/>
        <v>5.581326371788415E-2</v>
      </c>
      <c r="Z108" s="3">
        <f t="shared" ca="1" si="125"/>
        <v>7.0335735657418574E-2</v>
      </c>
      <c r="AA108" s="3">
        <f t="shared" ca="1" si="125"/>
        <v>6.2818446840070125E-2</v>
      </c>
      <c r="AB108" s="3">
        <f t="shared" ref="AB108" ca="1" si="126">MIN(0.99,AB51+$O$3)</f>
        <v>7.6628033584131394E-2</v>
      </c>
      <c r="AC108" s="3">
        <f t="shared" ca="1" si="111"/>
        <v>6.7180968156039383E-2</v>
      </c>
      <c r="AD108" s="3">
        <f t="shared" ca="1" si="111"/>
        <v>8.8673298902339492E-2</v>
      </c>
      <c r="AE108" s="3">
        <f t="shared" ca="1" si="111"/>
        <v>7.4759844697054947E-2</v>
      </c>
      <c r="AF108" s="3">
        <f t="shared" ca="1" si="111"/>
        <v>9.5939674133183633E-2</v>
      </c>
      <c r="AG108" s="3">
        <f t="shared" ca="1" si="111"/>
        <v>8.0734280172886419E-2</v>
      </c>
      <c r="AH108" s="3">
        <f t="shared" ca="1" si="111"/>
        <v>0.1272153888842755</v>
      </c>
      <c r="AI108" s="3">
        <f t="shared" ca="1" si="111"/>
        <v>0.11472538702969307</v>
      </c>
      <c r="AJ108" s="3">
        <f t="shared" ca="1" si="111"/>
        <v>0.17460688788931283</v>
      </c>
    </row>
    <row r="109" spans="1:36" x14ac:dyDescent="0.35">
      <c r="A109" t="s">
        <v>77</v>
      </c>
      <c r="B109" t="s">
        <v>62</v>
      </c>
      <c r="C109" s="4">
        <v>4</v>
      </c>
      <c r="D109" s="3">
        <f t="shared" ca="1" si="77"/>
        <v>3.3434599147483257E-2</v>
      </c>
      <c r="E109" s="3">
        <f t="shared" ca="1" si="125"/>
        <v>3.3469896123868213E-2</v>
      </c>
      <c r="F109" s="3">
        <f t="shared" ca="1" si="125"/>
        <v>3.6548285470761346E-2</v>
      </c>
      <c r="G109" s="3">
        <f t="shared" ca="1" si="125"/>
        <v>3.4114529993795231E-2</v>
      </c>
      <c r="H109" s="3">
        <f t="shared" ca="1" si="125"/>
        <v>3.8604507945391893E-2</v>
      </c>
      <c r="I109" s="3">
        <f t="shared" ca="1" si="125"/>
        <v>3.5587131639926821E-2</v>
      </c>
      <c r="J109" s="3">
        <f t="shared" ca="1" si="125"/>
        <v>4.2385860734487781E-2</v>
      </c>
      <c r="K109" s="3">
        <f t="shared" ca="1" si="125"/>
        <v>3.7555807675196159E-2</v>
      </c>
      <c r="L109" s="3">
        <f t="shared" ca="1" si="125"/>
        <v>4.3798101036850993E-2</v>
      </c>
      <c r="M109" s="3">
        <f t="shared" ca="1" si="125"/>
        <v>3.8843904955614614E-2</v>
      </c>
      <c r="N109" s="3">
        <f t="shared" ca="1" si="125"/>
        <v>4.5816789454752038E-2</v>
      </c>
      <c r="O109" s="3">
        <f t="shared" ca="1" si="125"/>
        <v>4.103300166903083E-2</v>
      </c>
      <c r="P109" s="3">
        <f t="shared" ca="1" si="125"/>
        <v>4.7583330612562674E-2</v>
      </c>
      <c r="Q109" s="3">
        <f t="shared" ca="1" si="125"/>
        <v>4.2649984960146235E-2</v>
      </c>
      <c r="R109" s="3">
        <f t="shared" ca="1" si="125"/>
        <v>5.1039073792018066E-2</v>
      </c>
      <c r="S109" s="3">
        <f t="shared" ca="1" si="125"/>
        <v>4.3864880486290947E-2</v>
      </c>
      <c r="T109" s="3">
        <f t="shared" ca="1" si="125"/>
        <v>5.4161731581030749E-2</v>
      </c>
      <c r="U109" s="3">
        <f t="shared" ca="1" si="125"/>
        <v>4.5000614096510086E-2</v>
      </c>
      <c r="V109" s="3">
        <f t="shared" ca="1" si="125"/>
        <v>5.6420192427099058E-2</v>
      </c>
      <c r="W109" s="3">
        <f t="shared" ca="1" si="125"/>
        <v>4.7409699368010164E-2</v>
      </c>
      <c r="X109" s="3">
        <f t="shared" ca="1" si="125"/>
        <v>6.1708701127595134E-2</v>
      </c>
      <c r="Y109" s="3">
        <f t="shared" ca="1" si="125"/>
        <v>5.6765374166741801E-2</v>
      </c>
      <c r="Z109" s="3">
        <f t="shared" ca="1" si="125"/>
        <v>7.1270428216570009E-2</v>
      </c>
      <c r="AA109" s="3">
        <f t="shared" ca="1" si="125"/>
        <v>6.375318384806572E-2</v>
      </c>
      <c r="AB109" s="3">
        <f t="shared" ref="AB109" ca="1" si="127">MIN(0.99,AB52+$O$3)</f>
        <v>7.7542984051629321E-2</v>
      </c>
      <c r="AC109" s="3">
        <f t="shared" ca="1" si="111"/>
        <v>6.8154279584718647E-2</v>
      </c>
      <c r="AD109" s="3">
        <f t="shared" ca="1" si="111"/>
        <v>8.958670441330957E-2</v>
      </c>
      <c r="AE109" s="3">
        <f t="shared" ca="1" si="111"/>
        <v>7.5662484970836191E-2</v>
      </c>
      <c r="AF109" s="3">
        <f t="shared" ca="1" si="111"/>
        <v>9.6867610315478941E-2</v>
      </c>
      <c r="AG109" s="3">
        <f t="shared" ca="1" si="111"/>
        <v>8.1695770139133192E-2</v>
      </c>
      <c r="AH109" s="3">
        <f t="shared" ca="1" si="111"/>
        <v>0.12820260001787467</v>
      </c>
      <c r="AI109" s="3">
        <f t="shared" ca="1" si="111"/>
        <v>0.11569329072769133</v>
      </c>
      <c r="AJ109" s="3">
        <f t="shared" ca="1" si="111"/>
        <v>0.17556612343656838</v>
      </c>
    </row>
    <row r="110" spans="1:36" x14ac:dyDescent="0.35">
      <c r="A110" t="s">
        <v>77</v>
      </c>
      <c r="B110" t="s">
        <v>62</v>
      </c>
      <c r="C110" s="4" t="s">
        <v>69</v>
      </c>
      <c r="D110" s="3">
        <f t="shared" ca="1" si="77"/>
        <v>3.4408185418172213E-2</v>
      </c>
      <c r="E110" s="3">
        <f t="shared" ca="1" si="125"/>
        <v>3.4441696195564392E-2</v>
      </c>
      <c r="F110" s="3">
        <f t="shared" ca="1" si="125"/>
        <v>3.7511172737799858E-2</v>
      </c>
      <c r="G110" s="3">
        <f t="shared" ca="1" si="125"/>
        <v>3.5058594454961983E-2</v>
      </c>
      <c r="H110" s="3">
        <f t="shared" ca="1" si="125"/>
        <v>3.953835575518614E-2</v>
      </c>
      <c r="I110" s="3">
        <f t="shared" ca="1" si="125"/>
        <v>3.6518066694897655E-2</v>
      </c>
      <c r="J110" s="3">
        <f t="shared" ca="1" si="125"/>
        <v>4.3302681791716188E-2</v>
      </c>
      <c r="K110" s="3">
        <f t="shared" ca="1" si="125"/>
        <v>3.8530367286194099E-2</v>
      </c>
      <c r="L110" s="3">
        <f t="shared" ca="1" si="125"/>
        <v>4.4779489932963309E-2</v>
      </c>
      <c r="M110" s="3">
        <f t="shared" ca="1" si="125"/>
        <v>3.9779153519085883E-2</v>
      </c>
      <c r="N110" s="3">
        <f t="shared" ca="1" si="125"/>
        <v>4.6771803780739654E-2</v>
      </c>
      <c r="O110" s="3">
        <f t="shared" ca="1" si="125"/>
        <v>4.1976346235376008E-2</v>
      </c>
      <c r="P110" s="3">
        <f t="shared" ca="1" si="125"/>
        <v>4.8546762219440202E-2</v>
      </c>
      <c r="Q110" s="3">
        <f t="shared" ca="1" si="125"/>
        <v>4.355925986061366E-2</v>
      </c>
      <c r="R110" s="3">
        <f t="shared" ca="1" si="125"/>
        <v>5.1939231392549579E-2</v>
      </c>
      <c r="S110" s="3">
        <f t="shared" ca="1" si="125"/>
        <v>4.479629165705877E-2</v>
      </c>
      <c r="T110" s="3">
        <f t="shared" ca="1" si="125"/>
        <v>5.5101036866897921E-2</v>
      </c>
      <c r="U110" s="3">
        <f t="shared" ca="1" si="125"/>
        <v>4.5957882205879555E-2</v>
      </c>
      <c r="V110" s="3">
        <f t="shared" ca="1" si="125"/>
        <v>5.7408106648694723E-2</v>
      </c>
      <c r="W110" s="3">
        <f t="shared" ca="1" si="125"/>
        <v>4.8409102240684398E-2</v>
      </c>
      <c r="X110" s="3">
        <f t="shared" ca="1" si="125"/>
        <v>6.2646229357098446E-2</v>
      </c>
      <c r="Y110" s="3">
        <f t="shared" ca="1" si="125"/>
        <v>5.7689596708190821E-2</v>
      </c>
      <c r="Z110" s="3">
        <f t="shared" ca="1" si="125"/>
        <v>7.2255761975697524E-2</v>
      </c>
      <c r="AA110" s="3">
        <f t="shared" ca="1" si="125"/>
        <v>6.4745541297092035E-2</v>
      </c>
      <c r="AB110" s="3">
        <f t="shared" ref="AB110" ca="1" si="128">MIN(0.99,AB53+$O$3)</f>
        <v>7.8448325725640464E-2</v>
      </c>
      <c r="AC110" s="3">
        <f t="shared" ca="1" si="111"/>
        <v>6.9142096348510998E-2</v>
      </c>
      <c r="AD110" s="3">
        <f t="shared" ca="1" si="111"/>
        <v>9.0567941771360544E-2</v>
      </c>
      <c r="AE110" s="3">
        <f t="shared" ca="1" si="111"/>
        <v>7.6607974614669394E-2</v>
      </c>
      <c r="AF110" s="3">
        <f t="shared" ca="1" si="111"/>
        <v>9.7852071641408245E-2</v>
      </c>
      <c r="AG110" s="3">
        <f t="shared" ca="1" si="111"/>
        <v>8.2635292898063789E-2</v>
      </c>
      <c r="AH110" s="3">
        <f t="shared" ca="1" si="111"/>
        <v>0.12915324735661818</v>
      </c>
      <c r="AI110" s="3">
        <f t="shared" ca="1" si="111"/>
        <v>0.11662799243267988</v>
      </c>
      <c r="AJ110" s="3">
        <f t="shared" ca="1" si="111"/>
        <v>0.17654003311526109</v>
      </c>
    </row>
    <row r="111" spans="1:36" x14ac:dyDescent="0.35">
      <c r="A111" t="s">
        <v>77</v>
      </c>
      <c r="B111" t="s">
        <v>62</v>
      </c>
      <c r="C111" s="4" t="s">
        <v>70</v>
      </c>
      <c r="D111" s="3">
        <f t="shared" ca="1" si="77"/>
        <v>3.5317542773828578E-2</v>
      </c>
      <c r="E111" s="3">
        <f t="shared" ca="1" si="125"/>
        <v>3.5407039152101451E-2</v>
      </c>
      <c r="F111" s="3">
        <f t="shared" ca="1" si="125"/>
        <v>3.8414772533662329E-2</v>
      </c>
      <c r="G111" s="3">
        <f t="shared" ca="1" si="125"/>
        <v>3.6022240144337928E-2</v>
      </c>
      <c r="H111" s="3">
        <f t="shared" ca="1" si="125"/>
        <v>4.0522354140553364E-2</v>
      </c>
      <c r="I111" s="3">
        <f t="shared" ca="1" si="125"/>
        <v>3.7447846504871596E-2</v>
      </c>
      <c r="J111" s="3">
        <f t="shared" ca="1" si="125"/>
        <v>4.429486338254264E-2</v>
      </c>
      <c r="K111" s="3">
        <f t="shared" ca="1" si="125"/>
        <v>3.9465800133560623E-2</v>
      </c>
      <c r="L111" s="3">
        <f t="shared" ca="1" si="125"/>
        <v>4.573502754395567E-2</v>
      </c>
      <c r="M111" s="3">
        <f t="shared" ca="1" si="125"/>
        <v>4.071311251355636E-2</v>
      </c>
      <c r="N111" s="3">
        <f t="shared" ca="1" si="125"/>
        <v>4.7672114160175777E-2</v>
      </c>
      <c r="O111" s="3">
        <f t="shared" ca="1" si="125"/>
        <v>4.2956084208662412E-2</v>
      </c>
      <c r="P111" s="3">
        <f t="shared" ca="1" si="125"/>
        <v>4.947462355438205E-2</v>
      </c>
      <c r="Q111" s="3">
        <f t="shared" ca="1" si="125"/>
        <v>4.4541999312176582E-2</v>
      </c>
      <c r="R111" s="3">
        <f t="shared" ca="1" si="125"/>
        <v>5.2869778407794388E-2</v>
      </c>
      <c r="S111" s="3">
        <f t="shared" ca="1" si="125"/>
        <v>4.5744876197004763E-2</v>
      </c>
      <c r="T111" s="3">
        <f t="shared" ca="1" si="125"/>
        <v>5.6022845908059359E-2</v>
      </c>
      <c r="U111" s="3">
        <f t="shared" ca="1" si="125"/>
        <v>4.6951980035256566E-2</v>
      </c>
      <c r="V111" s="3">
        <f t="shared" ca="1" si="125"/>
        <v>5.8402841823526411E-2</v>
      </c>
      <c r="W111" s="3">
        <f t="shared" ca="1" si="125"/>
        <v>4.9402258690421322E-2</v>
      </c>
      <c r="X111" s="3">
        <f t="shared" ca="1" si="125"/>
        <v>6.356790259214945E-2</v>
      </c>
      <c r="Y111" s="3">
        <f t="shared" ca="1" si="125"/>
        <v>5.8620877961553325E-2</v>
      </c>
      <c r="Z111" s="3">
        <f t="shared" ca="1" si="125"/>
        <v>7.3193254216070799E-2</v>
      </c>
      <c r="AA111" s="3">
        <f t="shared" ca="1" si="125"/>
        <v>6.5728623610690942E-2</v>
      </c>
      <c r="AB111" s="3">
        <f t="shared" ref="AB111:AJ119" ca="1" si="129">MIN(0.99,AB54+$O$3)</f>
        <v>7.9418983494675688E-2</v>
      </c>
      <c r="AC111" s="3">
        <f t="shared" ca="1" si="129"/>
        <v>7.010513042371716E-2</v>
      </c>
      <c r="AD111" s="3">
        <f t="shared" ca="1" si="129"/>
        <v>9.1561101797659888E-2</v>
      </c>
      <c r="AE111" s="3">
        <f t="shared" ca="1" si="129"/>
        <v>7.7559536327821504E-2</v>
      </c>
      <c r="AF111" s="3">
        <f t="shared" ca="1" si="129"/>
        <v>9.8799853274363691E-2</v>
      </c>
      <c r="AG111" s="3">
        <f t="shared" ca="1" si="129"/>
        <v>8.3564960024732071E-2</v>
      </c>
      <c r="AH111" s="3">
        <f t="shared" ca="1" si="129"/>
        <v>0.13013661533902354</v>
      </c>
      <c r="AI111" s="3">
        <f t="shared" ca="1" si="129"/>
        <v>0.11754560432279623</v>
      </c>
      <c r="AJ111" s="3">
        <f t="shared" ca="1" si="129"/>
        <v>0.17749710609399016</v>
      </c>
    </row>
    <row r="112" spans="1:36" x14ac:dyDescent="0.35">
      <c r="A112" t="s">
        <v>77</v>
      </c>
      <c r="B112" t="s">
        <v>62</v>
      </c>
      <c r="C112" s="4">
        <v>5</v>
      </c>
      <c r="D112" s="3">
        <f t="shared" ca="1" si="77"/>
        <v>3.6278276665449687E-2</v>
      </c>
      <c r="E112" s="3">
        <f t="shared" ca="1" si="125"/>
        <v>3.6350397253026016E-2</v>
      </c>
      <c r="F112" s="3">
        <f t="shared" ca="1" si="125"/>
        <v>3.9352751453999593E-2</v>
      </c>
      <c r="G112" s="3">
        <f t="shared" ca="1" si="125"/>
        <v>3.6963690130217094E-2</v>
      </c>
      <c r="H112" s="3">
        <f t="shared" ca="1" si="125"/>
        <v>4.1497164379325199E-2</v>
      </c>
      <c r="I112" s="3">
        <f t="shared" ca="1" si="125"/>
        <v>3.83486592803014E-2</v>
      </c>
      <c r="J112" s="3">
        <f t="shared" ca="1" si="125"/>
        <v>4.5284793965583277E-2</v>
      </c>
      <c r="K112" s="3">
        <f t="shared" ca="1" si="125"/>
        <v>4.0393352112012074E-2</v>
      </c>
      <c r="L112" s="3">
        <f t="shared" ca="1" si="125"/>
        <v>4.6731237942804191E-2</v>
      </c>
      <c r="M112" s="3">
        <f t="shared" ca="1" si="125"/>
        <v>4.1649145729671294E-2</v>
      </c>
      <c r="N112" s="3">
        <f t="shared" ca="1" si="125"/>
        <v>4.8626897571473163E-2</v>
      </c>
      <c r="O112" s="3">
        <f t="shared" ca="1" si="125"/>
        <v>4.3887852778356773E-2</v>
      </c>
      <c r="P112" s="3">
        <f t="shared" ca="1" si="125"/>
        <v>5.0440034308008655E-2</v>
      </c>
      <c r="Q112" s="3">
        <f t="shared" ca="1" si="125"/>
        <v>4.5481320900152014E-2</v>
      </c>
      <c r="R112" s="3">
        <f t="shared" ca="1" si="125"/>
        <v>5.3797862299913318E-2</v>
      </c>
      <c r="S112" s="3">
        <f t="shared" ca="1" si="125"/>
        <v>4.6744245949930915E-2</v>
      </c>
      <c r="T112" s="3">
        <f t="shared" ca="1" si="125"/>
        <v>5.6974457777620148E-2</v>
      </c>
      <c r="U112" s="3">
        <f t="shared" ca="1" si="125"/>
        <v>4.7899781034648641E-2</v>
      </c>
      <c r="V112" s="3">
        <f t="shared" ca="1" si="125"/>
        <v>5.9332998605004419E-2</v>
      </c>
      <c r="W112" s="3">
        <f t="shared" ca="1" si="125"/>
        <v>5.0342358039597662E-2</v>
      </c>
      <c r="X112" s="3">
        <f t="shared" ca="1" si="125"/>
        <v>6.4482059374819128E-2</v>
      </c>
      <c r="Y112" s="3">
        <f t="shared" ca="1" si="125"/>
        <v>5.9569242562660017E-2</v>
      </c>
      <c r="Z112" s="3">
        <f t="shared" ca="1" si="125"/>
        <v>7.4161754567345556E-2</v>
      </c>
      <c r="AA112" s="3">
        <f t="shared" ca="1" si="125"/>
        <v>6.6695991764628343E-2</v>
      </c>
      <c r="AB112" s="3">
        <f t="shared" ref="AB112" ca="1" si="130">MIN(0.99,AB55+$O$3)</f>
        <v>8.0339331469253247E-2</v>
      </c>
      <c r="AC112" s="3">
        <f t="shared" ca="1" si="129"/>
        <v>7.1043196818381865E-2</v>
      </c>
      <c r="AD112" s="3">
        <f t="shared" ca="1" si="129"/>
        <v>9.249822478198988E-2</v>
      </c>
      <c r="AE112" s="3">
        <f t="shared" ca="1" si="129"/>
        <v>7.8520924554888127E-2</v>
      </c>
      <c r="AF112" s="3">
        <f t="shared" ca="1" si="129"/>
        <v>9.9765495561987688E-2</v>
      </c>
      <c r="AG112" s="3">
        <f t="shared" ca="1" si="129"/>
        <v>8.4485286242682034E-2</v>
      </c>
      <c r="AH112" s="3">
        <f t="shared" ca="1" si="129"/>
        <v>0.13106357850662545</v>
      </c>
      <c r="AI112" s="3">
        <f t="shared" ca="1" si="129"/>
        <v>0.11847837735867794</v>
      </c>
      <c r="AJ112" s="3">
        <f t="shared" ca="1" si="129"/>
        <v>0.178432292188516</v>
      </c>
    </row>
    <row r="113" spans="1:36" x14ac:dyDescent="0.35">
      <c r="A113" t="s">
        <v>77</v>
      </c>
      <c r="B113" t="s">
        <v>62</v>
      </c>
      <c r="C113" s="4" t="s">
        <v>71</v>
      </c>
      <c r="D113" s="3">
        <f t="shared" ca="1" si="77"/>
        <v>3.7212129306174888E-2</v>
      </c>
      <c r="E113" s="3">
        <f t="shared" ca="1" si="125"/>
        <v>3.734508717552263E-2</v>
      </c>
      <c r="F113" s="3">
        <f t="shared" ca="1" si="125"/>
        <v>4.0339071726916684E-2</v>
      </c>
      <c r="G113" s="3">
        <f t="shared" ca="1" si="125"/>
        <v>3.7883523303339758E-2</v>
      </c>
      <c r="H113" s="3">
        <f t="shared" ca="1" si="125"/>
        <v>4.2490949478404136E-2</v>
      </c>
      <c r="I113" s="3">
        <f t="shared" ca="1" si="125"/>
        <v>3.9252056401569528E-2</v>
      </c>
      <c r="J113" s="3">
        <f t="shared" ca="1" si="125"/>
        <v>4.6200645433838047E-2</v>
      </c>
      <c r="K113" s="3">
        <f t="shared" ca="1" si="125"/>
        <v>4.1351370924962987E-2</v>
      </c>
      <c r="L113" s="3">
        <f t="shared" ca="1" si="125"/>
        <v>4.7693984896337423E-2</v>
      </c>
      <c r="M113" s="3">
        <f t="shared" ca="1" si="125"/>
        <v>4.2612620384975167E-2</v>
      </c>
      <c r="N113" s="3">
        <f t="shared" ca="1" si="125"/>
        <v>4.9624602150411715E-2</v>
      </c>
      <c r="O113" s="3">
        <f t="shared" ca="1" si="125"/>
        <v>4.4811645434830322E-2</v>
      </c>
      <c r="P113" s="3">
        <f t="shared" ca="1" si="125"/>
        <v>5.1350979373547878E-2</v>
      </c>
      <c r="Q113" s="3">
        <f t="shared" ca="1" si="125"/>
        <v>4.6407377716922854E-2</v>
      </c>
      <c r="R113" s="3">
        <f t="shared" ca="1" si="125"/>
        <v>5.4727355535961968E-2</v>
      </c>
      <c r="S113" s="3">
        <f t="shared" ca="1" si="125"/>
        <v>4.7733348931272436E-2</v>
      </c>
      <c r="T113" s="3">
        <f t="shared" ca="1" si="125"/>
        <v>5.796332253481918E-2</v>
      </c>
      <c r="U113" s="3">
        <f t="shared" ca="1" si="125"/>
        <v>4.8897869207785299E-2</v>
      </c>
      <c r="V113" s="3">
        <f t="shared" ca="1" si="125"/>
        <v>6.0245932007960731E-2</v>
      </c>
      <c r="W113" s="3">
        <f t="shared" ca="1" si="125"/>
        <v>5.1317228953962055E-2</v>
      </c>
      <c r="X113" s="3">
        <f t="shared" ca="1" si="125"/>
        <v>6.5442640487239565E-2</v>
      </c>
      <c r="Y113" s="3">
        <f t="shared" ca="1" si="125"/>
        <v>6.0549016605743487E-2</v>
      </c>
      <c r="Z113" s="3">
        <f t="shared" ca="1" si="125"/>
        <v>7.5154473615062195E-2</v>
      </c>
      <c r="AA113" s="3">
        <f t="shared" ca="1" si="125"/>
        <v>6.7621092780161207E-2</v>
      </c>
      <c r="AB113" s="3">
        <f t="shared" ref="AB113" ca="1" si="131">MIN(0.99,AB56+$O$3)</f>
        <v>8.126148921827861E-2</v>
      </c>
      <c r="AC113" s="3">
        <f t="shared" ca="1" si="129"/>
        <v>7.1955665569841565E-2</v>
      </c>
      <c r="AD113" s="3">
        <f t="shared" ca="1" si="129"/>
        <v>9.3433402294950618E-2</v>
      </c>
      <c r="AE113" s="3">
        <f t="shared" ca="1" si="129"/>
        <v>7.9447459554089522E-2</v>
      </c>
      <c r="AF113" s="3">
        <f t="shared" ca="1" si="129"/>
        <v>0.10066789281871882</v>
      </c>
      <c r="AG113" s="3">
        <f t="shared" ca="1" si="129"/>
        <v>8.547021150117011E-2</v>
      </c>
      <c r="AH113" s="3">
        <f t="shared" ca="1" si="129"/>
        <v>0.13204945136478938</v>
      </c>
      <c r="AI113" s="3">
        <f t="shared" ca="1" si="129"/>
        <v>0.11945907092266167</v>
      </c>
      <c r="AJ113" s="3">
        <f t="shared" ca="1" si="129"/>
        <v>0.17935566424944285</v>
      </c>
    </row>
    <row r="114" spans="1:36" x14ac:dyDescent="0.35">
      <c r="A114" t="s">
        <v>77</v>
      </c>
      <c r="B114" t="s">
        <v>62</v>
      </c>
      <c r="C114" s="4" t="s">
        <v>72</v>
      </c>
      <c r="D114" s="3">
        <f t="shared" ca="1" si="77"/>
        <v>3.8128185099006312E-2</v>
      </c>
      <c r="E114" s="3">
        <f t="shared" ca="1" si="125"/>
        <v>3.8247151516542802E-2</v>
      </c>
      <c r="F114" s="3">
        <f t="shared" ca="1" si="125"/>
        <v>4.1242444686108215E-2</v>
      </c>
      <c r="G114" s="3">
        <f t="shared" ca="1" si="125"/>
        <v>3.8856606566587487E-2</v>
      </c>
      <c r="H114" s="3">
        <f t="shared" ca="1" si="125"/>
        <v>4.3442503313797044E-2</v>
      </c>
      <c r="I114" s="3">
        <f t="shared" ca="1" si="125"/>
        <v>4.0197687483148836E-2</v>
      </c>
      <c r="J114" s="3">
        <f t="shared" ca="1" si="125"/>
        <v>4.7197168872614936E-2</v>
      </c>
      <c r="K114" s="3">
        <f t="shared" ca="1" si="125"/>
        <v>4.2300935379595325E-2</v>
      </c>
      <c r="L114" s="3">
        <f t="shared" ca="1" si="125"/>
        <v>4.8617443192611833E-2</v>
      </c>
      <c r="M114" s="3">
        <f t="shared" ca="1" si="125"/>
        <v>4.3540365926147268E-2</v>
      </c>
      <c r="N114" s="3">
        <f t="shared" ca="1" si="125"/>
        <v>5.0535343661582979E-2</v>
      </c>
      <c r="O114" s="3">
        <f t="shared" ca="1" si="125"/>
        <v>4.5739832601578517E-2</v>
      </c>
      <c r="P114" s="3">
        <f t="shared" ca="1" si="125"/>
        <v>5.2307615178540115E-2</v>
      </c>
      <c r="Q114" s="3">
        <f t="shared" ca="1" si="125"/>
        <v>4.7325803822732437E-2</v>
      </c>
      <c r="R114" s="3">
        <f t="shared" ca="1" si="125"/>
        <v>5.5629303917077363E-2</v>
      </c>
      <c r="S114" s="3">
        <f t="shared" ca="1" si="125"/>
        <v>4.8664726196192401E-2</v>
      </c>
      <c r="T114" s="3">
        <f t="shared" ca="1" si="125"/>
        <v>5.8915872129533031E-2</v>
      </c>
      <c r="U114" s="3">
        <f t="shared" ca="1" si="125"/>
        <v>4.9823514320029003E-2</v>
      </c>
      <c r="V114" s="3">
        <f t="shared" ca="1" si="125"/>
        <v>6.1203515218075162E-2</v>
      </c>
      <c r="W114" s="3">
        <f t="shared" ca="1" si="125"/>
        <v>5.2231918438233597E-2</v>
      </c>
      <c r="X114" s="3">
        <f t="shared" ca="1" si="125"/>
        <v>6.6425487831070579E-2</v>
      </c>
      <c r="Y114" s="3">
        <f t="shared" ca="1" si="125"/>
        <v>6.1473784649613707E-2</v>
      </c>
      <c r="Z114" s="3">
        <f t="shared" ca="1" si="125"/>
        <v>7.6055830245674805E-2</v>
      </c>
      <c r="AA114" s="3">
        <f t="shared" ca="1" si="125"/>
        <v>6.8586454249275508E-2</v>
      </c>
      <c r="AB114" s="3">
        <f t="shared" ref="AB114" ca="1" si="132">MIN(0.99,AB57+$O$3)</f>
        <v>8.2217342464777576E-2</v>
      </c>
      <c r="AC114" s="3">
        <f t="shared" ca="1" si="129"/>
        <v>7.295146395521504E-2</v>
      </c>
      <c r="AD114" s="3">
        <f t="shared" ca="1" si="129"/>
        <v>9.4370000945281779E-2</v>
      </c>
      <c r="AE114" s="3">
        <f t="shared" ca="1" si="129"/>
        <v>8.037787890903339E-2</v>
      </c>
      <c r="AF114" s="3">
        <f t="shared" ca="1" si="129"/>
        <v>0.10164149200635939</v>
      </c>
      <c r="AG114" s="3">
        <f t="shared" ca="1" si="129"/>
        <v>8.6441867573437942E-2</v>
      </c>
      <c r="AH114" s="3">
        <f t="shared" ca="1" si="129"/>
        <v>0.13299270865631241</v>
      </c>
      <c r="AI114" s="3">
        <f t="shared" ca="1" si="129"/>
        <v>0.1204284810259785</v>
      </c>
      <c r="AJ114" s="3">
        <f t="shared" ca="1" si="129"/>
        <v>0.18033425837581454</v>
      </c>
    </row>
    <row r="115" spans="1:36" x14ac:dyDescent="0.35">
      <c r="A115" t="s">
        <v>77</v>
      </c>
      <c r="B115" t="s">
        <v>62</v>
      </c>
      <c r="C115" s="4">
        <v>6</v>
      </c>
      <c r="D115" s="3">
        <f t="shared" ca="1" si="77"/>
        <v>3.9051078000001363E-2</v>
      </c>
      <c r="E115" s="3">
        <f t="shared" ca="1" si="125"/>
        <v>3.9201160510151462E-2</v>
      </c>
      <c r="F115" s="3">
        <f t="shared" ca="1" si="125"/>
        <v>4.2153316338432445E-2</v>
      </c>
      <c r="G115" s="3">
        <f t="shared" ca="1" si="125"/>
        <v>3.9832942048262071E-2</v>
      </c>
      <c r="H115" s="3">
        <f t="shared" ca="1" si="125"/>
        <v>4.4395225024892335E-2</v>
      </c>
      <c r="I115" s="3">
        <f t="shared" ca="1" si="125"/>
        <v>4.1100007425419943E-2</v>
      </c>
      <c r="J115" s="3">
        <f t="shared" ca="1" si="125"/>
        <v>4.8127650876456922E-2</v>
      </c>
      <c r="K115" s="3">
        <f t="shared" ca="1" si="125"/>
        <v>4.3291575939216224E-2</v>
      </c>
      <c r="L115" s="3">
        <f t="shared" ca="1" si="125"/>
        <v>4.9586231582569487E-2</v>
      </c>
      <c r="M115" s="3">
        <f t="shared" ca="1" si="125"/>
        <v>4.4501244944021717E-2</v>
      </c>
      <c r="N115" s="3">
        <f t="shared" ca="1" si="125"/>
        <v>5.1459755313059602E-2</v>
      </c>
      <c r="O115" s="3">
        <f t="shared" ca="1" si="125"/>
        <v>4.6715274962924477E-2</v>
      </c>
      <c r="P115" s="3">
        <f t="shared" ca="1" si="125"/>
        <v>5.3231207554820581E-2</v>
      </c>
      <c r="Q115" s="3">
        <f t="shared" ca="1" si="125"/>
        <v>4.8298810263202027E-2</v>
      </c>
      <c r="R115" s="3">
        <f t="shared" ca="1" si="125"/>
        <v>5.6531895968191803E-2</v>
      </c>
      <c r="S115" s="3">
        <f t="shared" ca="1" si="125"/>
        <v>4.964509598707488E-2</v>
      </c>
      <c r="T115" s="3">
        <f t="shared" ca="1" si="125"/>
        <v>5.9882931097634089E-2</v>
      </c>
      <c r="U115" s="3">
        <f t="shared" ca="1" si="125"/>
        <v>5.0741613395099056E-2</v>
      </c>
      <c r="V115" s="3">
        <f t="shared" ca="1" si="125"/>
        <v>6.2169494192171354E-2</v>
      </c>
      <c r="W115" s="3">
        <f t="shared" ca="1" si="125"/>
        <v>5.3192383888055056E-2</v>
      </c>
      <c r="X115" s="3">
        <f t="shared" ca="1" si="125"/>
        <v>6.7403332879757166E-2</v>
      </c>
      <c r="Y115" s="3">
        <f t="shared" ca="1" si="125"/>
        <v>6.2378109657716417E-2</v>
      </c>
      <c r="Z115" s="3">
        <f t="shared" ca="1" si="125"/>
        <v>7.6958267387872481E-2</v>
      </c>
      <c r="AA115" s="3">
        <f t="shared" ca="1" si="125"/>
        <v>6.955776832222918E-2</v>
      </c>
      <c r="AB115" s="3">
        <f t="shared" ref="AB115" ca="1" si="133">MIN(0.99,AB58+$O$3)</f>
        <v>8.3212420651349622E-2</v>
      </c>
      <c r="AC115" s="3">
        <f t="shared" ca="1" si="129"/>
        <v>7.3887769107564616E-2</v>
      </c>
      <c r="AD115" s="3">
        <f t="shared" ca="1" si="129"/>
        <v>9.529380548997185E-2</v>
      </c>
      <c r="AE115" s="3">
        <f t="shared" ca="1" si="129"/>
        <v>8.1282633303114055E-2</v>
      </c>
      <c r="AF115" s="3">
        <f t="shared" ca="1" si="129"/>
        <v>0.10261493331166124</v>
      </c>
      <c r="AG115" s="3">
        <f t="shared" ca="1" si="129"/>
        <v>8.7368838791105713E-2</v>
      </c>
      <c r="AH115" s="3">
        <f t="shared" ca="1" si="129"/>
        <v>0.13390584860430749</v>
      </c>
      <c r="AI115" s="3">
        <f t="shared" ca="1" si="129"/>
        <v>0.1213542713882115</v>
      </c>
      <c r="AJ115" s="3">
        <f t="shared" ca="1" si="129"/>
        <v>0.18130918441522248</v>
      </c>
    </row>
    <row r="116" spans="1:36" x14ac:dyDescent="0.35">
      <c r="A116" t="s">
        <v>77</v>
      </c>
      <c r="B116" t="s">
        <v>62</v>
      </c>
      <c r="C116" s="4" t="s">
        <v>73</v>
      </c>
      <c r="D116" s="3">
        <f t="shared" ca="1" si="77"/>
        <v>4.0047662455575034E-2</v>
      </c>
      <c r="E116" s="3">
        <f t="shared" ca="1" si="125"/>
        <v>4.0167957091932563E-2</v>
      </c>
      <c r="F116" s="3">
        <f t="shared" ca="1" si="125"/>
        <v>4.3134386193298513E-2</v>
      </c>
      <c r="G116" s="3">
        <f t="shared" ca="1" si="125"/>
        <v>4.0734548024131859E-2</v>
      </c>
      <c r="H116" s="3">
        <f t="shared" ca="1" si="125"/>
        <v>4.5383142705779714E-2</v>
      </c>
      <c r="I116" s="3">
        <f t="shared" ca="1" si="125"/>
        <v>4.2070177772854114E-2</v>
      </c>
      <c r="J116" s="3">
        <f t="shared" ca="1" si="125"/>
        <v>4.9116681581614752E-2</v>
      </c>
      <c r="K116" s="3">
        <f t="shared" ca="1" si="125"/>
        <v>4.4269726577750121E-2</v>
      </c>
      <c r="L116" s="3">
        <f t="shared" ca="1" si="125"/>
        <v>5.0496602354504684E-2</v>
      </c>
      <c r="M116" s="3">
        <f t="shared" ca="1" si="125"/>
        <v>4.5496920851320788E-2</v>
      </c>
      <c r="N116" s="3">
        <f t="shared" ca="1" si="125"/>
        <v>5.2439036848392656E-2</v>
      </c>
      <c r="O116" s="3">
        <f t="shared" ca="1" si="125"/>
        <v>4.7686868008271412E-2</v>
      </c>
      <c r="P116" s="3">
        <f t="shared" ca="1" si="125"/>
        <v>5.4207940185442796E-2</v>
      </c>
      <c r="Q116" s="3">
        <f t="shared" ca="1" si="125"/>
        <v>4.9231349607093355E-2</v>
      </c>
      <c r="R116" s="3">
        <f t="shared" ca="1" si="125"/>
        <v>5.7462258911113409E-2</v>
      </c>
      <c r="S116" s="3">
        <f t="shared" ca="1" si="125"/>
        <v>5.0622200406470891E-2</v>
      </c>
      <c r="T116" s="3">
        <f t="shared" ca="1" si="125"/>
        <v>6.087952488520762E-2</v>
      </c>
      <c r="U116" s="3">
        <f t="shared" ca="1" si="125"/>
        <v>5.1723808910012797E-2</v>
      </c>
      <c r="V116" s="3">
        <f t="shared" ca="1" si="125"/>
        <v>6.3119645947732089E-2</v>
      </c>
      <c r="W116" s="3">
        <f t="shared" ca="1" si="125"/>
        <v>5.4103971075882454E-2</v>
      </c>
      <c r="X116" s="3">
        <f t="shared" ca="1" si="125"/>
        <v>6.835120646703205E-2</v>
      </c>
      <c r="Y116" s="3">
        <f t="shared" ca="1" si="125"/>
        <v>6.3348125495202384E-2</v>
      </c>
      <c r="Z116" s="3">
        <f t="shared" ca="1" si="125"/>
        <v>7.7865874921204586E-2</v>
      </c>
      <c r="AA116" s="3">
        <f t="shared" ca="1" si="125"/>
        <v>7.0472841807936462E-2</v>
      </c>
      <c r="AB116" s="3">
        <f t="shared" ref="AB116" ca="1" si="134">MIN(0.99,AB59+$O$3)</f>
        <v>8.4172256348590754E-2</v>
      </c>
      <c r="AC116" s="3">
        <f t="shared" ca="1" si="129"/>
        <v>7.480345126532173E-2</v>
      </c>
      <c r="AD116" s="3">
        <f t="shared" ca="1" si="129"/>
        <v>9.625133175185091E-2</v>
      </c>
      <c r="AE116" s="3">
        <f t="shared" ca="1" si="129"/>
        <v>8.2242253874024007E-2</v>
      </c>
      <c r="AF116" s="3">
        <f t="shared" ca="1" si="129"/>
        <v>0.10351530096810063</v>
      </c>
      <c r="AG116" s="3">
        <f t="shared" ca="1" si="129"/>
        <v>8.8350059734375486E-2</v>
      </c>
      <c r="AH116" s="3">
        <f t="shared" ca="1" si="129"/>
        <v>0.13486511519689948</v>
      </c>
      <c r="AI116" s="3">
        <f t="shared" ca="1" si="129"/>
        <v>0.12230131649291207</v>
      </c>
      <c r="AJ116" s="3">
        <f t="shared" ca="1" si="129"/>
        <v>0.18228721798427361</v>
      </c>
    </row>
    <row r="117" spans="1:36" x14ac:dyDescent="0.35">
      <c r="A117" t="s">
        <v>77</v>
      </c>
      <c r="B117" t="s">
        <v>62</v>
      </c>
      <c r="C117" s="4" t="s">
        <v>74</v>
      </c>
      <c r="D117" s="3">
        <f t="shared" ca="1" si="77"/>
        <v>4.102074784098305E-2</v>
      </c>
      <c r="E117" s="3">
        <f t="shared" ca="1" si="125"/>
        <v>4.1094534043477189E-2</v>
      </c>
      <c r="F117" s="3">
        <f t="shared" ca="1" si="125"/>
        <v>4.405908469317945E-2</v>
      </c>
      <c r="G117" s="3">
        <f t="shared" ca="1" si="125"/>
        <v>4.1641128864361374E-2</v>
      </c>
      <c r="H117" s="3">
        <f t="shared" ca="1" si="125"/>
        <v>4.6360842807264144E-2</v>
      </c>
      <c r="I117" s="3">
        <f t="shared" ca="1" si="125"/>
        <v>4.3027254721049631E-2</v>
      </c>
      <c r="J117" s="3">
        <f t="shared" ca="1" si="125"/>
        <v>5.0063784014990509E-2</v>
      </c>
      <c r="K117" s="3">
        <f t="shared" ca="1" si="125"/>
        <v>4.5248501720931131E-2</v>
      </c>
      <c r="L117" s="3">
        <f t="shared" ca="1" si="125"/>
        <v>5.1480606259042841E-2</v>
      </c>
      <c r="M117" s="3">
        <f t="shared" ca="1" si="125"/>
        <v>4.6490783078957557E-2</v>
      </c>
      <c r="N117" s="3">
        <f t="shared" ca="1" si="125"/>
        <v>5.3360848465446371E-2</v>
      </c>
      <c r="O117" s="3">
        <f t="shared" ca="1" si="125"/>
        <v>4.8624566540011613E-2</v>
      </c>
      <c r="P117" s="3">
        <f t="shared" ca="1" si="125"/>
        <v>5.5200615451437306E-2</v>
      </c>
      <c r="Q117" s="3">
        <f t="shared" ca="1" si="125"/>
        <v>5.0159465917760097E-2</v>
      </c>
      <c r="R117" s="3">
        <f t="shared" ca="1" si="125"/>
        <v>5.8432347481547527E-2</v>
      </c>
      <c r="S117" s="3">
        <f t="shared" ca="1" si="125"/>
        <v>5.159284964007628E-2</v>
      </c>
      <c r="T117" s="3">
        <f t="shared" ca="1" si="125"/>
        <v>6.1837020412524257E-2</v>
      </c>
      <c r="U117" s="3">
        <f t="shared" ca="1" si="125"/>
        <v>5.2706535772791122E-2</v>
      </c>
      <c r="V117" s="3">
        <f t="shared" ca="1" si="125"/>
        <v>6.4027220245693073E-2</v>
      </c>
      <c r="W117" s="3">
        <f t="shared" ca="1" si="125"/>
        <v>5.5102577206807273E-2</v>
      </c>
      <c r="X117" s="3">
        <f t="shared" ca="1" si="125"/>
        <v>6.9301104546630798E-2</v>
      </c>
      <c r="Y117" s="3">
        <f t="shared" ca="1" si="125"/>
        <v>6.4255816155555062E-2</v>
      </c>
      <c r="Z117" s="3">
        <f t="shared" ca="1" si="125"/>
        <v>7.878568606557243E-2</v>
      </c>
      <c r="AA117" s="3">
        <f t="shared" ca="1" si="125"/>
        <v>7.1449611393887419E-2</v>
      </c>
      <c r="AB117" s="3">
        <f t="shared" ref="AB117" ca="1" si="135">MIN(0.99,AB60+$O$3)</f>
        <v>8.5168463042633952E-2</v>
      </c>
      <c r="AC117" s="3">
        <f t="shared" ca="1" si="129"/>
        <v>7.5798272709414083E-2</v>
      </c>
      <c r="AD117" s="3">
        <f t="shared" ca="1" si="129"/>
        <v>9.71858018222167E-2</v>
      </c>
      <c r="AE117" s="3">
        <f t="shared" ca="1" si="129"/>
        <v>8.315579329786979E-2</v>
      </c>
      <c r="AF117" s="3">
        <f t="shared" ca="1" si="129"/>
        <v>0.10449772797467946</v>
      </c>
      <c r="AG117" s="3">
        <f t="shared" ca="1" si="129"/>
        <v>8.9263833395342024E-2</v>
      </c>
      <c r="AH117" s="3">
        <f t="shared" ca="1" si="129"/>
        <v>0.13578506008438304</v>
      </c>
      <c r="AI117" s="3">
        <f t="shared" ca="1" si="129"/>
        <v>0.1232724641559633</v>
      </c>
      <c r="AJ117" s="3">
        <f t="shared" ca="1" si="129"/>
        <v>0.18328377184732714</v>
      </c>
    </row>
    <row r="118" spans="1:36" x14ac:dyDescent="0.35">
      <c r="A118" t="s">
        <v>77</v>
      </c>
      <c r="B118" t="s">
        <v>62</v>
      </c>
      <c r="C118" s="4">
        <v>7</v>
      </c>
      <c r="D118" s="3">
        <f t="shared" ca="1" si="77"/>
        <v>4.1924079137333495E-2</v>
      </c>
      <c r="E118" s="3">
        <f t="shared" ca="1" si="125"/>
        <v>4.2056903030725581E-2</v>
      </c>
      <c r="F118" s="3">
        <f t="shared" ca="1" si="125"/>
        <v>4.5027810803992943E-2</v>
      </c>
      <c r="G118" s="3">
        <f t="shared" ca="1" si="125"/>
        <v>4.2568272190976988E-2</v>
      </c>
      <c r="H118" s="3">
        <f t="shared" ca="1" si="125"/>
        <v>4.7277759922571203E-2</v>
      </c>
      <c r="I118" s="3">
        <f t="shared" ca="1" si="125"/>
        <v>4.4005318830442341E-2</v>
      </c>
      <c r="J118" s="3">
        <f t="shared" ca="1" si="125"/>
        <v>5.1011108696630517E-2</v>
      </c>
      <c r="K118" s="3">
        <f t="shared" ca="1" si="125"/>
        <v>4.6244925429034467E-2</v>
      </c>
      <c r="L118" s="3">
        <f t="shared" ca="1" si="125"/>
        <v>5.2383975971968658E-2</v>
      </c>
      <c r="M118" s="3">
        <f t="shared" ca="1" si="125"/>
        <v>4.7453256663753628E-2</v>
      </c>
      <c r="N118" s="3">
        <f t="shared" ca="1" si="125"/>
        <v>5.4308686583069553E-2</v>
      </c>
      <c r="O118" s="3">
        <f t="shared" ca="1" si="125"/>
        <v>4.9579893309022641E-2</v>
      </c>
      <c r="P118" s="3">
        <f t="shared" ca="1" si="125"/>
        <v>5.6181477688766829E-2</v>
      </c>
      <c r="Q118" s="3">
        <f t="shared" ca="1" si="125"/>
        <v>5.1066321530640446E-2</v>
      </c>
      <c r="R118" s="3">
        <f t="shared" ca="1" si="125"/>
        <v>5.9350403069878974E-2</v>
      </c>
      <c r="S118" s="3">
        <f t="shared" ca="1" si="125"/>
        <v>5.2575560272319764E-2</v>
      </c>
      <c r="T118" s="3">
        <f t="shared" ca="1" si="125"/>
        <v>6.277536717875884E-2</v>
      </c>
      <c r="U118" s="3">
        <f t="shared" ca="1" si="125"/>
        <v>5.3620598985571366E-2</v>
      </c>
      <c r="V118" s="3">
        <f t="shared" ca="1" si="125"/>
        <v>6.5020167173230226E-2</v>
      </c>
      <c r="W118" s="3">
        <f t="shared" ca="1" si="125"/>
        <v>5.6034637869438075E-2</v>
      </c>
      <c r="X118" s="3">
        <f t="shared" ca="1" si="125"/>
        <v>7.021320082479951E-2</v>
      </c>
      <c r="Y118" s="3">
        <f t="shared" ca="1" si="125"/>
        <v>6.5220442417139285E-2</v>
      </c>
      <c r="Z118" s="3">
        <f t="shared" ca="1" si="125"/>
        <v>7.9705744925759381E-2</v>
      </c>
      <c r="AA118" s="3">
        <f t="shared" ca="1" si="125"/>
        <v>7.2437354915034391E-2</v>
      </c>
      <c r="AB118" s="3">
        <f t="shared" ref="AB118" ca="1" si="136">MIN(0.99,AB61+$O$3)</f>
        <v>8.6098521658857369E-2</v>
      </c>
      <c r="AC118" s="3">
        <f t="shared" ca="1" si="129"/>
        <v>7.6763808687455026E-2</v>
      </c>
      <c r="AD118" s="3">
        <f t="shared" ca="1" si="129"/>
        <v>9.8115075495291054E-2</v>
      </c>
      <c r="AE118" s="3">
        <f t="shared" ca="1" si="129"/>
        <v>8.4076532847619859E-2</v>
      </c>
      <c r="AF118" s="3">
        <f t="shared" ca="1" si="129"/>
        <v>0.10546052924359697</v>
      </c>
      <c r="AG118" s="3">
        <f t="shared" ca="1" si="129"/>
        <v>9.0197966552727549E-2</v>
      </c>
      <c r="AH118" s="3">
        <f t="shared" ca="1" si="129"/>
        <v>0.13671931802701132</v>
      </c>
      <c r="AI118" s="3">
        <f t="shared" ca="1" si="129"/>
        <v>0.12423699306830482</v>
      </c>
      <c r="AJ118" s="3">
        <f t="shared" ca="1" si="129"/>
        <v>0.18422507544920605</v>
      </c>
    </row>
    <row r="119" spans="1:36" x14ac:dyDescent="0.35">
      <c r="A119" t="s">
        <v>77</v>
      </c>
      <c r="B119" t="s">
        <v>62</v>
      </c>
      <c r="C119" s="4" t="s">
        <v>75</v>
      </c>
      <c r="D119" s="3">
        <f t="shared" ca="1" si="77"/>
        <v>4.2897349017169392E-2</v>
      </c>
      <c r="E119" s="3">
        <f t="shared" ca="1" si="125"/>
        <v>4.2993036118353145E-2</v>
      </c>
      <c r="F119" s="3">
        <f t="shared" ca="1" si="125"/>
        <v>4.5988557339824834E-2</v>
      </c>
      <c r="G119" s="3">
        <f t="shared" ref="G119:AB119" ca="1" si="137">MIN(0.99,G62+$O$3)</f>
        <v>4.3561854570311129E-2</v>
      </c>
      <c r="H119" s="3">
        <f t="shared" ca="1" si="137"/>
        <v>4.8214599472825248E-2</v>
      </c>
      <c r="I119" s="3">
        <f t="shared" ca="1" si="137"/>
        <v>4.4931157587923071E-2</v>
      </c>
      <c r="J119" s="3">
        <f t="shared" ca="1" si="137"/>
        <v>5.2007776111423099E-2</v>
      </c>
      <c r="K119" s="3">
        <f t="shared" ca="1" si="137"/>
        <v>4.7153353763690106E-2</v>
      </c>
      <c r="L119" s="3">
        <f t="shared" ca="1" si="137"/>
        <v>5.33793927553829E-2</v>
      </c>
      <c r="M119" s="3">
        <f t="shared" ca="1" si="137"/>
        <v>4.840780369791229E-2</v>
      </c>
      <c r="N119" s="3">
        <f t="shared" ca="1" si="137"/>
        <v>5.5275861455660547E-2</v>
      </c>
      <c r="O119" s="3">
        <f t="shared" ca="1" si="137"/>
        <v>5.0518188071535325E-2</v>
      </c>
      <c r="P119" s="3">
        <f t="shared" ca="1" si="137"/>
        <v>5.7157032819406206E-2</v>
      </c>
      <c r="Q119" s="3">
        <f t="shared" ca="1" si="137"/>
        <v>5.1986113440450621E-2</v>
      </c>
      <c r="R119" s="3">
        <f t="shared" ca="1" si="137"/>
        <v>6.0260511586442835E-2</v>
      </c>
      <c r="S119" s="3">
        <f t="shared" ca="1" si="137"/>
        <v>5.350237987810795E-2</v>
      </c>
      <c r="T119" s="3">
        <f t="shared" ca="1" si="137"/>
        <v>6.3720510047526935E-2</v>
      </c>
      <c r="U119" s="3">
        <f t="shared" ca="1" si="137"/>
        <v>5.4562212148225472E-2</v>
      </c>
      <c r="V119" s="3">
        <f t="shared" ca="1" si="137"/>
        <v>6.5952679457509059E-2</v>
      </c>
      <c r="W119" s="3">
        <f t="shared" ca="1" si="137"/>
        <v>5.7023179116663145E-2</v>
      </c>
      <c r="X119" s="3">
        <f t="shared" ca="1" si="137"/>
        <v>7.1167818110563566E-2</v>
      </c>
      <c r="Y119" s="3">
        <f t="shared" ca="1" si="137"/>
        <v>6.6199603190695511E-2</v>
      </c>
      <c r="Z119" s="3">
        <f t="shared" ca="1" si="137"/>
        <v>8.0607178509014887E-2</v>
      </c>
      <c r="AA119" s="3">
        <f t="shared" ca="1" si="137"/>
        <v>7.33453729260575E-2</v>
      </c>
      <c r="AB119" s="3">
        <f t="shared" ca="1" si="137"/>
        <v>8.7071263165112184E-2</v>
      </c>
      <c r="AC119" s="3">
        <f t="shared" ca="1" si="129"/>
        <v>7.7690535688989648E-2</v>
      </c>
      <c r="AD119" s="3">
        <f t="shared" ca="1" si="129"/>
        <v>9.9065978168155266E-2</v>
      </c>
      <c r="AE119" s="3">
        <f t="shared" ca="1" si="129"/>
        <v>8.5021728333656288E-2</v>
      </c>
      <c r="AF119" s="3">
        <f t="shared" ca="1" si="129"/>
        <v>0.10645103579581541</v>
      </c>
      <c r="AG119" s="3">
        <f t="shared" ca="1" si="129"/>
        <v>9.1109674479155106E-2</v>
      </c>
      <c r="AH119" s="3">
        <f t="shared" ca="1" si="129"/>
        <v>0.13762679196357308</v>
      </c>
      <c r="AI119" s="3">
        <f t="shared" ca="1" si="129"/>
        <v>0.12519831791838859</v>
      </c>
      <c r="AJ119" s="3">
        <f t="shared" ca="1" si="129"/>
        <v>0.18514245105247473</v>
      </c>
    </row>
  </sheetData>
  <phoneticPr fontId="3" type="noConversion"/>
  <dataValidations disablePrompts="1" count="2">
    <dataValidation type="list" allowBlank="1" showInputMessage="1" showErrorMessage="1" sqref="B120:B1048576" xr:uid="{3AD7662D-2C4E-4620-8B9C-64E8DA354390}">
      <mc:AlternateContent xmlns:x12ac="http://schemas.microsoft.com/office/spreadsheetml/2011/1/ac" xmlns:mc="http://schemas.openxmlformats.org/markup-compatibility/2006">
        <mc:Choice Requires="x12ac">
          <x12ac:list>"CENTRAL, STRESS, OPTIMISTE"</x12ac:list>
        </mc:Choice>
        <mc:Fallback>
          <formula1>"CENTRAL, STRESS, OPTIMISTE"</formula1>
        </mc:Fallback>
      </mc:AlternateContent>
    </dataValidation>
    <dataValidation type="list" allowBlank="1" showInputMessage="1" showErrorMessage="1" sqref="B25:B62 B82:B119" xr:uid="{E77E6BF9-14A8-417C-8DE7-4CD8A5CFA708}">
      <formula1>"CENTRAL,STRESS,OPTIMISTE"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3996-874F-4877-B17D-0F95183BBD6E}">
  <dimension ref="A1"/>
  <sheetViews>
    <sheetView workbookViewId="0">
      <selection activeCell="F12" sqref="F1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C3C9-3F89-4887-98DE-1F48CB4DF3F3}">
  <sheetPr>
    <tabColor theme="4"/>
  </sheetPr>
  <dimension ref="A5:AJ13"/>
  <sheetViews>
    <sheetView zoomScale="70" zoomScaleNormal="70" workbookViewId="0">
      <selection activeCell="C14" sqref="C14"/>
    </sheetView>
  </sheetViews>
  <sheetFormatPr baseColWidth="10" defaultRowHeight="14.5" x14ac:dyDescent="0.35"/>
  <cols>
    <col min="1" max="1" width="18" bestFit="1" customWidth="1"/>
    <col min="3" max="3" width="22.6328125" bestFit="1" customWidth="1"/>
  </cols>
  <sheetData>
    <row r="5" spans="1:36" s="2" customFormat="1" x14ac:dyDescent="0.35">
      <c r="A5" s="2" t="s">
        <v>207</v>
      </c>
      <c r="B5" s="2" t="s">
        <v>26</v>
      </c>
      <c r="C5" s="2" t="s">
        <v>79</v>
      </c>
      <c r="D5" s="2" t="s">
        <v>174</v>
      </c>
      <c r="E5" s="2" t="s">
        <v>175</v>
      </c>
      <c r="F5" s="2" t="s">
        <v>176</v>
      </c>
      <c r="G5" s="2" t="s">
        <v>177</v>
      </c>
      <c r="H5" s="2" t="s">
        <v>178</v>
      </c>
      <c r="I5" s="2" t="s">
        <v>179</v>
      </c>
      <c r="J5" s="2" t="s">
        <v>180</v>
      </c>
      <c r="K5" s="2" t="s">
        <v>181</v>
      </c>
      <c r="L5" s="2" t="s">
        <v>182</v>
      </c>
      <c r="M5" s="2" t="s">
        <v>183</v>
      </c>
      <c r="N5" s="2" t="s">
        <v>184</v>
      </c>
      <c r="O5" s="2" t="s">
        <v>185</v>
      </c>
      <c r="P5" s="2" t="s">
        <v>186</v>
      </c>
      <c r="Q5" s="2" t="s">
        <v>187</v>
      </c>
      <c r="R5" s="2" t="s">
        <v>188</v>
      </c>
      <c r="S5" s="2" t="s">
        <v>189</v>
      </c>
      <c r="T5" s="2" t="s">
        <v>190</v>
      </c>
      <c r="U5" s="2" t="s">
        <v>191</v>
      </c>
      <c r="V5" s="2" t="s">
        <v>192</v>
      </c>
      <c r="W5" s="2" t="s">
        <v>193</v>
      </c>
      <c r="X5" s="2" t="s">
        <v>194</v>
      </c>
      <c r="Y5" s="2" t="s">
        <v>195</v>
      </c>
      <c r="Z5" s="2" t="s">
        <v>196</v>
      </c>
      <c r="AA5" s="2" t="s">
        <v>197</v>
      </c>
      <c r="AB5" s="2" t="s">
        <v>198</v>
      </c>
      <c r="AC5" s="2" t="s">
        <v>199</v>
      </c>
      <c r="AD5" s="2" t="s">
        <v>200</v>
      </c>
      <c r="AE5" s="2" t="s">
        <v>201</v>
      </c>
      <c r="AF5" s="2" t="s">
        <v>202</v>
      </c>
      <c r="AG5" s="2" t="s">
        <v>203</v>
      </c>
      <c r="AH5" s="2" t="s">
        <v>204</v>
      </c>
      <c r="AI5" s="2" t="s">
        <v>205</v>
      </c>
      <c r="AJ5" s="2" t="s">
        <v>206</v>
      </c>
    </row>
    <row r="6" spans="1:36" x14ac:dyDescent="0.35">
      <c r="A6" t="s">
        <v>80</v>
      </c>
      <c r="B6" t="s">
        <v>76</v>
      </c>
      <c r="C6" s="5">
        <v>0.43</v>
      </c>
    </row>
    <row r="7" spans="1:36" x14ac:dyDescent="0.35">
      <c r="A7" t="s">
        <v>80</v>
      </c>
      <c r="B7" t="s">
        <v>61</v>
      </c>
      <c r="C7" s="5">
        <v>0.45</v>
      </c>
    </row>
    <row r="8" spans="1:36" x14ac:dyDescent="0.35">
      <c r="A8" t="s">
        <v>80</v>
      </c>
      <c r="B8" t="s">
        <v>62</v>
      </c>
      <c r="C8" s="5">
        <v>0.46</v>
      </c>
    </row>
    <row r="9" spans="1:36" x14ac:dyDescent="0.35">
      <c r="A9" t="s">
        <v>81</v>
      </c>
      <c r="B9" t="s">
        <v>76</v>
      </c>
      <c r="D9" s="5">
        <v>0.33</v>
      </c>
      <c r="E9" s="5">
        <f>D9+0.012</f>
        <v>0.34200000000000003</v>
      </c>
      <c r="F9" s="5">
        <f t="shared" ref="F9:L9" si="0">E9+0.01</f>
        <v>0.35200000000000004</v>
      </c>
      <c r="G9" s="5">
        <f t="shared" si="0"/>
        <v>0.36200000000000004</v>
      </c>
      <c r="H9" s="5">
        <f t="shared" si="0"/>
        <v>0.37200000000000005</v>
      </c>
      <c r="I9" s="5">
        <f t="shared" si="0"/>
        <v>0.38200000000000006</v>
      </c>
      <c r="J9" s="5">
        <f t="shared" si="0"/>
        <v>0.39200000000000007</v>
      </c>
      <c r="K9" s="5">
        <f t="shared" si="0"/>
        <v>0.40200000000000008</v>
      </c>
      <c r="L9" s="5">
        <f t="shared" si="0"/>
        <v>0.41200000000000009</v>
      </c>
      <c r="M9" s="6">
        <v>0.36000000000000004</v>
      </c>
      <c r="N9" s="6">
        <v>0.36000000000000004</v>
      </c>
      <c r="O9" s="6">
        <v>0.36000000000000004</v>
      </c>
      <c r="P9" s="6">
        <v>0.36000000000000004</v>
      </c>
      <c r="Q9" s="6">
        <v>0.36000000000000004</v>
      </c>
      <c r="R9" s="6">
        <v>0.36000000000000004</v>
      </c>
      <c r="S9" s="6">
        <v>0.36000000000000004</v>
      </c>
      <c r="T9" s="6">
        <v>0.36000000000000004</v>
      </c>
      <c r="U9" s="6">
        <v>0.36000000000000004</v>
      </c>
      <c r="V9" s="6">
        <v>0.36000000000000004</v>
      </c>
      <c r="W9" s="6">
        <v>0.36000000000000004</v>
      </c>
      <c r="X9" s="6">
        <v>0.36000000000000004</v>
      </c>
      <c r="Y9" s="6">
        <v>0.36000000000000004</v>
      </c>
      <c r="Z9" s="6">
        <v>0.36000000000000004</v>
      </c>
      <c r="AA9" s="6">
        <v>0.36000000000000004</v>
      </c>
      <c r="AB9" s="6">
        <v>0.36000000000000004</v>
      </c>
      <c r="AC9" s="6">
        <v>0.36000000000000004</v>
      </c>
      <c r="AD9" s="6">
        <v>0.36000000000000004</v>
      </c>
      <c r="AE9" s="6">
        <v>0.36000000000000004</v>
      </c>
      <c r="AF9" s="6">
        <v>0.36000000000000004</v>
      </c>
      <c r="AG9" s="6">
        <v>0.36000000000000004</v>
      </c>
      <c r="AH9" s="6">
        <v>0.36000000000000004</v>
      </c>
      <c r="AI9" s="6">
        <v>0.36000000000000004</v>
      </c>
      <c r="AJ9" s="6">
        <v>0.36000000000000004</v>
      </c>
    </row>
    <row r="10" spans="1:36" x14ac:dyDescent="0.35">
      <c r="A10" t="s">
        <v>81</v>
      </c>
      <c r="B10" t="s">
        <v>61</v>
      </c>
      <c r="D10" s="5">
        <f>D9+0.02</f>
        <v>0.35000000000000003</v>
      </c>
      <c r="E10" s="5">
        <f t="shared" ref="E10:E11" si="1">D10+0.012</f>
        <v>0.36200000000000004</v>
      </c>
      <c r="F10" s="5">
        <f t="shared" ref="F10:L10" si="2">E10+0.01</f>
        <v>0.37200000000000005</v>
      </c>
      <c r="G10" s="5">
        <f t="shared" si="2"/>
        <v>0.38200000000000006</v>
      </c>
      <c r="H10" s="5">
        <f t="shared" si="2"/>
        <v>0.39200000000000007</v>
      </c>
      <c r="I10" s="5">
        <f t="shared" si="2"/>
        <v>0.40200000000000008</v>
      </c>
      <c r="J10" s="5">
        <f t="shared" si="2"/>
        <v>0.41200000000000009</v>
      </c>
      <c r="K10" s="5">
        <f t="shared" si="2"/>
        <v>0.4220000000000001</v>
      </c>
      <c r="L10" s="5">
        <f t="shared" si="2"/>
        <v>0.43200000000000011</v>
      </c>
      <c r="M10" s="6">
        <v>0.38000000000000006</v>
      </c>
      <c r="N10" s="6">
        <v>0.38000000000000006</v>
      </c>
      <c r="O10" s="6">
        <v>0.38000000000000006</v>
      </c>
      <c r="P10" s="6">
        <v>0.38000000000000006</v>
      </c>
      <c r="Q10" s="6">
        <v>0.38000000000000006</v>
      </c>
      <c r="R10" s="6">
        <v>0.38000000000000006</v>
      </c>
      <c r="S10" s="6">
        <v>0.38000000000000006</v>
      </c>
      <c r="T10" s="6">
        <v>0.38000000000000006</v>
      </c>
      <c r="U10" s="6">
        <v>0.38000000000000006</v>
      </c>
      <c r="V10" s="6">
        <v>0.38000000000000006</v>
      </c>
      <c r="W10" s="6">
        <v>0.38000000000000006</v>
      </c>
      <c r="X10" s="6">
        <v>0.38000000000000006</v>
      </c>
      <c r="Y10" s="6">
        <v>0.38000000000000006</v>
      </c>
      <c r="Z10" s="6">
        <v>0.38000000000000006</v>
      </c>
      <c r="AA10" s="6">
        <v>0.38000000000000006</v>
      </c>
      <c r="AB10" s="6">
        <v>0.38000000000000006</v>
      </c>
      <c r="AC10" s="6">
        <v>0.38000000000000006</v>
      </c>
      <c r="AD10" s="6">
        <v>0.38000000000000006</v>
      </c>
      <c r="AE10" s="6">
        <v>0.38000000000000006</v>
      </c>
      <c r="AF10" s="6">
        <v>0.38000000000000006</v>
      </c>
      <c r="AG10" s="6">
        <v>0.38000000000000006</v>
      </c>
      <c r="AH10" s="6">
        <v>0.38000000000000006</v>
      </c>
      <c r="AI10" s="6">
        <v>0.38000000000000006</v>
      </c>
      <c r="AJ10" s="6">
        <v>0.38000000000000006</v>
      </c>
    </row>
    <row r="11" spans="1:36" x14ac:dyDescent="0.35">
      <c r="A11" t="s">
        <v>81</v>
      </c>
      <c r="B11" t="s">
        <v>62</v>
      </c>
      <c r="D11" s="5">
        <f>D10+0.02</f>
        <v>0.37000000000000005</v>
      </c>
      <c r="E11" s="5">
        <f t="shared" si="1"/>
        <v>0.38200000000000006</v>
      </c>
      <c r="F11" s="5">
        <f t="shared" ref="F11:L11" si="3">E11+0.01</f>
        <v>0.39200000000000007</v>
      </c>
      <c r="G11" s="5">
        <f t="shared" si="3"/>
        <v>0.40200000000000008</v>
      </c>
      <c r="H11" s="5">
        <f t="shared" si="3"/>
        <v>0.41200000000000009</v>
      </c>
      <c r="I11" s="5">
        <f t="shared" si="3"/>
        <v>0.4220000000000001</v>
      </c>
      <c r="J11" s="5">
        <f t="shared" si="3"/>
        <v>0.43200000000000011</v>
      </c>
      <c r="K11" s="5">
        <f t="shared" si="3"/>
        <v>0.44200000000000012</v>
      </c>
      <c r="L11" s="5">
        <f t="shared" si="3"/>
        <v>0.45200000000000012</v>
      </c>
      <c r="M11" s="6">
        <v>0.40000000000000008</v>
      </c>
      <c r="N11" s="6">
        <v>0.40000000000000008</v>
      </c>
      <c r="O11" s="6">
        <v>0.40000000000000008</v>
      </c>
      <c r="P11" s="6">
        <v>0.40000000000000008</v>
      </c>
      <c r="Q11" s="6">
        <v>0.40000000000000008</v>
      </c>
      <c r="R11" s="6">
        <v>0.40000000000000008</v>
      </c>
      <c r="S11" s="6">
        <v>0.40000000000000008</v>
      </c>
      <c r="T11" s="6">
        <v>0.40000000000000008</v>
      </c>
      <c r="U11" s="6">
        <v>0.40000000000000008</v>
      </c>
      <c r="V11" s="6">
        <v>0.40000000000000008</v>
      </c>
      <c r="W11" s="6">
        <v>0.40000000000000008</v>
      </c>
      <c r="X11" s="6">
        <v>0.40000000000000008</v>
      </c>
      <c r="Y11" s="6">
        <v>0.40000000000000008</v>
      </c>
      <c r="Z11" s="6">
        <v>0.40000000000000008</v>
      </c>
      <c r="AA11" s="6">
        <v>0.40000000000000008</v>
      </c>
      <c r="AB11" s="6">
        <v>0.40000000000000008</v>
      </c>
      <c r="AC11" s="6">
        <v>0.40000000000000008</v>
      </c>
      <c r="AD11" s="6">
        <v>0.40000000000000008</v>
      </c>
      <c r="AE11" s="6">
        <v>0.40000000000000008</v>
      </c>
      <c r="AF11" s="6">
        <v>0.40000000000000008</v>
      </c>
      <c r="AG11" s="6">
        <v>0.40000000000000008</v>
      </c>
      <c r="AH11" s="6">
        <v>0.40000000000000008</v>
      </c>
      <c r="AI11" s="6">
        <v>0.40000000000000008</v>
      </c>
      <c r="AJ11" s="6">
        <v>0.40000000000000008</v>
      </c>
    </row>
    <row r="12" spans="1:36" x14ac:dyDescent="0.35">
      <c r="A12" t="s">
        <v>216</v>
      </c>
      <c r="B12" t="s">
        <v>61</v>
      </c>
      <c r="C12" s="5">
        <v>0.4</v>
      </c>
    </row>
    <row r="13" spans="1:36" x14ac:dyDescent="0.35">
      <c r="A13" t="s">
        <v>217</v>
      </c>
      <c r="B13" t="s">
        <v>61</v>
      </c>
      <c r="C13" s="5">
        <v>0.4</v>
      </c>
    </row>
  </sheetData>
  <phoneticPr fontId="3" type="noConversion"/>
  <dataValidations disablePrompts="1" count="1">
    <dataValidation type="list" allowBlank="1" showInputMessage="1" showErrorMessage="1" sqref="B7:B8 B10:B11" xr:uid="{BFCBCF19-90FD-4691-AB1E-CE37FBE69399}">
      <formula1>"CENTRAL,STRESS,OPTIMISTE"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04D4-A3B9-4E98-B784-F6887AB075C1}">
  <dimension ref="A5:AK34"/>
  <sheetViews>
    <sheetView topLeftCell="A9" workbookViewId="0">
      <selection activeCell="F38" sqref="F38"/>
    </sheetView>
  </sheetViews>
  <sheetFormatPr baseColWidth="10" defaultRowHeight="14.5" x14ac:dyDescent="0.35"/>
  <cols>
    <col min="2" max="2" width="13.7265625" bestFit="1" customWidth="1"/>
    <col min="4" max="4" width="22.81640625" bestFit="1" customWidth="1"/>
  </cols>
  <sheetData>
    <row r="5" spans="1:37" s="2" customFormat="1" x14ac:dyDescent="0.35">
      <c r="A5" s="2" t="s">
        <v>208</v>
      </c>
      <c r="B5" s="2" t="s">
        <v>209</v>
      </c>
      <c r="C5" s="2" t="s">
        <v>26</v>
      </c>
      <c r="D5" s="2" t="s">
        <v>79</v>
      </c>
      <c r="E5" s="2" t="s">
        <v>174</v>
      </c>
      <c r="F5" s="2" t="s">
        <v>175</v>
      </c>
      <c r="G5" s="2" t="s">
        <v>176</v>
      </c>
      <c r="H5" s="2" t="s">
        <v>177</v>
      </c>
      <c r="I5" s="2" t="s">
        <v>178</v>
      </c>
      <c r="J5" s="2" t="s">
        <v>179</v>
      </c>
      <c r="K5" s="2" t="s">
        <v>180</v>
      </c>
      <c r="L5" s="2" t="s">
        <v>181</v>
      </c>
      <c r="M5" s="2" t="s">
        <v>182</v>
      </c>
      <c r="N5" s="2" t="s">
        <v>183</v>
      </c>
      <c r="O5" s="2" t="s">
        <v>184</v>
      </c>
      <c r="P5" s="2" t="s">
        <v>185</v>
      </c>
      <c r="Q5" s="2" t="s">
        <v>186</v>
      </c>
      <c r="R5" s="2" t="s">
        <v>187</v>
      </c>
      <c r="S5" s="2" t="s">
        <v>188</v>
      </c>
      <c r="T5" s="2" t="s">
        <v>189</v>
      </c>
      <c r="U5" s="2" t="s">
        <v>190</v>
      </c>
      <c r="V5" s="2" t="s">
        <v>191</v>
      </c>
      <c r="W5" s="2" t="s">
        <v>192</v>
      </c>
      <c r="X5" s="2" t="s">
        <v>193</v>
      </c>
      <c r="Y5" s="2" t="s">
        <v>194</v>
      </c>
      <c r="Z5" s="2" t="s">
        <v>195</v>
      </c>
      <c r="AA5" s="2" t="s">
        <v>196</v>
      </c>
      <c r="AB5" s="2" t="s">
        <v>197</v>
      </c>
      <c r="AC5" s="2" t="s">
        <v>198</v>
      </c>
      <c r="AD5" s="2" t="s">
        <v>199</v>
      </c>
      <c r="AE5" s="2" t="s">
        <v>200</v>
      </c>
      <c r="AF5" s="2" t="s">
        <v>201</v>
      </c>
      <c r="AG5" s="2" t="s">
        <v>202</v>
      </c>
      <c r="AH5" s="2" t="s">
        <v>203</v>
      </c>
      <c r="AI5" s="2" t="s">
        <v>204</v>
      </c>
      <c r="AJ5" s="2" t="s">
        <v>205</v>
      </c>
      <c r="AK5" s="2" t="s">
        <v>206</v>
      </c>
    </row>
    <row r="6" spans="1:37" x14ac:dyDescent="0.35">
      <c r="A6" t="s">
        <v>210</v>
      </c>
      <c r="B6">
        <v>3</v>
      </c>
      <c r="D6" s="5"/>
      <c r="E6" s="5">
        <v>0.33</v>
      </c>
      <c r="F6" s="5">
        <f>E6+0.012</f>
        <v>0.34200000000000003</v>
      </c>
      <c r="G6" s="5">
        <f t="shared" ref="G6:M8" si="0">F6+0.01</f>
        <v>0.35200000000000004</v>
      </c>
      <c r="H6" s="5">
        <f t="shared" si="0"/>
        <v>0.36200000000000004</v>
      </c>
      <c r="I6" s="5">
        <f t="shared" si="0"/>
        <v>0.37200000000000005</v>
      </c>
      <c r="J6" s="5">
        <f t="shared" si="0"/>
        <v>0.38200000000000006</v>
      </c>
      <c r="K6" s="5">
        <f t="shared" si="0"/>
        <v>0.39200000000000007</v>
      </c>
      <c r="L6" s="5">
        <f t="shared" si="0"/>
        <v>0.40200000000000008</v>
      </c>
      <c r="M6" s="5">
        <f t="shared" si="0"/>
        <v>0.41200000000000009</v>
      </c>
      <c r="N6" s="6">
        <v>0.36000000000000004</v>
      </c>
      <c r="O6" s="6">
        <v>0.36000000000000004</v>
      </c>
      <c r="P6" s="6">
        <v>0.36000000000000004</v>
      </c>
      <c r="Q6" s="6">
        <v>0.36000000000000004</v>
      </c>
      <c r="R6" s="6">
        <v>0.36000000000000004</v>
      </c>
      <c r="S6" s="6">
        <v>0.36000000000000004</v>
      </c>
      <c r="T6" s="6">
        <v>0.36000000000000004</v>
      </c>
      <c r="U6" s="6">
        <v>0.36000000000000004</v>
      </c>
      <c r="V6" s="6">
        <v>0.36000000000000004</v>
      </c>
      <c r="W6" s="6">
        <v>0.36000000000000004</v>
      </c>
      <c r="X6" s="6">
        <v>0.36000000000000004</v>
      </c>
      <c r="Y6" s="6">
        <v>0.36000000000000004</v>
      </c>
      <c r="Z6" s="6">
        <v>0.36000000000000004</v>
      </c>
      <c r="AA6" s="6">
        <v>0.36000000000000004</v>
      </c>
      <c r="AB6" s="6">
        <v>0.36000000000000004</v>
      </c>
      <c r="AC6" s="6">
        <v>0.36000000000000004</v>
      </c>
      <c r="AD6" s="6">
        <v>0.36000000000000004</v>
      </c>
      <c r="AE6" s="6">
        <v>0.36000000000000004</v>
      </c>
      <c r="AF6" s="6">
        <v>0.36000000000000004</v>
      </c>
      <c r="AG6" s="6">
        <v>0.36000000000000004</v>
      </c>
      <c r="AH6" s="6">
        <v>0.36000000000000004</v>
      </c>
      <c r="AI6" s="6">
        <v>0.36000000000000004</v>
      </c>
      <c r="AJ6" s="6">
        <v>0.36000000000000004</v>
      </c>
      <c r="AK6" s="6">
        <v>0.36000000000000004</v>
      </c>
    </row>
    <row r="7" spans="1:37" x14ac:dyDescent="0.35">
      <c r="A7" t="s">
        <v>210</v>
      </c>
      <c r="B7">
        <v>6</v>
      </c>
      <c r="D7" s="5"/>
      <c r="E7" s="5">
        <f>E6+0.02</f>
        <v>0.35000000000000003</v>
      </c>
      <c r="F7" s="5">
        <f t="shared" ref="F7:F8" si="1">E7+0.012</f>
        <v>0.36200000000000004</v>
      </c>
      <c r="G7" s="5">
        <f t="shared" si="0"/>
        <v>0.37200000000000005</v>
      </c>
      <c r="H7" s="5">
        <f t="shared" si="0"/>
        <v>0.38200000000000006</v>
      </c>
      <c r="I7" s="5">
        <f t="shared" si="0"/>
        <v>0.39200000000000007</v>
      </c>
      <c r="J7" s="5">
        <f t="shared" si="0"/>
        <v>0.40200000000000008</v>
      </c>
      <c r="K7" s="5">
        <f t="shared" si="0"/>
        <v>0.41200000000000009</v>
      </c>
      <c r="L7" s="5">
        <f t="shared" si="0"/>
        <v>0.4220000000000001</v>
      </c>
      <c r="M7" s="5">
        <f t="shared" si="0"/>
        <v>0.43200000000000011</v>
      </c>
      <c r="N7" s="6">
        <v>0.38000000000000006</v>
      </c>
      <c r="O7" s="6">
        <v>0.38000000000000006</v>
      </c>
      <c r="P7" s="6">
        <v>0.38000000000000006</v>
      </c>
      <c r="Q7" s="6">
        <v>0.38000000000000006</v>
      </c>
      <c r="R7" s="6">
        <v>0.38000000000000006</v>
      </c>
      <c r="S7" s="6">
        <v>0.38000000000000006</v>
      </c>
      <c r="T7" s="6">
        <v>0.38000000000000006</v>
      </c>
      <c r="U7" s="6">
        <v>0.38000000000000006</v>
      </c>
      <c r="V7" s="6">
        <v>0.38000000000000006</v>
      </c>
      <c r="W7" s="6">
        <v>0.38000000000000006</v>
      </c>
      <c r="X7" s="6">
        <v>0.38000000000000006</v>
      </c>
      <c r="Y7" s="6">
        <v>0.38000000000000006</v>
      </c>
      <c r="Z7" s="6">
        <v>0.38000000000000006</v>
      </c>
      <c r="AA7" s="6">
        <v>0.38000000000000006</v>
      </c>
      <c r="AB7" s="6">
        <v>0.38000000000000006</v>
      </c>
      <c r="AC7" s="6">
        <v>0.38000000000000006</v>
      </c>
      <c r="AD7" s="6">
        <v>0.38000000000000006</v>
      </c>
      <c r="AE7" s="6">
        <v>0.38000000000000006</v>
      </c>
      <c r="AF7" s="6">
        <v>0.38000000000000006</v>
      </c>
      <c r="AG7" s="6">
        <v>0.38000000000000006</v>
      </c>
      <c r="AH7" s="6">
        <v>0.38000000000000006</v>
      </c>
      <c r="AI7" s="6">
        <v>0.38000000000000006</v>
      </c>
      <c r="AJ7" s="6">
        <v>0.38000000000000006</v>
      </c>
      <c r="AK7" s="6">
        <v>0.38000000000000006</v>
      </c>
    </row>
    <row r="8" spans="1:37" x14ac:dyDescent="0.35">
      <c r="A8" t="s">
        <v>210</v>
      </c>
      <c r="B8">
        <v>9</v>
      </c>
      <c r="D8" s="5"/>
      <c r="E8" s="5">
        <f>E7+0.02</f>
        <v>0.37000000000000005</v>
      </c>
      <c r="F8" s="5">
        <f t="shared" si="1"/>
        <v>0.38200000000000006</v>
      </c>
      <c r="G8" s="5">
        <f t="shared" si="0"/>
        <v>0.39200000000000007</v>
      </c>
      <c r="H8" s="5">
        <f t="shared" si="0"/>
        <v>0.40200000000000008</v>
      </c>
      <c r="I8" s="5">
        <f t="shared" si="0"/>
        <v>0.41200000000000009</v>
      </c>
      <c r="J8" s="5">
        <f t="shared" si="0"/>
        <v>0.4220000000000001</v>
      </c>
      <c r="K8" s="5">
        <f t="shared" si="0"/>
        <v>0.43200000000000011</v>
      </c>
      <c r="L8" s="5">
        <f t="shared" si="0"/>
        <v>0.44200000000000012</v>
      </c>
      <c r="M8" s="5">
        <f t="shared" si="0"/>
        <v>0.45200000000000012</v>
      </c>
      <c r="N8" s="6">
        <v>0.40000000000000008</v>
      </c>
      <c r="O8" s="6">
        <v>0.40000000000000008</v>
      </c>
      <c r="P8" s="6">
        <v>0.40000000000000008</v>
      </c>
      <c r="Q8" s="6">
        <v>0.40000000000000008</v>
      </c>
      <c r="R8" s="6">
        <v>0.40000000000000008</v>
      </c>
      <c r="S8" s="6">
        <v>0.40000000000000008</v>
      </c>
      <c r="T8" s="6">
        <v>0.40000000000000008</v>
      </c>
      <c r="U8" s="6">
        <v>0.40000000000000008</v>
      </c>
      <c r="V8" s="6">
        <v>0.40000000000000008</v>
      </c>
      <c r="W8" s="6">
        <v>0.40000000000000008</v>
      </c>
      <c r="X8" s="6">
        <v>0.40000000000000008</v>
      </c>
      <c r="Y8" s="6">
        <v>0.40000000000000008</v>
      </c>
      <c r="Z8" s="6">
        <v>0.40000000000000008</v>
      </c>
      <c r="AA8" s="6">
        <v>0.40000000000000008</v>
      </c>
      <c r="AB8" s="6">
        <v>0.40000000000000008</v>
      </c>
      <c r="AC8" s="6">
        <v>0.40000000000000008</v>
      </c>
      <c r="AD8" s="6">
        <v>0.40000000000000008</v>
      </c>
      <c r="AE8" s="6">
        <v>0.40000000000000008</v>
      </c>
      <c r="AF8" s="6">
        <v>0.40000000000000008</v>
      </c>
      <c r="AG8" s="6">
        <v>0.40000000000000008</v>
      </c>
      <c r="AH8" s="6">
        <v>0.40000000000000008</v>
      </c>
      <c r="AI8" s="6">
        <v>0.40000000000000008</v>
      </c>
      <c r="AJ8" s="6">
        <v>0.40000000000000008</v>
      </c>
      <c r="AK8" s="6">
        <v>0.40000000000000008</v>
      </c>
    </row>
    <row r="9" spans="1:37" x14ac:dyDescent="0.35">
      <c r="A9" t="s">
        <v>210</v>
      </c>
      <c r="B9">
        <v>12</v>
      </c>
      <c r="E9" s="5">
        <f>E8+0.02</f>
        <v>0.39000000000000007</v>
      </c>
      <c r="F9" s="5">
        <f t="shared" ref="F9:F10" si="2">E9+0.012</f>
        <v>0.40200000000000008</v>
      </c>
      <c r="G9" s="5">
        <f t="shared" ref="G9:G10" si="3">F9+0.01</f>
        <v>0.41200000000000009</v>
      </c>
      <c r="H9" s="5">
        <f t="shared" ref="H9:H10" si="4">G9+0.01</f>
        <v>0.4220000000000001</v>
      </c>
      <c r="I9" s="5">
        <f t="shared" ref="I9:I10" si="5">H9+0.01</f>
        <v>0.43200000000000011</v>
      </c>
      <c r="J9" s="5">
        <f t="shared" ref="J9:J10" si="6">I9+0.01</f>
        <v>0.44200000000000012</v>
      </c>
      <c r="K9" s="5">
        <f t="shared" ref="K9:K10" si="7">J9+0.01</f>
        <v>0.45200000000000012</v>
      </c>
      <c r="L9" s="5">
        <f t="shared" ref="L9:L10" si="8">K9+0.01</f>
        <v>0.46200000000000013</v>
      </c>
      <c r="M9" s="5">
        <f t="shared" ref="M9:M10" si="9">L9+0.01</f>
        <v>0.47200000000000014</v>
      </c>
      <c r="N9" s="6">
        <v>0.40000000000000008</v>
      </c>
      <c r="O9" s="6">
        <v>0.40000000000000008</v>
      </c>
      <c r="P9" s="6">
        <v>0.40000000000000008</v>
      </c>
      <c r="Q9" s="6">
        <v>0.40000000000000008</v>
      </c>
      <c r="R9" s="6">
        <v>0.40000000000000008</v>
      </c>
      <c r="S9" s="6">
        <v>0.40000000000000008</v>
      </c>
      <c r="T9" s="6">
        <v>0.40000000000000008</v>
      </c>
      <c r="U9" s="6">
        <v>0.40000000000000008</v>
      </c>
      <c r="V9" s="6">
        <v>0.40000000000000008</v>
      </c>
      <c r="W9" s="6">
        <v>0.40000000000000008</v>
      </c>
      <c r="X9" s="6">
        <v>0.40000000000000008</v>
      </c>
      <c r="Y9" s="6">
        <v>0.40000000000000008</v>
      </c>
      <c r="Z9" s="6">
        <v>0.40000000000000008</v>
      </c>
      <c r="AA9" s="6">
        <v>0.40000000000000008</v>
      </c>
      <c r="AB9" s="6">
        <v>0.40000000000000008</v>
      </c>
      <c r="AC9" s="6">
        <v>0.40000000000000008</v>
      </c>
      <c r="AD9" s="6">
        <v>0.40000000000000008</v>
      </c>
      <c r="AE9" s="6">
        <v>0.40000000000000008</v>
      </c>
      <c r="AF9" s="6">
        <v>0.40000000000000008</v>
      </c>
      <c r="AG9" s="6">
        <v>0.40000000000000008</v>
      </c>
      <c r="AH9" s="6">
        <v>0.40000000000000008</v>
      </c>
      <c r="AI9" s="6">
        <v>0.40000000000000008</v>
      </c>
      <c r="AJ9" s="6">
        <v>0.40000000000000008</v>
      </c>
      <c r="AK9" s="6">
        <v>0.40000000000000008</v>
      </c>
    </row>
    <row r="10" spans="1:37" x14ac:dyDescent="0.35">
      <c r="A10" t="s">
        <v>210</v>
      </c>
      <c r="B10">
        <v>15</v>
      </c>
      <c r="E10" s="5">
        <f t="shared" ref="E10:E16" si="10">E9+0.02</f>
        <v>0.41000000000000009</v>
      </c>
      <c r="F10" s="5">
        <f t="shared" si="2"/>
        <v>0.4220000000000001</v>
      </c>
      <c r="G10" s="5">
        <f t="shared" si="3"/>
        <v>0.43200000000000011</v>
      </c>
      <c r="H10" s="5">
        <f t="shared" si="4"/>
        <v>0.44200000000000012</v>
      </c>
      <c r="I10" s="5">
        <f t="shared" si="5"/>
        <v>0.45200000000000012</v>
      </c>
      <c r="J10" s="5">
        <f t="shared" si="6"/>
        <v>0.46200000000000013</v>
      </c>
      <c r="K10" s="5">
        <f t="shared" si="7"/>
        <v>0.47200000000000014</v>
      </c>
      <c r="L10" s="5">
        <f t="shared" si="8"/>
        <v>0.48200000000000015</v>
      </c>
      <c r="M10" s="5">
        <f t="shared" si="9"/>
        <v>0.49200000000000016</v>
      </c>
      <c r="N10" s="6">
        <v>0.4</v>
      </c>
      <c r="O10" s="6">
        <v>0.4</v>
      </c>
      <c r="P10" s="6">
        <v>0.4</v>
      </c>
      <c r="Q10" s="6">
        <v>0.4</v>
      </c>
      <c r="R10" s="6">
        <v>0.4</v>
      </c>
      <c r="S10" s="6">
        <v>0.4</v>
      </c>
      <c r="T10" s="6">
        <v>0.4</v>
      </c>
      <c r="U10" s="6">
        <v>0.4</v>
      </c>
      <c r="V10" s="6">
        <v>0.4</v>
      </c>
      <c r="W10" s="6">
        <v>0.4</v>
      </c>
      <c r="X10" s="6">
        <v>0.4</v>
      </c>
      <c r="Y10" s="6">
        <v>0.4</v>
      </c>
      <c r="Z10" s="6">
        <v>0.4</v>
      </c>
      <c r="AA10" s="6">
        <v>0.4</v>
      </c>
      <c r="AB10" s="6">
        <v>0.4</v>
      </c>
      <c r="AC10" s="6">
        <v>0.4</v>
      </c>
      <c r="AD10" s="6">
        <v>0.4</v>
      </c>
      <c r="AE10" s="6">
        <v>0.4</v>
      </c>
      <c r="AF10" s="6">
        <v>0.4</v>
      </c>
      <c r="AG10" s="6">
        <v>0.4</v>
      </c>
      <c r="AH10" s="6">
        <v>0.4</v>
      </c>
      <c r="AI10" s="6">
        <v>0.4</v>
      </c>
      <c r="AJ10" s="6">
        <v>0.4</v>
      </c>
      <c r="AK10" s="6">
        <v>0.4</v>
      </c>
    </row>
    <row r="11" spans="1:37" x14ac:dyDescent="0.35">
      <c r="A11" t="s">
        <v>210</v>
      </c>
      <c r="B11">
        <v>18</v>
      </c>
      <c r="E11" s="5">
        <f t="shared" si="10"/>
        <v>0.4300000000000001</v>
      </c>
      <c r="F11" s="5">
        <f t="shared" ref="F11:F19" si="11">E11+0.012</f>
        <v>0.44200000000000012</v>
      </c>
      <c r="G11" s="5">
        <f t="shared" ref="G11:G19" si="12">F11+0.01</f>
        <v>0.45200000000000012</v>
      </c>
      <c r="H11" s="5">
        <f t="shared" ref="H11:H19" si="13">G11+0.01</f>
        <v>0.46200000000000013</v>
      </c>
      <c r="I11" s="5">
        <f t="shared" ref="I11:I19" si="14">H11+0.01</f>
        <v>0.47200000000000014</v>
      </c>
      <c r="J11" s="5">
        <f t="shared" ref="J11:J19" si="15">I11+0.01</f>
        <v>0.48200000000000015</v>
      </c>
      <c r="K11" s="5">
        <f t="shared" ref="K11:K19" si="16">J11+0.01</f>
        <v>0.49200000000000016</v>
      </c>
      <c r="L11" s="5">
        <f t="shared" ref="L11:L19" si="17">K11+0.01</f>
        <v>0.50200000000000011</v>
      </c>
      <c r="M11" s="5">
        <f t="shared" ref="M11:M19" si="18">L11+0.01</f>
        <v>0.51200000000000012</v>
      </c>
      <c r="N11" s="6">
        <v>0.4</v>
      </c>
      <c r="O11" s="6">
        <v>0.4</v>
      </c>
      <c r="P11" s="6">
        <v>0.4</v>
      </c>
      <c r="Q11" s="6">
        <v>0.4</v>
      </c>
      <c r="R11" s="6">
        <v>0.4</v>
      </c>
      <c r="S11" s="6">
        <v>0.4</v>
      </c>
      <c r="T11" s="6">
        <v>0.4</v>
      </c>
      <c r="U11" s="6">
        <v>0.4</v>
      </c>
      <c r="V11" s="6">
        <v>0.4</v>
      </c>
      <c r="W11" s="6">
        <v>0.4</v>
      </c>
      <c r="X11" s="6">
        <v>0.4</v>
      </c>
      <c r="Y11" s="6">
        <v>0.4</v>
      </c>
      <c r="Z11" s="6">
        <v>0.4</v>
      </c>
      <c r="AA11" s="6">
        <v>0.4</v>
      </c>
      <c r="AB11" s="6">
        <v>0.4</v>
      </c>
      <c r="AC11" s="6">
        <v>0.4</v>
      </c>
      <c r="AD11" s="6">
        <v>0.4</v>
      </c>
      <c r="AE11" s="6">
        <v>0.4</v>
      </c>
      <c r="AF11" s="6">
        <v>0.4</v>
      </c>
      <c r="AG11" s="6">
        <v>0.4</v>
      </c>
      <c r="AH11" s="6">
        <v>0.4</v>
      </c>
      <c r="AI11" s="6">
        <v>0.4</v>
      </c>
      <c r="AJ11" s="6">
        <v>0.4</v>
      </c>
      <c r="AK11" s="6">
        <v>0.4</v>
      </c>
    </row>
    <row r="12" spans="1:37" x14ac:dyDescent="0.35">
      <c r="A12" t="s">
        <v>210</v>
      </c>
      <c r="B12">
        <v>21</v>
      </c>
      <c r="E12" s="5">
        <f t="shared" si="10"/>
        <v>0.45000000000000012</v>
      </c>
      <c r="F12" s="5">
        <f t="shared" si="11"/>
        <v>0.46200000000000013</v>
      </c>
      <c r="G12" s="5">
        <f t="shared" si="12"/>
        <v>0.47200000000000014</v>
      </c>
      <c r="H12" s="5">
        <f t="shared" si="13"/>
        <v>0.48200000000000015</v>
      </c>
      <c r="I12" s="5">
        <f t="shared" si="14"/>
        <v>0.49200000000000016</v>
      </c>
      <c r="J12" s="5">
        <f t="shared" si="15"/>
        <v>0.50200000000000011</v>
      </c>
      <c r="K12" s="5">
        <f t="shared" si="16"/>
        <v>0.51200000000000012</v>
      </c>
      <c r="L12" s="5">
        <f t="shared" si="17"/>
        <v>0.52200000000000013</v>
      </c>
      <c r="M12" s="5">
        <f t="shared" si="18"/>
        <v>0.53200000000000014</v>
      </c>
      <c r="N12" s="6">
        <v>0.4</v>
      </c>
      <c r="O12" s="6">
        <v>0.4</v>
      </c>
      <c r="P12" s="6">
        <v>0.4</v>
      </c>
      <c r="Q12" s="6">
        <v>0.4</v>
      </c>
      <c r="R12" s="6">
        <v>0.4</v>
      </c>
      <c r="S12" s="6">
        <v>0.4</v>
      </c>
      <c r="T12" s="6">
        <v>0.4</v>
      </c>
      <c r="U12" s="6">
        <v>0.4</v>
      </c>
      <c r="V12" s="6">
        <v>0.4</v>
      </c>
      <c r="W12" s="6">
        <v>0.4</v>
      </c>
      <c r="X12" s="6">
        <v>0.4</v>
      </c>
      <c r="Y12" s="6">
        <v>0.4</v>
      </c>
      <c r="Z12" s="6">
        <v>0.4</v>
      </c>
      <c r="AA12" s="6">
        <v>0.4</v>
      </c>
      <c r="AB12" s="6">
        <v>0.4</v>
      </c>
      <c r="AC12" s="6">
        <v>0.4</v>
      </c>
      <c r="AD12" s="6">
        <v>0.4</v>
      </c>
      <c r="AE12" s="6">
        <v>0.4</v>
      </c>
      <c r="AF12" s="6">
        <v>0.4</v>
      </c>
      <c r="AG12" s="6">
        <v>0.4</v>
      </c>
      <c r="AH12" s="6">
        <v>0.4</v>
      </c>
      <c r="AI12" s="6">
        <v>0.4</v>
      </c>
      <c r="AJ12" s="6">
        <v>0.4</v>
      </c>
      <c r="AK12" s="6">
        <v>0.4</v>
      </c>
    </row>
    <row r="13" spans="1:37" x14ac:dyDescent="0.35">
      <c r="A13" t="s">
        <v>210</v>
      </c>
      <c r="B13">
        <v>24</v>
      </c>
      <c r="E13" s="5">
        <f t="shared" si="10"/>
        <v>0.47000000000000014</v>
      </c>
      <c r="F13" s="5">
        <f t="shared" si="11"/>
        <v>0.48200000000000015</v>
      </c>
      <c r="G13" s="5">
        <f t="shared" si="12"/>
        <v>0.49200000000000016</v>
      </c>
      <c r="H13" s="5">
        <f t="shared" si="13"/>
        <v>0.50200000000000011</v>
      </c>
      <c r="I13" s="5">
        <f t="shared" si="14"/>
        <v>0.51200000000000012</v>
      </c>
      <c r="J13" s="5">
        <f t="shared" si="15"/>
        <v>0.52200000000000013</v>
      </c>
      <c r="K13" s="5">
        <f t="shared" si="16"/>
        <v>0.53200000000000014</v>
      </c>
      <c r="L13" s="5">
        <f t="shared" si="17"/>
        <v>0.54200000000000015</v>
      </c>
      <c r="M13" s="5">
        <f t="shared" si="18"/>
        <v>0.55200000000000016</v>
      </c>
      <c r="N13" s="6">
        <v>0.4</v>
      </c>
      <c r="O13" s="6">
        <v>0.4</v>
      </c>
      <c r="P13" s="6">
        <v>0.4</v>
      </c>
      <c r="Q13" s="6">
        <v>0.4</v>
      </c>
      <c r="R13" s="6">
        <v>0.4</v>
      </c>
      <c r="S13" s="6">
        <v>0.4</v>
      </c>
      <c r="T13" s="6">
        <v>0.4</v>
      </c>
      <c r="U13" s="6">
        <v>0.4</v>
      </c>
      <c r="V13" s="6">
        <v>0.4</v>
      </c>
      <c r="W13" s="6">
        <v>0.4</v>
      </c>
      <c r="X13" s="6">
        <v>0.4</v>
      </c>
      <c r="Y13" s="6">
        <v>0.4</v>
      </c>
      <c r="Z13" s="6">
        <v>0.4</v>
      </c>
      <c r="AA13" s="6">
        <v>0.4</v>
      </c>
      <c r="AB13" s="6">
        <v>0.4</v>
      </c>
      <c r="AC13" s="6">
        <v>0.4</v>
      </c>
      <c r="AD13" s="6">
        <v>0.4</v>
      </c>
      <c r="AE13" s="6">
        <v>0.4</v>
      </c>
      <c r="AF13" s="6">
        <v>0.4</v>
      </c>
      <c r="AG13" s="6">
        <v>0.4</v>
      </c>
      <c r="AH13" s="6">
        <v>0.4</v>
      </c>
      <c r="AI13" s="6">
        <v>0.4</v>
      </c>
      <c r="AJ13" s="6">
        <v>0.4</v>
      </c>
      <c r="AK13" s="6">
        <v>0.4</v>
      </c>
    </row>
    <row r="14" spans="1:37" x14ac:dyDescent="0.35">
      <c r="A14" t="s">
        <v>210</v>
      </c>
      <c r="B14">
        <v>27</v>
      </c>
      <c r="E14" s="5">
        <f t="shared" si="10"/>
        <v>0.49000000000000016</v>
      </c>
      <c r="F14" s="5">
        <f t="shared" si="11"/>
        <v>0.50200000000000011</v>
      </c>
      <c r="G14" s="5">
        <f t="shared" si="12"/>
        <v>0.51200000000000012</v>
      </c>
      <c r="H14" s="5">
        <f t="shared" si="13"/>
        <v>0.52200000000000013</v>
      </c>
      <c r="I14" s="5">
        <f t="shared" si="14"/>
        <v>0.53200000000000014</v>
      </c>
      <c r="J14" s="5">
        <f t="shared" si="15"/>
        <v>0.54200000000000015</v>
      </c>
      <c r="K14" s="5">
        <f t="shared" si="16"/>
        <v>0.55200000000000016</v>
      </c>
      <c r="L14" s="5">
        <f t="shared" si="17"/>
        <v>0.56200000000000017</v>
      </c>
      <c r="M14" s="5">
        <f t="shared" si="18"/>
        <v>0.57200000000000017</v>
      </c>
      <c r="N14" s="6">
        <v>0.4</v>
      </c>
      <c r="O14" s="6">
        <v>0.4</v>
      </c>
      <c r="P14" s="6">
        <v>0.4</v>
      </c>
      <c r="Q14" s="6">
        <v>0.4</v>
      </c>
      <c r="R14" s="6">
        <v>0.4</v>
      </c>
      <c r="S14" s="6">
        <v>0.4</v>
      </c>
      <c r="T14" s="6">
        <v>0.4</v>
      </c>
      <c r="U14" s="6">
        <v>0.4</v>
      </c>
      <c r="V14" s="6">
        <v>0.4</v>
      </c>
      <c r="W14" s="6">
        <v>0.4</v>
      </c>
      <c r="X14" s="6">
        <v>0.4</v>
      </c>
      <c r="Y14" s="6">
        <v>0.4</v>
      </c>
      <c r="Z14" s="6">
        <v>0.4</v>
      </c>
      <c r="AA14" s="6">
        <v>0.4</v>
      </c>
      <c r="AB14" s="6">
        <v>0.4</v>
      </c>
      <c r="AC14" s="6">
        <v>0.4</v>
      </c>
      <c r="AD14" s="6">
        <v>0.4</v>
      </c>
      <c r="AE14" s="6">
        <v>0.4</v>
      </c>
      <c r="AF14" s="6">
        <v>0.4</v>
      </c>
      <c r="AG14" s="6">
        <v>0.4</v>
      </c>
      <c r="AH14" s="6">
        <v>0.4</v>
      </c>
      <c r="AI14" s="6">
        <v>0.4</v>
      </c>
      <c r="AJ14" s="6">
        <v>0.4</v>
      </c>
      <c r="AK14" s="6">
        <v>0.4</v>
      </c>
    </row>
    <row r="15" spans="1:37" x14ac:dyDescent="0.35">
      <c r="A15" t="s">
        <v>210</v>
      </c>
      <c r="B15">
        <v>30</v>
      </c>
      <c r="E15" s="5">
        <f t="shared" si="10"/>
        <v>0.51000000000000012</v>
      </c>
      <c r="F15" s="5">
        <f t="shared" si="11"/>
        <v>0.52200000000000013</v>
      </c>
      <c r="G15" s="5">
        <f t="shared" si="12"/>
        <v>0.53200000000000014</v>
      </c>
      <c r="H15" s="5">
        <f t="shared" si="13"/>
        <v>0.54200000000000015</v>
      </c>
      <c r="I15" s="5">
        <f t="shared" si="14"/>
        <v>0.55200000000000016</v>
      </c>
      <c r="J15" s="5">
        <f t="shared" si="15"/>
        <v>0.56200000000000017</v>
      </c>
      <c r="K15" s="5">
        <f t="shared" si="16"/>
        <v>0.57200000000000017</v>
      </c>
      <c r="L15" s="5">
        <f t="shared" si="17"/>
        <v>0.58200000000000018</v>
      </c>
      <c r="M15" s="5">
        <f t="shared" si="18"/>
        <v>0.59200000000000019</v>
      </c>
      <c r="N15" s="6">
        <v>0.4</v>
      </c>
      <c r="O15" s="6">
        <v>0.4</v>
      </c>
      <c r="P15" s="6">
        <v>0.4</v>
      </c>
      <c r="Q15" s="6">
        <v>0.4</v>
      </c>
      <c r="R15" s="6">
        <v>0.4</v>
      </c>
      <c r="S15" s="6">
        <v>0.4</v>
      </c>
      <c r="T15" s="6">
        <v>0.4</v>
      </c>
      <c r="U15" s="6">
        <v>0.4</v>
      </c>
      <c r="V15" s="6">
        <v>0.4</v>
      </c>
      <c r="W15" s="6">
        <v>0.4</v>
      </c>
      <c r="X15" s="6">
        <v>0.4</v>
      </c>
      <c r="Y15" s="6">
        <v>0.4</v>
      </c>
      <c r="Z15" s="6">
        <v>0.4</v>
      </c>
      <c r="AA15" s="6">
        <v>0.4</v>
      </c>
      <c r="AB15" s="6">
        <v>0.4</v>
      </c>
      <c r="AC15" s="6">
        <v>0.4</v>
      </c>
      <c r="AD15" s="6">
        <v>0.4</v>
      </c>
      <c r="AE15" s="6">
        <v>0.4</v>
      </c>
      <c r="AF15" s="6">
        <v>0.4</v>
      </c>
      <c r="AG15" s="6">
        <v>0.4</v>
      </c>
      <c r="AH15" s="6">
        <v>0.4</v>
      </c>
      <c r="AI15" s="6">
        <v>0.4</v>
      </c>
      <c r="AJ15" s="6">
        <v>0.4</v>
      </c>
      <c r="AK15" s="6">
        <v>0.4</v>
      </c>
    </row>
    <row r="16" spans="1:37" x14ac:dyDescent="0.35">
      <c r="A16" t="s">
        <v>210</v>
      </c>
      <c r="B16">
        <v>33</v>
      </c>
      <c r="E16" s="5">
        <f t="shared" si="10"/>
        <v>0.53000000000000014</v>
      </c>
      <c r="F16" s="5">
        <f t="shared" si="11"/>
        <v>0.54200000000000015</v>
      </c>
      <c r="G16" s="5">
        <f t="shared" si="12"/>
        <v>0.55200000000000016</v>
      </c>
      <c r="H16" s="5">
        <f t="shared" si="13"/>
        <v>0.56200000000000017</v>
      </c>
      <c r="I16" s="5">
        <f t="shared" si="14"/>
        <v>0.57200000000000017</v>
      </c>
      <c r="J16" s="5">
        <f t="shared" si="15"/>
        <v>0.58200000000000018</v>
      </c>
      <c r="K16" s="5">
        <f t="shared" si="16"/>
        <v>0.59200000000000019</v>
      </c>
      <c r="L16" s="5">
        <f t="shared" si="17"/>
        <v>0.6020000000000002</v>
      </c>
      <c r="M16" s="5">
        <f t="shared" si="18"/>
        <v>0.61200000000000021</v>
      </c>
      <c r="N16" s="6">
        <v>0.4</v>
      </c>
      <c r="O16" s="6">
        <v>0.4</v>
      </c>
      <c r="P16" s="6">
        <v>0.4</v>
      </c>
      <c r="Q16" s="6">
        <v>0.4</v>
      </c>
      <c r="R16" s="6">
        <v>0.4</v>
      </c>
      <c r="S16" s="6">
        <v>0.4</v>
      </c>
      <c r="T16" s="6">
        <v>0.4</v>
      </c>
      <c r="U16" s="6">
        <v>0.4</v>
      </c>
      <c r="V16" s="6">
        <v>0.4</v>
      </c>
      <c r="W16" s="6">
        <v>0.4</v>
      </c>
      <c r="X16" s="6">
        <v>0.4</v>
      </c>
      <c r="Y16" s="6">
        <v>0.4</v>
      </c>
      <c r="Z16" s="6">
        <v>0.4</v>
      </c>
      <c r="AA16" s="6">
        <v>0.4</v>
      </c>
      <c r="AB16" s="6">
        <v>0.4</v>
      </c>
      <c r="AC16" s="6">
        <v>0.4</v>
      </c>
      <c r="AD16" s="6">
        <v>0.4</v>
      </c>
      <c r="AE16" s="6">
        <v>0.4</v>
      </c>
      <c r="AF16" s="6">
        <v>0.4</v>
      </c>
      <c r="AG16" s="6">
        <v>0.4</v>
      </c>
      <c r="AH16" s="6">
        <v>0.4</v>
      </c>
      <c r="AI16" s="6">
        <v>0.4</v>
      </c>
      <c r="AJ16" s="6">
        <v>0.4</v>
      </c>
      <c r="AK16" s="6">
        <v>0.4</v>
      </c>
    </row>
    <row r="17" spans="1:37" x14ac:dyDescent="0.35">
      <c r="A17" t="s">
        <v>210</v>
      </c>
      <c r="B17">
        <v>36</v>
      </c>
      <c r="E17" s="5">
        <f>E16+0.02</f>
        <v>0.55000000000000016</v>
      </c>
      <c r="F17" s="5">
        <f t="shared" si="11"/>
        <v>0.56200000000000017</v>
      </c>
      <c r="G17" s="5">
        <f t="shared" si="12"/>
        <v>0.57200000000000017</v>
      </c>
      <c r="H17" s="5">
        <f t="shared" si="13"/>
        <v>0.58200000000000018</v>
      </c>
      <c r="I17" s="5">
        <f t="shared" si="14"/>
        <v>0.59200000000000019</v>
      </c>
      <c r="J17" s="5">
        <f t="shared" si="15"/>
        <v>0.6020000000000002</v>
      </c>
      <c r="K17" s="5">
        <f t="shared" si="16"/>
        <v>0.61200000000000021</v>
      </c>
      <c r="L17" s="5">
        <f t="shared" si="17"/>
        <v>0.62200000000000022</v>
      </c>
      <c r="M17" s="5">
        <f t="shared" si="18"/>
        <v>0.63200000000000023</v>
      </c>
      <c r="N17" s="6">
        <v>0.4</v>
      </c>
      <c r="O17" s="6">
        <v>0.4</v>
      </c>
      <c r="P17" s="6">
        <v>0.4</v>
      </c>
      <c r="Q17" s="6">
        <v>0.4</v>
      </c>
      <c r="R17" s="6">
        <v>0.4</v>
      </c>
      <c r="S17" s="6">
        <v>0.4</v>
      </c>
      <c r="T17" s="6">
        <v>0.4</v>
      </c>
      <c r="U17" s="6">
        <v>0.4</v>
      </c>
      <c r="V17" s="6">
        <v>0.4</v>
      </c>
      <c r="W17" s="6">
        <v>0.4</v>
      </c>
      <c r="X17" s="6">
        <v>0.4</v>
      </c>
      <c r="Y17" s="6">
        <v>0.4</v>
      </c>
      <c r="Z17" s="6">
        <v>0.4</v>
      </c>
      <c r="AA17" s="6">
        <v>0.4</v>
      </c>
      <c r="AB17" s="6">
        <v>0.4</v>
      </c>
      <c r="AC17" s="6">
        <v>0.4</v>
      </c>
      <c r="AD17" s="6">
        <v>0.4</v>
      </c>
      <c r="AE17" s="6">
        <v>0.4</v>
      </c>
      <c r="AF17" s="6">
        <v>0.4</v>
      </c>
      <c r="AG17" s="6">
        <v>0.4</v>
      </c>
      <c r="AH17" s="6">
        <v>0.4</v>
      </c>
      <c r="AI17" s="6">
        <v>0.4</v>
      </c>
      <c r="AJ17" s="6">
        <v>0.4</v>
      </c>
      <c r="AK17" s="6">
        <v>0.4</v>
      </c>
    </row>
    <row r="18" spans="1:37" x14ac:dyDescent="0.35">
      <c r="A18" t="s">
        <v>210</v>
      </c>
      <c r="B18">
        <v>39</v>
      </c>
      <c r="E18" s="5">
        <f>E17+0.02</f>
        <v>0.57000000000000017</v>
      </c>
      <c r="F18" s="5">
        <f t="shared" si="11"/>
        <v>0.58200000000000018</v>
      </c>
      <c r="G18" s="5">
        <f t="shared" si="12"/>
        <v>0.59200000000000019</v>
      </c>
      <c r="H18" s="5">
        <f t="shared" si="13"/>
        <v>0.6020000000000002</v>
      </c>
      <c r="I18" s="5">
        <f t="shared" si="14"/>
        <v>0.61200000000000021</v>
      </c>
      <c r="J18" s="5">
        <f t="shared" si="15"/>
        <v>0.62200000000000022</v>
      </c>
      <c r="K18" s="5">
        <f t="shared" si="16"/>
        <v>0.63200000000000023</v>
      </c>
      <c r="L18" s="5">
        <f t="shared" si="17"/>
        <v>0.64200000000000024</v>
      </c>
      <c r="M18" s="5">
        <f t="shared" si="18"/>
        <v>0.65200000000000025</v>
      </c>
      <c r="N18" s="6">
        <v>0.4</v>
      </c>
      <c r="O18" s="6">
        <v>0.4</v>
      </c>
      <c r="P18" s="6">
        <v>0.4</v>
      </c>
      <c r="Q18" s="6">
        <v>0.4</v>
      </c>
      <c r="R18" s="6">
        <v>0.4</v>
      </c>
      <c r="S18" s="6">
        <v>0.4</v>
      </c>
      <c r="T18" s="6">
        <v>0.4</v>
      </c>
      <c r="U18" s="6">
        <v>0.4</v>
      </c>
      <c r="V18" s="6">
        <v>0.4</v>
      </c>
      <c r="W18" s="6">
        <v>0.4</v>
      </c>
      <c r="X18" s="6">
        <v>0.4</v>
      </c>
      <c r="Y18" s="6">
        <v>0.4</v>
      </c>
      <c r="Z18" s="6">
        <v>0.4</v>
      </c>
      <c r="AA18" s="6">
        <v>0.4</v>
      </c>
      <c r="AB18" s="6">
        <v>0.4</v>
      </c>
      <c r="AC18" s="6">
        <v>0.4</v>
      </c>
      <c r="AD18" s="6">
        <v>0.4</v>
      </c>
      <c r="AE18" s="6">
        <v>0.4</v>
      </c>
      <c r="AF18" s="6">
        <v>0.4</v>
      </c>
      <c r="AG18" s="6">
        <v>0.4</v>
      </c>
      <c r="AH18" s="6">
        <v>0.4</v>
      </c>
      <c r="AI18" s="6">
        <v>0.4</v>
      </c>
      <c r="AJ18" s="6">
        <v>0.4</v>
      </c>
      <c r="AK18" s="6">
        <v>0.4</v>
      </c>
    </row>
    <row r="19" spans="1:37" x14ac:dyDescent="0.35">
      <c r="A19" t="s">
        <v>210</v>
      </c>
      <c r="B19">
        <v>42</v>
      </c>
      <c r="E19" s="5">
        <f t="shared" ref="E19" si="19">E18+0.02</f>
        <v>0.59000000000000019</v>
      </c>
      <c r="F19" s="5">
        <f t="shared" si="11"/>
        <v>0.6020000000000002</v>
      </c>
      <c r="G19" s="5">
        <f t="shared" si="12"/>
        <v>0.61200000000000021</v>
      </c>
      <c r="H19" s="5">
        <f t="shared" si="13"/>
        <v>0.62200000000000022</v>
      </c>
      <c r="I19" s="5">
        <f t="shared" si="14"/>
        <v>0.63200000000000023</v>
      </c>
      <c r="J19" s="5">
        <f t="shared" si="15"/>
        <v>0.64200000000000024</v>
      </c>
      <c r="K19" s="5">
        <f t="shared" si="16"/>
        <v>0.65200000000000025</v>
      </c>
      <c r="L19" s="5">
        <f t="shared" si="17"/>
        <v>0.66200000000000025</v>
      </c>
      <c r="M19" s="5">
        <f t="shared" si="18"/>
        <v>0.67200000000000026</v>
      </c>
      <c r="N19" s="6">
        <v>0.4</v>
      </c>
      <c r="O19" s="6">
        <v>0.4</v>
      </c>
      <c r="P19" s="6">
        <v>0.4</v>
      </c>
      <c r="Q19" s="6">
        <v>0.4</v>
      </c>
      <c r="R19" s="6">
        <v>0.4</v>
      </c>
      <c r="S19" s="6">
        <v>0.4</v>
      </c>
      <c r="T19" s="6">
        <v>0.4</v>
      </c>
      <c r="U19" s="6">
        <v>0.4</v>
      </c>
      <c r="V19" s="6">
        <v>0.4</v>
      </c>
      <c r="W19" s="6">
        <v>0.4</v>
      </c>
      <c r="X19" s="6">
        <v>0.4</v>
      </c>
      <c r="Y19" s="6">
        <v>0.4</v>
      </c>
      <c r="Z19" s="6">
        <v>0.4</v>
      </c>
      <c r="AA19" s="6">
        <v>0.4</v>
      </c>
      <c r="AB19" s="6">
        <v>0.4</v>
      </c>
      <c r="AC19" s="6">
        <v>0.4</v>
      </c>
      <c r="AD19" s="6">
        <v>0.4</v>
      </c>
      <c r="AE19" s="6">
        <v>0.4</v>
      </c>
      <c r="AF19" s="6">
        <v>0.4</v>
      </c>
      <c r="AG19" s="6">
        <v>0.4</v>
      </c>
      <c r="AH19" s="6">
        <v>0.4</v>
      </c>
      <c r="AI19" s="6">
        <v>0.4</v>
      </c>
      <c r="AJ19" s="6">
        <v>0.4</v>
      </c>
      <c r="AK19" s="6">
        <v>0.4</v>
      </c>
    </row>
    <row r="20" spans="1:37" x14ac:dyDescent="0.35">
      <c r="A20" t="s">
        <v>211</v>
      </c>
      <c r="B20">
        <v>3</v>
      </c>
      <c r="E20">
        <v>0.33</v>
      </c>
      <c r="F20">
        <v>0.34200000000000003</v>
      </c>
      <c r="G20">
        <v>0.35200000000000004</v>
      </c>
      <c r="H20">
        <v>0.36200000000000004</v>
      </c>
      <c r="I20">
        <v>0.37200000000000005</v>
      </c>
      <c r="J20">
        <v>0.38200000000000006</v>
      </c>
      <c r="K20">
        <v>0.39200000000000007</v>
      </c>
      <c r="L20">
        <v>0.40200000000000008</v>
      </c>
      <c r="M20">
        <v>0.41200000000000009</v>
      </c>
      <c r="N20">
        <v>0.36000000000000004</v>
      </c>
      <c r="O20">
        <v>0.36000000000000004</v>
      </c>
      <c r="P20">
        <v>0.36000000000000004</v>
      </c>
      <c r="Q20">
        <v>0.36000000000000004</v>
      </c>
      <c r="R20">
        <v>0.36000000000000004</v>
      </c>
      <c r="S20">
        <v>0.36000000000000004</v>
      </c>
      <c r="T20">
        <v>0.36000000000000004</v>
      </c>
      <c r="U20">
        <v>0.36000000000000004</v>
      </c>
      <c r="V20">
        <v>0.36000000000000004</v>
      </c>
      <c r="W20">
        <v>0.36000000000000004</v>
      </c>
      <c r="X20">
        <v>0.36000000000000004</v>
      </c>
      <c r="Y20">
        <v>0.36000000000000004</v>
      </c>
      <c r="Z20">
        <v>0.36000000000000004</v>
      </c>
      <c r="AA20">
        <v>0.36000000000000004</v>
      </c>
      <c r="AB20">
        <v>0.36000000000000004</v>
      </c>
      <c r="AC20">
        <v>0.36000000000000004</v>
      </c>
      <c r="AD20">
        <v>0.36000000000000004</v>
      </c>
      <c r="AE20">
        <v>0.36000000000000004</v>
      </c>
      <c r="AF20">
        <v>0.36000000000000004</v>
      </c>
      <c r="AG20">
        <v>0.36000000000000004</v>
      </c>
      <c r="AH20">
        <v>0.36000000000000004</v>
      </c>
      <c r="AI20">
        <v>0.36000000000000004</v>
      </c>
      <c r="AJ20">
        <v>0.36000000000000004</v>
      </c>
      <c r="AK20">
        <v>0.36000000000000004</v>
      </c>
    </row>
    <row r="21" spans="1:37" x14ac:dyDescent="0.35">
      <c r="A21" t="s">
        <v>211</v>
      </c>
      <c r="B21">
        <v>6</v>
      </c>
      <c r="E21">
        <v>0.35000000000000003</v>
      </c>
      <c r="F21">
        <v>0.36200000000000004</v>
      </c>
      <c r="G21">
        <v>0.37200000000000005</v>
      </c>
      <c r="H21">
        <v>0.38200000000000006</v>
      </c>
      <c r="I21">
        <v>0.39200000000000007</v>
      </c>
      <c r="J21">
        <v>0.40200000000000008</v>
      </c>
      <c r="K21">
        <v>0.41200000000000009</v>
      </c>
      <c r="L21">
        <v>0.4220000000000001</v>
      </c>
      <c r="M21">
        <v>0.43200000000000011</v>
      </c>
      <c r="N21">
        <v>0.38000000000000006</v>
      </c>
      <c r="O21">
        <v>0.38000000000000006</v>
      </c>
      <c r="P21">
        <v>0.38000000000000006</v>
      </c>
      <c r="Q21">
        <v>0.38000000000000006</v>
      </c>
      <c r="R21">
        <v>0.38000000000000006</v>
      </c>
      <c r="S21">
        <v>0.38000000000000006</v>
      </c>
      <c r="T21">
        <v>0.38000000000000006</v>
      </c>
      <c r="U21">
        <v>0.38000000000000006</v>
      </c>
      <c r="V21">
        <v>0.38000000000000006</v>
      </c>
      <c r="W21">
        <v>0.38000000000000006</v>
      </c>
      <c r="X21">
        <v>0.38000000000000006</v>
      </c>
      <c r="Y21">
        <v>0.38000000000000006</v>
      </c>
      <c r="Z21">
        <v>0.38000000000000006</v>
      </c>
      <c r="AA21">
        <v>0.38000000000000006</v>
      </c>
      <c r="AB21">
        <v>0.38000000000000006</v>
      </c>
      <c r="AC21">
        <v>0.38000000000000006</v>
      </c>
      <c r="AD21">
        <v>0.38000000000000006</v>
      </c>
      <c r="AE21">
        <v>0.38000000000000006</v>
      </c>
      <c r="AF21">
        <v>0.38000000000000006</v>
      </c>
      <c r="AG21">
        <v>0.38000000000000006</v>
      </c>
      <c r="AH21">
        <v>0.38000000000000006</v>
      </c>
      <c r="AI21">
        <v>0.38000000000000006</v>
      </c>
      <c r="AJ21">
        <v>0.38000000000000006</v>
      </c>
      <c r="AK21">
        <v>0.38000000000000006</v>
      </c>
    </row>
    <row r="22" spans="1:37" x14ac:dyDescent="0.35">
      <c r="A22" t="s">
        <v>211</v>
      </c>
      <c r="B22">
        <v>9</v>
      </c>
      <c r="E22">
        <v>0.37000000000000005</v>
      </c>
      <c r="F22">
        <v>0.38200000000000006</v>
      </c>
      <c r="G22">
        <v>0.39200000000000007</v>
      </c>
      <c r="H22">
        <v>0.40200000000000008</v>
      </c>
      <c r="I22">
        <v>0.41200000000000009</v>
      </c>
      <c r="J22">
        <v>0.4220000000000001</v>
      </c>
      <c r="K22">
        <v>0.43200000000000011</v>
      </c>
      <c r="L22">
        <v>0.44200000000000012</v>
      </c>
      <c r="M22">
        <v>0.45200000000000012</v>
      </c>
      <c r="N22">
        <v>0.40000000000000008</v>
      </c>
      <c r="O22">
        <v>0.40000000000000008</v>
      </c>
      <c r="P22">
        <v>0.40000000000000008</v>
      </c>
      <c r="Q22">
        <v>0.40000000000000008</v>
      </c>
      <c r="R22">
        <v>0.40000000000000008</v>
      </c>
      <c r="S22">
        <v>0.40000000000000008</v>
      </c>
      <c r="T22">
        <v>0.40000000000000008</v>
      </c>
      <c r="U22">
        <v>0.40000000000000008</v>
      </c>
      <c r="V22">
        <v>0.40000000000000008</v>
      </c>
      <c r="W22">
        <v>0.40000000000000008</v>
      </c>
      <c r="X22">
        <v>0.40000000000000008</v>
      </c>
      <c r="Y22">
        <v>0.40000000000000008</v>
      </c>
      <c r="Z22">
        <v>0.40000000000000008</v>
      </c>
      <c r="AA22">
        <v>0.40000000000000008</v>
      </c>
      <c r="AB22">
        <v>0.40000000000000008</v>
      </c>
      <c r="AC22">
        <v>0.40000000000000008</v>
      </c>
      <c r="AD22">
        <v>0.40000000000000008</v>
      </c>
      <c r="AE22">
        <v>0.40000000000000008</v>
      </c>
      <c r="AF22">
        <v>0.40000000000000008</v>
      </c>
      <c r="AG22">
        <v>0.40000000000000008</v>
      </c>
      <c r="AH22">
        <v>0.40000000000000008</v>
      </c>
      <c r="AI22">
        <v>0.40000000000000008</v>
      </c>
      <c r="AJ22">
        <v>0.40000000000000008</v>
      </c>
      <c r="AK22">
        <v>0.40000000000000008</v>
      </c>
    </row>
    <row r="23" spans="1:37" x14ac:dyDescent="0.35">
      <c r="A23" t="s">
        <v>211</v>
      </c>
      <c r="B23">
        <v>12</v>
      </c>
      <c r="E23">
        <v>0.39000000000000007</v>
      </c>
      <c r="F23">
        <v>0.40200000000000008</v>
      </c>
      <c r="G23">
        <v>0.41200000000000009</v>
      </c>
      <c r="H23">
        <v>0.4220000000000001</v>
      </c>
      <c r="I23">
        <v>0.43200000000000011</v>
      </c>
      <c r="J23">
        <v>0.44200000000000012</v>
      </c>
      <c r="K23">
        <v>0.45200000000000012</v>
      </c>
      <c r="L23">
        <v>0.46200000000000013</v>
      </c>
      <c r="M23">
        <v>0.47200000000000014</v>
      </c>
      <c r="N23">
        <v>0.40000000000000008</v>
      </c>
      <c r="O23">
        <v>0.40000000000000008</v>
      </c>
      <c r="P23">
        <v>0.40000000000000008</v>
      </c>
      <c r="Q23">
        <v>0.40000000000000008</v>
      </c>
      <c r="R23">
        <v>0.40000000000000008</v>
      </c>
      <c r="S23">
        <v>0.40000000000000008</v>
      </c>
      <c r="T23">
        <v>0.40000000000000008</v>
      </c>
      <c r="U23">
        <v>0.40000000000000008</v>
      </c>
      <c r="V23">
        <v>0.40000000000000008</v>
      </c>
      <c r="W23">
        <v>0.40000000000000008</v>
      </c>
      <c r="X23">
        <v>0.40000000000000008</v>
      </c>
      <c r="Y23">
        <v>0.40000000000000008</v>
      </c>
      <c r="Z23">
        <v>0.40000000000000008</v>
      </c>
      <c r="AA23">
        <v>0.40000000000000008</v>
      </c>
      <c r="AB23">
        <v>0.40000000000000008</v>
      </c>
      <c r="AC23">
        <v>0.40000000000000008</v>
      </c>
      <c r="AD23">
        <v>0.40000000000000008</v>
      </c>
      <c r="AE23">
        <v>0.40000000000000008</v>
      </c>
      <c r="AF23">
        <v>0.40000000000000008</v>
      </c>
      <c r="AG23">
        <v>0.40000000000000008</v>
      </c>
      <c r="AH23">
        <v>0.40000000000000008</v>
      </c>
      <c r="AI23">
        <v>0.40000000000000008</v>
      </c>
      <c r="AJ23">
        <v>0.40000000000000008</v>
      </c>
      <c r="AK23">
        <v>0.40000000000000008</v>
      </c>
    </row>
    <row r="24" spans="1:37" x14ac:dyDescent="0.35">
      <c r="A24" t="s">
        <v>211</v>
      </c>
      <c r="B24">
        <v>15</v>
      </c>
      <c r="E24">
        <v>0.41000000000000009</v>
      </c>
      <c r="F24">
        <v>0.4220000000000001</v>
      </c>
      <c r="G24">
        <v>0.43200000000000011</v>
      </c>
      <c r="H24">
        <v>0.44200000000000012</v>
      </c>
      <c r="I24">
        <v>0.45200000000000012</v>
      </c>
      <c r="J24">
        <v>0.46200000000000013</v>
      </c>
      <c r="K24">
        <v>0.47200000000000014</v>
      </c>
      <c r="L24">
        <v>0.48200000000000015</v>
      </c>
      <c r="M24">
        <v>0.49200000000000016</v>
      </c>
      <c r="N24">
        <v>0.4</v>
      </c>
      <c r="O24">
        <v>0.4</v>
      </c>
      <c r="P24">
        <v>0.4</v>
      </c>
      <c r="Q24">
        <v>0.4</v>
      </c>
      <c r="R24">
        <v>0.4</v>
      </c>
      <c r="S24">
        <v>0.4</v>
      </c>
      <c r="T24">
        <v>0.4</v>
      </c>
      <c r="U24">
        <v>0.4</v>
      </c>
      <c r="V24">
        <v>0.4</v>
      </c>
      <c r="W24">
        <v>0.4</v>
      </c>
      <c r="X24">
        <v>0.4</v>
      </c>
      <c r="Y24">
        <v>0.4</v>
      </c>
      <c r="Z24">
        <v>0.4</v>
      </c>
      <c r="AA24">
        <v>0.4</v>
      </c>
      <c r="AB24">
        <v>0.4</v>
      </c>
      <c r="AC24">
        <v>0.4</v>
      </c>
      <c r="AD24">
        <v>0.4</v>
      </c>
      <c r="AE24">
        <v>0.4</v>
      </c>
      <c r="AF24">
        <v>0.4</v>
      </c>
      <c r="AG24">
        <v>0.4</v>
      </c>
      <c r="AH24">
        <v>0.4</v>
      </c>
      <c r="AI24">
        <v>0.4</v>
      </c>
      <c r="AJ24">
        <v>0.4</v>
      </c>
      <c r="AK24">
        <v>0.4</v>
      </c>
    </row>
    <row r="25" spans="1:37" x14ac:dyDescent="0.35">
      <c r="A25" t="s">
        <v>211</v>
      </c>
      <c r="B25">
        <v>18</v>
      </c>
      <c r="E25">
        <v>0.4300000000000001</v>
      </c>
      <c r="F25">
        <v>0.44200000000000012</v>
      </c>
      <c r="G25">
        <v>0.45200000000000012</v>
      </c>
      <c r="H25">
        <v>0.46200000000000013</v>
      </c>
      <c r="I25">
        <v>0.47200000000000014</v>
      </c>
      <c r="J25">
        <v>0.48200000000000015</v>
      </c>
      <c r="K25">
        <v>0.49200000000000016</v>
      </c>
      <c r="L25">
        <v>0.50200000000000011</v>
      </c>
      <c r="M25">
        <v>0.51200000000000012</v>
      </c>
      <c r="N25">
        <v>0.4</v>
      </c>
      <c r="O25">
        <v>0.4</v>
      </c>
      <c r="P25">
        <v>0.4</v>
      </c>
      <c r="Q25">
        <v>0.4</v>
      </c>
      <c r="R25">
        <v>0.4</v>
      </c>
      <c r="S25">
        <v>0.4</v>
      </c>
      <c r="T25">
        <v>0.4</v>
      </c>
      <c r="U25">
        <v>0.4</v>
      </c>
      <c r="V25">
        <v>0.4</v>
      </c>
      <c r="W25">
        <v>0.4</v>
      </c>
      <c r="X25">
        <v>0.4</v>
      </c>
      <c r="Y25">
        <v>0.4</v>
      </c>
      <c r="Z25">
        <v>0.4</v>
      </c>
      <c r="AA25">
        <v>0.4</v>
      </c>
      <c r="AB25">
        <v>0.4</v>
      </c>
      <c r="AC25">
        <v>0.4</v>
      </c>
      <c r="AD25">
        <v>0.4</v>
      </c>
      <c r="AE25">
        <v>0.4</v>
      </c>
      <c r="AF25">
        <v>0.4</v>
      </c>
      <c r="AG25">
        <v>0.4</v>
      </c>
      <c r="AH25">
        <v>0.4</v>
      </c>
      <c r="AI25">
        <v>0.4</v>
      </c>
      <c r="AJ25">
        <v>0.4</v>
      </c>
      <c r="AK25">
        <v>0.4</v>
      </c>
    </row>
    <row r="26" spans="1:37" x14ac:dyDescent="0.35">
      <c r="A26" t="s">
        <v>211</v>
      </c>
      <c r="B26">
        <v>21</v>
      </c>
      <c r="E26">
        <v>0.45000000000000012</v>
      </c>
      <c r="F26">
        <v>0.46200000000000013</v>
      </c>
      <c r="G26">
        <v>0.47200000000000014</v>
      </c>
      <c r="H26">
        <v>0.48200000000000015</v>
      </c>
      <c r="I26">
        <v>0.49200000000000016</v>
      </c>
      <c r="J26">
        <v>0.50200000000000011</v>
      </c>
      <c r="K26">
        <v>0.51200000000000012</v>
      </c>
      <c r="L26">
        <v>0.52200000000000013</v>
      </c>
      <c r="M26">
        <v>0.53200000000000014</v>
      </c>
      <c r="N26">
        <v>0.4</v>
      </c>
      <c r="O26">
        <v>0.4</v>
      </c>
      <c r="P26">
        <v>0.4</v>
      </c>
      <c r="Q26">
        <v>0.4</v>
      </c>
      <c r="R26">
        <v>0.4</v>
      </c>
      <c r="S26">
        <v>0.4</v>
      </c>
      <c r="T26">
        <v>0.4</v>
      </c>
      <c r="U26">
        <v>0.4</v>
      </c>
      <c r="V26">
        <v>0.4</v>
      </c>
      <c r="W26">
        <v>0.4</v>
      </c>
      <c r="X26">
        <v>0.4</v>
      </c>
      <c r="Y26">
        <v>0.4</v>
      </c>
      <c r="Z26">
        <v>0.4</v>
      </c>
      <c r="AA26">
        <v>0.4</v>
      </c>
      <c r="AB26">
        <v>0.4</v>
      </c>
      <c r="AC26">
        <v>0.4</v>
      </c>
      <c r="AD26">
        <v>0.4</v>
      </c>
      <c r="AE26">
        <v>0.4</v>
      </c>
      <c r="AF26">
        <v>0.4</v>
      </c>
      <c r="AG26">
        <v>0.4</v>
      </c>
      <c r="AH26">
        <v>0.4</v>
      </c>
      <c r="AI26">
        <v>0.4</v>
      </c>
      <c r="AJ26">
        <v>0.4</v>
      </c>
      <c r="AK26">
        <v>0.4</v>
      </c>
    </row>
    <row r="27" spans="1:37" x14ac:dyDescent="0.35">
      <c r="A27" t="s">
        <v>211</v>
      </c>
      <c r="B27">
        <v>24</v>
      </c>
      <c r="E27">
        <v>0.47000000000000014</v>
      </c>
      <c r="F27">
        <v>0.48200000000000015</v>
      </c>
      <c r="G27">
        <v>0.49200000000000016</v>
      </c>
      <c r="H27">
        <v>0.50200000000000011</v>
      </c>
      <c r="I27">
        <v>0.51200000000000012</v>
      </c>
      <c r="J27">
        <v>0.52200000000000013</v>
      </c>
      <c r="K27">
        <v>0.53200000000000014</v>
      </c>
      <c r="L27">
        <v>0.54200000000000015</v>
      </c>
      <c r="M27">
        <v>0.55200000000000016</v>
      </c>
      <c r="N27">
        <v>0.4</v>
      </c>
      <c r="O27">
        <v>0.4</v>
      </c>
      <c r="P27">
        <v>0.4</v>
      </c>
      <c r="Q27">
        <v>0.4</v>
      </c>
      <c r="R27">
        <v>0.4</v>
      </c>
      <c r="S27">
        <v>0.4</v>
      </c>
      <c r="T27">
        <v>0.4</v>
      </c>
      <c r="U27">
        <v>0.4</v>
      </c>
      <c r="V27">
        <v>0.4</v>
      </c>
      <c r="W27">
        <v>0.4</v>
      </c>
      <c r="X27">
        <v>0.4</v>
      </c>
      <c r="Y27">
        <v>0.4</v>
      </c>
      <c r="Z27">
        <v>0.4</v>
      </c>
      <c r="AA27">
        <v>0.4</v>
      </c>
      <c r="AB27">
        <v>0.4</v>
      </c>
      <c r="AC27">
        <v>0.4</v>
      </c>
      <c r="AD27">
        <v>0.4</v>
      </c>
      <c r="AE27">
        <v>0.4</v>
      </c>
      <c r="AF27">
        <v>0.4</v>
      </c>
      <c r="AG27">
        <v>0.4</v>
      </c>
      <c r="AH27">
        <v>0.4</v>
      </c>
      <c r="AI27">
        <v>0.4</v>
      </c>
      <c r="AJ27">
        <v>0.4</v>
      </c>
      <c r="AK27">
        <v>0.4</v>
      </c>
    </row>
    <row r="28" spans="1:37" x14ac:dyDescent="0.35">
      <c r="A28" t="s">
        <v>211</v>
      </c>
      <c r="B28">
        <v>27</v>
      </c>
      <c r="E28">
        <v>0.49000000000000016</v>
      </c>
      <c r="F28">
        <v>0.50200000000000011</v>
      </c>
      <c r="G28">
        <v>0.51200000000000012</v>
      </c>
      <c r="H28">
        <v>0.52200000000000013</v>
      </c>
      <c r="I28">
        <v>0.53200000000000014</v>
      </c>
      <c r="J28">
        <v>0.54200000000000015</v>
      </c>
      <c r="K28">
        <v>0.55200000000000016</v>
      </c>
      <c r="L28">
        <v>0.56200000000000017</v>
      </c>
      <c r="M28">
        <v>0.57200000000000017</v>
      </c>
      <c r="N28">
        <v>0.4</v>
      </c>
      <c r="O28">
        <v>0.4</v>
      </c>
      <c r="P28">
        <v>0.4</v>
      </c>
      <c r="Q28">
        <v>0.4</v>
      </c>
      <c r="R28">
        <v>0.4</v>
      </c>
      <c r="S28">
        <v>0.4</v>
      </c>
      <c r="T28">
        <v>0.4</v>
      </c>
      <c r="U28">
        <v>0.4</v>
      </c>
      <c r="V28">
        <v>0.4</v>
      </c>
      <c r="W28">
        <v>0.4</v>
      </c>
      <c r="X28">
        <v>0.4</v>
      </c>
      <c r="Y28">
        <v>0.4</v>
      </c>
      <c r="Z28">
        <v>0.4</v>
      </c>
      <c r="AA28">
        <v>0.4</v>
      </c>
      <c r="AB28">
        <v>0.4</v>
      </c>
      <c r="AC28">
        <v>0.4</v>
      </c>
      <c r="AD28">
        <v>0.4</v>
      </c>
      <c r="AE28">
        <v>0.4</v>
      </c>
      <c r="AF28">
        <v>0.4</v>
      </c>
      <c r="AG28">
        <v>0.4</v>
      </c>
      <c r="AH28">
        <v>0.4</v>
      </c>
      <c r="AI28">
        <v>0.4</v>
      </c>
      <c r="AJ28">
        <v>0.4</v>
      </c>
      <c r="AK28">
        <v>0.4</v>
      </c>
    </row>
    <row r="29" spans="1:37" x14ac:dyDescent="0.35">
      <c r="A29" t="s">
        <v>211</v>
      </c>
      <c r="B29">
        <v>30</v>
      </c>
      <c r="E29">
        <v>0.51000000000000012</v>
      </c>
      <c r="F29">
        <v>0.52200000000000013</v>
      </c>
      <c r="G29">
        <v>0.53200000000000014</v>
      </c>
      <c r="H29">
        <v>0.54200000000000015</v>
      </c>
      <c r="I29">
        <v>0.55200000000000016</v>
      </c>
      <c r="J29">
        <v>0.56200000000000017</v>
      </c>
      <c r="K29">
        <v>0.57200000000000017</v>
      </c>
      <c r="L29">
        <v>0.58200000000000018</v>
      </c>
      <c r="M29">
        <v>0.59200000000000019</v>
      </c>
      <c r="N29">
        <v>0.4</v>
      </c>
      <c r="O29">
        <v>0.4</v>
      </c>
      <c r="P29">
        <v>0.4</v>
      </c>
      <c r="Q29">
        <v>0.4</v>
      </c>
      <c r="R29">
        <v>0.4</v>
      </c>
      <c r="S29">
        <v>0.4</v>
      </c>
      <c r="T29">
        <v>0.4</v>
      </c>
      <c r="U29">
        <v>0.4</v>
      </c>
      <c r="V29">
        <v>0.4</v>
      </c>
      <c r="W29">
        <v>0.4</v>
      </c>
      <c r="X29">
        <v>0.4</v>
      </c>
      <c r="Y29">
        <v>0.4</v>
      </c>
      <c r="Z29">
        <v>0.4</v>
      </c>
      <c r="AA29">
        <v>0.4</v>
      </c>
      <c r="AB29">
        <v>0.4</v>
      </c>
      <c r="AC29">
        <v>0.4</v>
      </c>
      <c r="AD29">
        <v>0.4</v>
      </c>
      <c r="AE29">
        <v>0.4</v>
      </c>
      <c r="AF29">
        <v>0.4</v>
      </c>
      <c r="AG29">
        <v>0.4</v>
      </c>
      <c r="AH29">
        <v>0.4</v>
      </c>
      <c r="AI29">
        <v>0.4</v>
      </c>
      <c r="AJ29">
        <v>0.4</v>
      </c>
      <c r="AK29">
        <v>0.4</v>
      </c>
    </row>
    <row r="30" spans="1:37" x14ac:dyDescent="0.35">
      <c r="A30" t="s">
        <v>211</v>
      </c>
      <c r="B30">
        <v>33</v>
      </c>
      <c r="E30">
        <v>0.53000000000000014</v>
      </c>
      <c r="F30">
        <v>0.54200000000000015</v>
      </c>
      <c r="G30">
        <v>0.55200000000000016</v>
      </c>
      <c r="H30">
        <v>0.56200000000000017</v>
      </c>
      <c r="I30">
        <v>0.57200000000000017</v>
      </c>
      <c r="J30">
        <v>0.58200000000000018</v>
      </c>
      <c r="K30">
        <v>0.59200000000000019</v>
      </c>
      <c r="L30">
        <v>0.6020000000000002</v>
      </c>
      <c r="M30">
        <v>0.61200000000000021</v>
      </c>
      <c r="N30">
        <v>0.4</v>
      </c>
      <c r="O30">
        <v>0.4</v>
      </c>
      <c r="P30">
        <v>0.4</v>
      </c>
      <c r="Q30">
        <v>0.4</v>
      </c>
      <c r="R30">
        <v>0.4</v>
      </c>
      <c r="S30">
        <v>0.4</v>
      </c>
      <c r="T30">
        <v>0.4</v>
      </c>
      <c r="U30">
        <v>0.4</v>
      </c>
      <c r="V30">
        <v>0.4</v>
      </c>
      <c r="W30">
        <v>0.4</v>
      </c>
      <c r="X30">
        <v>0.4</v>
      </c>
      <c r="Y30">
        <v>0.4</v>
      </c>
      <c r="Z30">
        <v>0.4</v>
      </c>
      <c r="AA30">
        <v>0.4</v>
      </c>
      <c r="AB30">
        <v>0.4</v>
      </c>
      <c r="AC30">
        <v>0.4</v>
      </c>
      <c r="AD30">
        <v>0.4</v>
      </c>
      <c r="AE30">
        <v>0.4</v>
      </c>
      <c r="AF30">
        <v>0.4</v>
      </c>
      <c r="AG30">
        <v>0.4</v>
      </c>
      <c r="AH30">
        <v>0.4</v>
      </c>
      <c r="AI30">
        <v>0.4</v>
      </c>
      <c r="AJ30">
        <v>0.4</v>
      </c>
      <c r="AK30">
        <v>0.4</v>
      </c>
    </row>
    <row r="31" spans="1:37" x14ac:dyDescent="0.35">
      <c r="A31" t="s">
        <v>211</v>
      </c>
      <c r="B31">
        <v>36</v>
      </c>
      <c r="E31">
        <v>0.55000000000000016</v>
      </c>
      <c r="F31">
        <v>0.56200000000000017</v>
      </c>
      <c r="G31">
        <v>0.57200000000000017</v>
      </c>
      <c r="H31">
        <v>0.58200000000000018</v>
      </c>
      <c r="I31">
        <v>0.59200000000000019</v>
      </c>
      <c r="J31">
        <v>0.6020000000000002</v>
      </c>
      <c r="K31">
        <v>0.61200000000000021</v>
      </c>
      <c r="L31">
        <v>0.62200000000000022</v>
      </c>
      <c r="M31">
        <v>0.63200000000000023</v>
      </c>
      <c r="N31">
        <v>0.4</v>
      </c>
      <c r="O31">
        <v>0.4</v>
      </c>
      <c r="P31">
        <v>0.4</v>
      </c>
      <c r="Q31">
        <v>0.4</v>
      </c>
      <c r="R31">
        <v>0.4</v>
      </c>
      <c r="S31">
        <v>0.4</v>
      </c>
      <c r="T31">
        <v>0.4</v>
      </c>
      <c r="U31">
        <v>0.4</v>
      </c>
      <c r="V31">
        <v>0.4</v>
      </c>
      <c r="W31">
        <v>0.4</v>
      </c>
      <c r="X31">
        <v>0.4</v>
      </c>
      <c r="Y31">
        <v>0.4</v>
      </c>
      <c r="Z31">
        <v>0.4</v>
      </c>
      <c r="AA31">
        <v>0.4</v>
      </c>
      <c r="AB31">
        <v>0.4</v>
      </c>
      <c r="AC31">
        <v>0.4</v>
      </c>
      <c r="AD31">
        <v>0.4</v>
      </c>
      <c r="AE31">
        <v>0.4</v>
      </c>
      <c r="AF31">
        <v>0.4</v>
      </c>
      <c r="AG31">
        <v>0.4</v>
      </c>
      <c r="AH31">
        <v>0.4</v>
      </c>
      <c r="AI31">
        <v>0.4</v>
      </c>
      <c r="AJ31">
        <v>0.4</v>
      </c>
      <c r="AK31">
        <v>0.4</v>
      </c>
    </row>
    <row r="32" spans="1:37" x14ac:dyDescent="0.35">
      <c r="A32" t="s">
        <v>211</v>
      </c>
      <c r="B32">
        <v>39</v>
      </c>
      <c r="E32">
        <v>0.57000000000000017</v>
      </c>
      <c r="F32">
        <v>0.58200000000000018</v>
      </c>
      <c r="G32">
        <v>0.59200000000000019</v>
      </c>
      <c r="H32">
        <v>0.6020000000000002</v>
      </c>
      <c r="I32">
        <v>0.61200000000000021</v>
      </c>
      <c r="J32">
        <v>0.62200000000000022</v>
      </c>
      <c r="K32">
        <v>0.63200000000000023</v>
      </c>
      <c r="L32">
        <v>0.64200000000000024</v>
      </c>
      <c r="M32">
        <v>0.65200000000000025</v>
      </c>
      <c r="N32">
        <v>0.4</v>
      </c>
      <c r="O32">
        <v>0.4</v>
      </c>
      <c r="P32">
        <v>0.4</v>
      </c>
      <c r="Q32">
        <v>0.4</v>
      </c>
      <c r="R32">
        <v>0.4</v>
      </c>
      <c r="S32">
        <v>0.4</v>
      </c>
      <c r="T32">
        <v>0.4</v>
      </c>
      <c r="U32">
        <v>0.4</v>
      </c>
      <c r="V32">
        <v>0.4</v>
      </c>
      <c r="W32">
        <v>0.4</v>
      </c>
      <c r="X32">
        <v>0.4</v>
      </c>
      <c r="Y32">
        <v>0.4</v>
      </c>
      <c r="Z32">
        <v>0.4</v>
      </c>
      <c r="AA32">
        <v>0.4</v>
      </c>
      <c r="AB32">
        <v>0.4</v>
      </c>
      <c r="AC32">
        <v>0.4</v>
      </c>
      <c r="AD32">
        <v>0.4</v>
      </c>
      <c r="AE32">
        <v>0.4</v>
      </c>
      <c r="AF32">
        <v>0.4</v>
      </c>
      <c r="AG32">
        <v>0.4</v>
      </c>
      <c r="AH32">
        <v>0.4</v>
      </c>
      <c r="AI32">
        <v>0.4</v>
      </c>
      <c r="AJ32">
        <v>0.4</v>
      </c>
      <c r="AK32">
        <v>0.4</v>
      </c>
    </row>
    <row r="33" spans="1:37" x14ac:dyDescent="0.35">
      <c r="A33" t="s">
        <v>211</v>
      </c>
      <c r="B33">
        <v>42</v>
      </c>
      <c r="E33">
        <v>0.59000000000000019</v>
      </c>
      <c r="F33">
        <v>0.6020000000000002</v>
      </c>
      <c r="G33">
        <v>0.61200000000000021</v>
      </c>
      <c r="H33">
        <v>0.62200000000000022</v>
      </c>
      <c r="I33">
        <v>0.63200000000000023</v>
      </c>
      <c r="J33">
        <v>0.64200000000000024</v>
      </c>
      <c r="K33">
        <v>0.65200000000000025</v>
      </c>
      <c r="L33">
        <v>0.66200000000000025</v>
      </c>
      <c r="M33">
        <v>0.67200000000000026</v>
      </c>
      <c r="N33">
        <v>0.4</v>
      </c>
      <c r="O33">
        <v>0.4</v>
      </c>
      <c r="P33">
        <v>0.4</v>
      </c>
      <c r="Q33">
        <v>0.4</v>
      </c>
      <c r="R33">
        <v>0.4</v>
      </c>
      <c r="S33">
        <v>0.4</v>
      </c>
      <c r="T33">
        <v>0.4</v>
      </c>
      <c r="U33">
        <v>0.4</v>
      </c>
      <c r="V33">
        <v>0.4</v>
      </c>
      <c r="W33">
        <v>0.4</v>
      </c>
      <c r="X33">
        <v>0.4</v>
      </c>
      <c r="Y33">
        <v>0.4</v>
      </c>
      <c r="Z33">
        <v>0.4</v>
      </c>
      <c r="AA33">
        <v>0.4</v>
      </c>
      <c r="AB33">
        <v>0.4</v>
      </c>
      <c r="AC33">
        <v>0.4</v>
      </c>
      <c r="AD33">
        <v>0.4</v>
      </c>
      <c r="AE33">
        <v>0.4</v>
      </c>
      <c r="AF33">
        <v>0.4</v>
      </c>
      <c r="AG33">
        <v>0.4</v>
      </c>
      <c r="AH33">
        <v>0.4</v>
      </c>
      <c r="AI33">
        <v>0.4</v>
      </c>
      <c r="AJ33">
        <v>0.4</v>
      </c>
      <c r="AK33">
        <v>0.4</v>
      </c>
    </row>
    <row r="34" spans="1:37" x14ac:dyDescent="0.35">
      <c r="A34" t="s">
        <v>212</v>
      </c>
      <c r="D34">
        <v>0.42</v>
      </c>
    </row>
  </sheetData>
  <dataValidations disablePrompts="1" count="1">
    <dataValidation type="list" allowBlank="1" showInputMessage="1" showErrorMessage="1" sqref="C7:C8 C10:C11" xr:uid="{BEFC2F1A-A500-413B-9730-11F33E074B3F}">
      <formula1>"CENTRAL,STRESS,OPTIMISTE"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A168-FDB0-4BB0-9919-99127FD258AD}">
  <dimension ref="A1"/>
  <sheetViews>
    <sheetView workbookViewId="0">
      <selection activeCell="G13" sqref="G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6C9F-CD81-44C6-ACB0-D5AD55CFFAC9}">
  <dimension ref="A1"/>
  <sheetViews>
    <sheetView workbookViewId="0">
      <selection activeCell="K13" sqref="K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CE34-FA11-450B-9586-D7E6F764AA80}">
  <sheetPr>
    <tabColor theme="4"/>
  </sheetPr>
  <dimension ref="A5:AJ11"/>
  <sheetViews>
    <sheetView zoomScale="90" workbookViewId="0">
      <selection activeCell="I18" sqref="I18"/>
    </sheetView>
  </sheetViews>
  <sheetFormatPr baseColWidth="10" defaultRowHeight="14.5" x14ac:dyDescent="0.35"/>
  <cols>
    <col min="1" max="1" width="18" bestFit="1" customWidth="1"/>
    <col min="3" max="3" width="18.08984375" bestFit="1" customWidth="1"/>
  </cols>
  <sheetData>
    <row r="5" spans="1:36" s="2" customFormat="1" x14ac:dyDescent="0.35">
      <c r="A5" s="2" t="s">
        <v>78</v>
      </c>
      <c r="B5" s="2" t="s">
        <v>26</v>
      </c>
      <c r="C5" s="2" t="s">
        <v>130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C6" s="5"/>
    </row>
    <row r="7" spans="1:36" x14ac:dyDescent="0.35">
      <c r="C7" s="5"/>
    </row>
    <row r="8" spans="1:36" x14ac:dyDescent="0.35">
      <c r="C8" s="5"/>
    </row>
    <row r="9" spans="1:36" x14ac:dyDescent="0.35">
      <c r="D9" s="5"/>
      <c r="E9" s="5"/>
      <c r="F9" s="5"/>
      <c r="G9" s="5"/>
      <c r="H9" s="5"/>
      <c r="I9" s="5"/>
      <c r="J9" s="5"/>
      <c r="K9" s="5"/>
      <c r="L9" s="5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5">
      <c r="D10" s="5"/>
      <c r="E10" s="5"/>
      <c r="F10" s="5"/>
      <c r="G10" s="5"/>
      <c r="H10" s="5"/>
      <c r="I10" s="5"/>
      <c r="J10" s="5"/>
      <c r="K10" s="5"/>
      <c r="L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</row>
    <row r="11" spans="1:36" x14ac:dyDescent="0.35">
      <c r="D11" s="5"/>
      <c r="E11" s="5"/>
      <c r="F11" s="5"/>
      <c r="G11" s="5"/>
      <c r="H11" s="5"/>
      <c r="I11" s="5"/>
      <c r="J11" s="5"/>
      <c r="K11" s="5"/>
      <c r="L11" s="5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</row>
  </sheetData>
  <dataValidations count="1">
    <dataValidation type="list" allowBlank="1" showInputMessage="1" showErrorMessage="1" sqref="B7:B8 B10:B11" xr:uid="{004D243F-8B2B-4B8E-B450-DEFF82CA03C9}">
      <formula1>"CENTRAL,STRESS,OPTIMISTE"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0bb37-bc95-4fbe-a9dd-c586fa949031}" enabled="0" method="" siteId="{9ef0bb37-bc95-4fbe-a9dd-c586fa94903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F0-Scenarios Weight</vt:lpstr>
      <vt:lpstr>F1-Mapping fields Non Retail</vt:lpstr>
      <vt:lpstr>F1-Mapping fields Retail S1S2</vt:lpstr>
      <vt:lpstr>F1-Mapping fields Retail S3</vt:lpstr>
      <vt:lpstr>F2-Mapping time steps</vt:lpstr>
      <vt:lpstr>F3-Mapping Segment SICR</vt:lpstr>
      <vt:lpstr>F4-Histo PD Multi Non Retail</vt:lpstr>
      <vt:lpstr>Histo PD Multi Retail</vt:lpstr>
      <vt:lpstr>Perimeters Segmentation</vt:lpstr>
      <vt:lpstr>F6-PD S1S2 Non Retail</vt:lpstr>
      <vt:lpstr>PD S1S2 Retail</vt:lpstr>
      <vt:lpstr>F8-LGD S1S2 Non Retail</vt:lpstr>
      <vt:lpstr>LGD S1S2 Retail</vt:lpstr>
      <vt:lpstr>LGD S3 Retail</vt:lpstr>
      <vt:lpstr>CCF Retail</vt:lpstr>
      <vt:lpstr>F12-CCF Non Retail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Hong-Cuong LE</dc:creator>
  <cp:lastModifiedBy>Hong-Cuong LE</cp:lastModifiedBy>
  <dcterms:created xsi:type="dcterms:W3CDTF">2025-08-01T14:39:19Z</dcterms:created>
  <dcterms:modified xsi:type="dcterms:W3CDTF">2025-09-29T16:38:43Z</dcterms:modified>
</cp:coreProperties>
</file>