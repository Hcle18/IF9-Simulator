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ialog365-my.sharepoint.com/personal/hcle_nexialog_com/Documents/Documents/IFRS9-Simulation/sample/templates/"/>
    </mc:Choice>
  </mc:AlternateContent>
  <xr:revisionPtr revIDLastSave="404" documentId="8_{AFB8AE1F-C1C1-4A4D-92C3-D5E9A3F69F11}" xr6:coauthVersionLast="47" xr6:coauthVersionMax="47" xr10:uidLastSave="{D9009324-457C-4653-ABBB-67B318F56646}"/>
  <bookViews>
    <workbookView xWindow="-110" yWindow="-110" windowWidth="19420" windowHeight="10420" tabRatio="831" activeTab="1" xr2:uid="{5ADE5E38-8C15-4A1D-BC21-AF3E8C7499E2}"/>
  </bookViews>
  <sheets>
    <sheet name="F1-Mapping fields Non Retail" sheetId="1" r:id="rId1"/>
    <sheet name="F2-Mapping time steps" sheetId="2" r:id="rId2"/>
    <sheet name="F3-Mapping Segment SICR" sheetId="3" r:id="rId3"/>
    <sheet name="F4-Histo PD Multi Non Retail" sheetId="4" r:id="rId4"/>
    <sheet name="Histo PD Multi Retail" sheetId="5" r:id="rId5"/>
    <sheet name="Perimeters Segmentation" sheetId="6" r:id="rId6"/>
    <sheet name="F6-PD S1S2 Non Retail" sheetId="7" r:id="rId7"/>
    <sheet name="PD S1S2 Retail" sheetId="8" r:id="rId8"/>
    <sheet name="F8-LGD S1S2 Non Retail" sheetId="9" r:id="rId9"/>
    <sheet name="LGD S1S2 Retail" sheetId="10" r:id="rId10"/>
    <sheet name="LGD S3 Retail" sheetId="11" r:id="rId11"/>
    <sheet name="CCF Retail" sheetId="12" r:id="rId12"/>
    <sheet name="F12-CCF Non Retail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4" l="1"/>
  <c r="E10" i="9"/>
  <c r="F10" i="9" s="1"/>
  <c r="G10" i="9" s="1"/>
  <c r="H10" i="9" s="1"/>
  <c r="I10" i="9" s="1"/>
  <c r="J10" i="9" s="1"/>
  <c r="K10" i="9" s="1"/>
  <c r="L10" i="9" s="1"/>
  <c r="E11" i="9"/>
  <c r="F11" i="9" s="1"/>
  <c r="G11" i="9" s="1"/>
  <c r="H11" i="9" s="1"/>
  <c r="I11" i="9" s="1"/>
  <c r="J11" i="9" s="1"/>
  <c r="K11" i="9" s="1"/>
  <c r="L11" i="9" s="1"/>
  <c r="E9" i="9"/>
  <c r="F9" i="9" s="1"/>
  <c r="G9" i="9" s="1"/>
  <c r="H9" i="9" s="1"/>
  <c r="I9" i="9" s="1"/>
  <c r="J9" i="9" s="1"/>
  <c r="K9" i="9" s="1"/>
  <c r="L9" i="9" s="1"/>
  <c r="D11" i="9"/>
  <c r="D10" i="9"/>
  <c r="X3" i="7"/>
  <c r="Y3" i="7" s="1"/>
  <c r="Z3" i="7" s="1"/>
  <c r="AA3" i="7" s="1"/>
  <c r="AB3" i="7" s="1"/>
  <c r="AC3" i="7" s="1"/>
  <c r="AD3" i="7" s="1"/>
  <c r="AE3" i="7" s="1"/>
  <c r="AF3" i="7" s="1"/>
  <c r="AG3" i="7" s="1"/>
  <c r="D6" i="7"/>
  <c r="AA3" i="4" l="1"/>
  <c r="D25" i="7"/>
  <c r="D63" i="7"/>
  <c r="E6" i="7"/>
  <c r="AH3" i="7"/>
  <c r="AI3" i="7" s="1"/>
  <c r="AJ3" i="7" s="1"/>
  <c r="D7" i="7"/>
  <c r="AB3" i="4" l="1"/>
  <c r="E25" i="7"/>
  <c r="E63" i="7"/>
  <c r="D44" i="7"/>
  <c r="D101" i="7" s="1"/>
  <c r="D82" i="7"/>
  <c r="D26" i="7"/>
  <c r="D64" i="7"/>
  <c r="D8" i="7"/>
  <c r="F6" i="7"/>
  <c r="E7" i="7"/>
  <c r="AC3" i="4" l="1"/>
  <c r="E82" i="7"/>
  <c r="E44" i="7"/>
  <c r="E101" i="7" s="1"/>
  <c r="F25" i="7"/>
  <c r="F63" i="7"/>
  <c r="E26" i="7"/>
  <c r="E64" i="7"/>
  <c r="D83" i="7"/>
  <c r="D45" i="7"/>
  <c r="D102" i="7" s="1"/>
  <c r="D27" i="7"/>
  <c r="D65" i="7"/>
  <c r="F7" i="7"/>
  <c r="D9" i="7"/>
  <c r="E8" i="7"/>
  <c r="G6" i="7"/>
  <c r="AD3" i="4" l="1"/>
  <c r="F82" i="7"/>
  <c r="F44" i="7"/>
  <c r="F101" i="7" s="1"/>
  <c r="E83" i="7"/>
  <c r="E45" i="7"/>
  <c r="E102" i="7" s="1"/>
  <c r="F26" i="7"/>
  <c r="F64" i="7"/>
  <c r="E27" i="7"/>
  <c r="E65" i="7"/>
  <c r="G25" i="7"/>
  <c r="G63" i="7"/>
  <c r="D84" i="7"/>
  <c r="D46" i="7"/>
  <c r="D103" i="7" s="1"/>
  <c r="D28" i="7"/>
  <c r="D66" i="7"/>
  <c r="F8" i="7"/>
  <c r="G7" i="7"/>
  <c r="D10" i="7"/>
  <c r="E9" i="7"/>
  <c r="H6" i="7"/>
  <c r="AE3" i="4" l="1"/>
  <c r="F83" i="7"/>
  <c r="F45" i="7"/>
  <c r="F102" i="7" s="1"/>
  <c r="E84" i="7"/>
  <c r="E46" i="7"/>
  <c r="E103" i="7" s="1"/>
  <c r="G82" i="7"/>
  <c r="G44" i="7"/>
  <c r="G101" i="7" s="1"/>
  <c r="F27" i="7"/>
  <c r="F65" i="7"/>
  <c r="G26" i="7"/>
  <c r="G64" i="7"/>
  <c r="E28" i="7"/>
  <c r="E66" i="7"/>
  <c r="H25" i="7"/>
  <c r="H63" i="7"/>
  <c r="D85" i="7"/>
  <c r="D47" i="7"/>
  <c r="D104" i="7" s="1"/>
  <c r="D29" i="7"/>
  <c r="D67" i="7"/>
  <c r="F9" i="7"/>
  <c r="G8" i="7"/>
  <c r="H7" i="7"/>
  <c r="D11" i="7"/>
  <c r="E10" i="7"/>
  <c r="I6" i="7"/>
  <c r="AF3" i="4" l="1"/>
  <c r="F84" i="7"/>
  <c r="F46" i="7"/>
  <c r="F103" i="7" s="1"/>
  <c r="G83" i="7"/>
  <c r="G45" i="7"/>
  <c r="G102" i="7" s="1"/>
  <c r="E85" i="7"/>
  <c r="E47" i="7"/>
  <c r="E104" i="7" s="1"/>
  <c r="H82" i="7"/>
  <c r="H44" i="7"/>
  <c r="H101" i="7" s="1"/>
  <c r="F28" i="7"/>
  <c r="F66" i="7"/>
  <c r="G27" i="7"/>
  <c r="G65" i="7"/>
  <c r="H26" i="7"/>
  <c r="H64" i="7"/>
  <c r="E29" i="7"/>
  <c r="E67" i="7"/>
  <c r="I25" i="7"/>
  <c r="I63" i="7"/>
  <c r="D86" i="7"/>
  <c r="D48" i="7"/>
  <c r="D105" i="7" s="1"/>
  <c r="D30" i="7"/>
  <c r="D68" i="7"/>
  <c r="F10" i="7"/>
  <c r="G9" i="7"/>
  <c r="H8" i="7"/>
  <c r="I7" i="7"/>
  <c r="D12" i="7"/>
  <c r="E11" i="7"/>
  <c r="J6" i="7"/>
  <c r="AG3" i="4" l="1"/>
  <c r="F85" i="7"/>
  <c r="F47" i="7"/>
  <c r="F104" i="7" s="1"/>
  <c r="G84" i="7"/>
  <c r="G46" i="7"/>
  <c r="G103" i="7" s="1"/>
  <c r="H83" i="7"/>
  <c r="H45" i="7"/>
  <c r="H102" i="7" s="1"/>
  <c r="E86" i="7"/>
  <c r="E48" i="7"/>
  <c r="E105" i="7" s="1"/>
  <c r="I82" i="7"/>
  <c r="I44" i="7"/>
  <c r="I101" i="7" s="1"/>
  <c r="F29" i="7"/>
  <c r="F67" i="7"/>
  <c r="G28" i="7"/>
  <c r="G66" i="7"/>
  <c r="H27" i="7"/>
  <c r="H65" i="7"/>
  <c r="I26" i="7"/>
  <c r="I64" i="7"/>
  <c r="E30" i="7"/>
  <c r="E68" i="7"/>
  <c r="J25" i="7"/>
  <c r="J63" i="7"/>
  <c r="D87" i="7"/>
  <c r="D49" i="7"/>
  <c r="D106" i="7" s="1"/>
  <c r="D31" i="7"/>
  <c r="D69" i="7"/>
  <c r="F11" i="7"/>
  <c r="G10" i="7"/>
  <c r="H9" i="7"/>
  <c r="I8" i="7"/>
  <c r="J7" i="7"/>
  <c r="D13" i="7"/>
  <c r="E12" i="7"/>
  <c r="K6" i="7"/>
  <c r="AH3" i="4" l="1"/>
  <c r="F86" i="7"/>
  <c r="F48" i="7"/>
  <c r="F105" i="7" s="1"/>
  <c r="G85" i="7"/>
  <c r="G47" i="7"/>
  <c r="G104" i="7" s="1"/>
  <c r="H84" i="7"/>
  <c r="H46" i="7"/>
  <c r="H103" i="7" s="1"/>
  <c r="I83" i="7"/>
  <c r="I45" i="7"/>
  <c r="I102" i="7" s="1"/>
  <c r="E87" i="7"/>
  <c r="E49" i="7"/>
  <c r="E106" i="7" s="1"/>
  <c r="J82" i="7"/>
  <c r="J44" i="7"/>
  <c r="J101" i="7" s="1"/>
  <c r="F30" i="7"/>
  <c r="F68" i="7"/>
  <c r="G29" i="7"/>
  <c r="G67" i="7"/>
  <c r="H28" i="7"/>
  <c r="H66" i="7"/>
  <c r="I27" i="7"/>
  <c r="I65" i="7"/>
  <c r="J26" i="7"/>
  <c r="J64" i="7"/>
  <c r="E31" i="7"/>
  <c r="E69" i="7"/>
  <c r="K25" i="7"/>
  <c r="K63" i="7"/>
  <c r="D88" i="7"/>
  <c r="D50" i="7"/>
  <c r="D107" i="7" s="1"/>
  <c r="D32" i="7"/>
  <c r="D70" i="7"/>
  <c r="F12" i="7"/>
  <c r="G11" i="7"/>
  <c r="H10" i="7"/>
  <c r="I9" i="7"/>
  <c r="J8" i="7"/>
  <c r="K7" i="7"/>
  <c r="D14" i="7"/>
  <c r="E13" i="7"/>
  <c r="L6" i="7"/>
  <c r="AI3" i="4" l="1"/>
  <c r="F87" i="7"/>
  <c r="F49" i="7"/>
  <c r="F106" i="7" s="1"/>
  <c r="G86" i="7"/>
  <c r="G48" i="7"/>
  <c r="G105" i="7" s="1"/>
  <c r="H85" i="7"/>
  <c r="H47" i="7"/>
  <c r="H104" i="7" s="1"/>
  <c r="I84" i="7"/>
  <c r="I46" i="7"/>
  <c r="I103" i="7" s="1"/>
  <c r="J83" i="7"/>
  <c r="J45" i="7"/>
  <c r="J102" i="7" s="1"/>
  <c r="E88" i="7"/>
  <c r="E50" i="7"/>
  <c r="E107" i="7" s="1"/>
  <c r="K82" i="7"/>
  <c r="K44" i="7"/>
  <c r="K101" i="7" s="1"/>
  <c r="F31" i="7"/>
  <c r="F69" i="7"/>
  <c r="G30" i="7"/>
  <c r="G68" i="7"/>
  <c r="H29" i="7"/>
  <c r="H67" i="7"/>
  <c r="I28" i="7"/>
  <c r="I66" i="7"/>
  <c r="J27" i="7"/>
  <c r="J65" i="7"/>
  <c r="K26" i="7"/>
  <c r="K64" i="7"/>
  <c r="E32" i="7"/>
  <c r="E70" i="7"/>
  <c r="L25" i="7"/>
  <c r="L63" i="7"/>
  <c r="D89" i="7"/>
  <c r="D51" i="7"/>
  <c r="D108" i="7" s="1"/>
  <c r="D33" i="7"/>
  <c r="D71" i="7"/>
  <c r="F13" i="7"/>
  <c r="G12" i="7"/>
  <c r="I10" i="7"/>
  <c r="H11" i="7"/>
  <c r="J9" i="7"/>
  <c r="K8" i="7"/>
  <c r="L7" i="7"/>
  <c r="D15" i="7"/>
  <c r="E14" i="7"/>
  <c r="M6" i="7"/>
  <c r="AJ3" i="4" l="1"/>
  <c r="F88" i="7"/>
  <c r="F50" i="7"/>
  <c r="F107" i="7" s="1"/>
  <c r="G87" i="7"/>
  <c r="G49" i="7"/>
  <c r="G106" i="7" s="1"/>
  <c r="H86" i="7"/>
  <c r="H48" i="7"/>
  <c r="H105" i="7" s="1"/>
  <c r="I85" i="7"/>
  <c r="I47" i="7"/>
  <c r="I104" i="7" s="1"/>
  <c r="J84" i="7"/>
  <c r="J46" i="7"/>
  <c r="J103" i="7" s="1"/>
  <c r="K83" i="7"/>
  <c r="K45" i="7"/>
  <c r="K102" i="7" s="1"/>
  <c r="E89" i="7"/>
  <c r="E51" i="7"/>
  <c r="E108" i="7" s="1"/>
  <c r="L82" i="7"/>
  <c r="L44" i="7"/>
  <c r="L101" i="7" s="1"/>
  <c r="F32" i="7"/>
  <c r="F70" i="7"/>
  <c r="G31" i="7"/>
  <c r="G69" i="7"/>
  <c r="I29" i="7"/>
  <c r="I67" i="7"/>
  <c r="H30" i="7"/>
  <c r="H68" i="7"/>
  <c r="J28" i="7"/>
  <c r="J66" i="7"/>
  <c r="K27" i="7"/>
  <c r="K65" i="7"/>
  <c r="L26" i="7"/>
  <c r="L64" i="7"/>
  <c r="E33" i="7"/>
  <c r="E71" i="7"/>
  <c r="M25" i="7"/>
  <c r="M63" i="7"/>
  <c r="D90" i="7"/>
  <c r="D52" i="7"/>
  <c r="D109" i="7" s="1"/>
  <c r="D34" i="7"/>
  <c r="D72" i="7"/>
  <c r="F14" i="7"/>
  <c r="G13" i="7"/>
  <c r="I11" i="7"/>
  <c r="H12" i="7"/>
  <c r="J10" i="7"/>
  <c r="K9" i="7"/>
  <c r="L8" i="7"/>
  <c r="M7" i="7"/>
  <c r="D16" i="7"/>
  <c r="E15" i="7"/>
  <c r="N6" i="7"/>
  <c r="AK3" i="4" l="1"/>
  <c r="F89" i="7"/>
  <c r="F51" i="7"/>
  <c r="F108" i="7" s="1"/>
  <c r="G88" i="7"/>
  <c r="G50" i="7"/>
  <c r="G107" i="7" s="1"/>
  <c r="I86" i="7"/>
  <c r="I48" i="7"/>
  <c r="I105" i="7" s="1"/>
  <c r="H87" i="7"/>
  <c r="H49" i="7"/>
  <c r="H106" i="7" s="1"/>
  <c r="J85" i="7"/>
  <c r="J47" i="7"/>
  <c r="J104" i="7" s="1"/>
  <c r="K84" i="7"/>
  <c r="K46" i="7"/>
  <c r="K103" i="7" s="1"/>
  <c r="L83" i="7"/>
  <c r="L45" i="7"/>
  <c r="L102" i="7" s="1"/>
  <c r="E90" i="7"/>
  <c r="E52" i="7"/>
  <c r="E109" i="7" s="1"/>
  <c r="M82" i="7"/>
  <c r="M44" i="7"/>
  <c r="M101" i="7" s="1"/>
  <c r="F33" i="7"/>
  <c r="F71" i="7"/>
  <c r="G32" i="7"/>
  <c r="G70" i="7"/>
  <c r="I30" i="7"/>
  <c r="I68" i="7"/>
  <c r="H31" i="7"/>
  <c r="H69" i="7"/>
  <c r="J29" i="7"/>
  <c r="J67" i="7"/>
  <c r="K28" i="7"/>
  <c r="K66" i="7"/>
  <c r="L27" i="7"/>
  <c r="L65" i="7"/>
  <c r="M26" i="7"/>
  <c r="M64" i="7"/>
  <c r="E34" i="7"/>
  <c r="E72" i="7"/>
  <c r="N25" i="7"/>
  <c r="N63" i="7"/>
  <c r="D91" i="7"/>
  <c r="D53" i="7"/>
  <c r="D110" i="7" s="1"/>
  <c r="D35" i="7"/>
  <c r="D73" i="7"/>
  <c r="F15" i="7"/>
  <c r="G14" i="7"/>
  <c r="I12" i="7"/>
  <c r="H13" i="7"/>
  <c r="K10" i="7"/>
  <c r="J11" i="7"/>
  <c r="L9" i="7"/>
  <c r="M8" i="7"/>
  <c r="N7" i="7"/>
  <c r="D17" i="7"/>
  <c r="E16" i="7"/>
  <c r="O6" i="7"/>
  <c r="AL3" i="4" l="1"/>
  <c r="F90" i="7"/>
  <c r="F52" i="7"/>
  <c r="F109" i="7" s="1"/>
  <c r="G89" i="7"/>
  <c r="G51" i="7"/>
  <c r="G108" i="7" s="1"/>
  <c r="I87" i="7"/>
  <c r="I49" i="7"/>
  <c r="I106" i="7" s="1"/>
  <c r="H88" i="7"/>
  <c r="H50" i="7"/>
  <c r="H107" i="7" s="1"/>
  <c r="J86" i="7"/>
  <c r="J48" i="7"/>
  <c r="J105" i="7" s="1"/>
  <c r="K85" i="7"/>
  <c r="K47" i="7"/>
  <c r="K104" i="7" s="1"/>
  <c r="L84" i="7"/>
  <c r="L46" i="7"/>
  <c r="L103" i="7" s="1"/>
  <c r="M83" i="7"/>
  <c r="M45" i="7"/>
  <c r="M102" i="7" s="1"/>
  <c r="E91" i="7"/>
  <c r="E53" i="7"/>
  <c r="E110" i="7" s="1"/>
  <c r="N82" i="7"/>
  <c r="N44" i="7"/>
  <c r="N101" i="7" s="1"/>
  <c r="F34" i="7"/>
  <c r="F72" i="7"/>
  <c r="G33" i="7"/>
  <c r="G71" i="7"/>
  <c r="I31" i="7"/>
  <c r="I69" i="7"/>
  <c r="H32" i="7"/>
  <c r="H70" i="7"/>
  <c r="K29" i="7"/>
  <c r="K67" i="7"/>
  <c r="J30" i="7"/>
  <c r="J68" i="7"/>
  <c r="L28" i="7"/>
  <c r="L66" i="7"/>
  <c r="M27" i="7"/>
  <c r="M65" i="7"/>
  <c r="N26" i="7"/>
  <c r="N64" i="7"/>
  <c r="E35" i="7"/>
  <c r="E73" i="7"/>
  <c r="O25" i="7"/>
  <c r="O63" i="7"/>
  <c r="D92" i="7"/>
  <c r="D54" i="7"/>
  <c r="D111" i="7" s="1"/>
  <c r="D36" i="7"/>
  <c r="D74" i="7"/>
  <c r="F16" i="7"/>
  <c r="G15" i="7"/>
  <c r="H14" i="7"/>
  <c r="I13" i="7"/>
  <c r="K11" i="7"/>
  <c r="J12" i="7"/>
  <c r="L10" i="7"/>
  <c r="M9" i="7"/>
  <c r="N8" i="7"/>
  <c r="O7" i="7"/>
  <c r="D18" i="7"/>
  <c r="E17" i="7"/>
  <c r="P6" i="7"/>
  <c r="F91" i="7" l="1"/>
  <c r="F53" i="7"/>
  <c r="F110" i="7" s="1"/>
  <c r="G90" i="7"/>
  <c r="G52" i="7"/>
  <c r="G109" i="7" s="1"/>
  <c r="I88" i="7"/>
  <c r="I50" i="7"/>
  <c r="I107" i="7" s="1"/>
  <c r="H89" i="7"/>
  <c r="H51" i="7"/>
  <c r="H108" i="7" s="1"/>
  <c r="K86" i="7"/>
  <c r="K48" i="7"/>
  <c r="K105" i="7" s="1"/>
  <c r="J87" i="7"/>
  <c r="J49" i="7"/>
  <c r="J106" i="7" s="1"/>
  <c r="L85" i="7"/>
  <c r="L47" i="7"/>
  <c r="L104" i="7" s="1"/>
  <c r="M84" i="7"/>
  <c r="M46" i="7"/>
  <c r="M103" i="7" s="1"/>
  <c r="N83" i="7"/>
  <c r="N45" i="7"/>
  <c r="N102" i="7" s="1"/>
  <c r="E92" i="7"/>
  <c r="E54" i="7"/>
  <c r="E111" i="7" s="1"/>
  <c r="O82" i="7"/>
  <c r="O44" i="7"/>
  <c r="O101" i="7" s="1"/>
  <c r="F35" i="7"/>
  <c r="F73" i="7"/>
  <c r="G34" i="7"/>
  <c r="G72" i="7"/>
  <c r="H33" i="7"/>
  <c r="H71" i="7"/>
  <c r="I32" i="7"/>
  <c r="I70" i="7"/>
  <c r="K30" i="7"/>
  <c r="K68" i="7"/>
  <c r="J31" i="7"/>
  <c r="J69" i="7"/>
  <c r="L29" i="7"/>
  <c r="L67" i="7"/>
  <c r="M28" i="7"/>
  <c r="M66" i="7"/>
  <c r="N27" i="7"/>
  <c r="N65" i="7"/>
  <c r="O26" i="7"/>
  <c r="O64" i="7"/>
  <c r="E36" i="7"/>
  <c r="E74" i="7"/>
  <c r="P25" i="7"/>
  <c r="P63" i="7"/>
  <c r="D93" i="7"/>
  <c r="D55" i="7"/>
  <c r="D112" i="7" s="1"/>
  <c r="D37" i="7"/>
  <c r="D75" i="7"/>
  <c r="F17" i="7"/>
  <c r="G16" i="7"/>
  <c r="H15" i="7"/>
  <c r="I14" i="7"/>
  <c r="K12" i="7"/>
  <c r="J13" i="7"/>
  <c r="L11" i="7"/>
  <c r="M10" i="7"/>
  <c r="N9" i="7"/>
  <c r="O8" i="7"/>
  <c r="P7" i="7"/>
  <c r="D19" i="7"/>
  <c r="E18" i="7"/>
  <c r="Q6" i="7"/>
  <c r="F92" i="7" l="1"/>
  <c r="F54" i="7"/>
  <c r="F111" i="7" s="1"/>
  <c r="G91" i="7"/>
  <c r="G53" i="7"/>
  <c r="G110" i="7" s="1"/>
  <c r="H90" i="7"/>
  <c r="H52" i="7"/>
  <c r="H109" i="7" s="1"/>
  <c r="I89" i="7"/>
  <c r="I51" i="7"/>
  <c r="I108" i="7" s="1"/>
  <c r="K87" i="7"/>
  <c r="K49" i="7"/>
  <c r="K106" i="7" s="1"/>
  <c r="J88" i="7"/>
  <c r="J50" i="7"/>
  <c r="J107" i="7" s="1"/>
  <c r="L86" i="7"/>
  <c r="L48" i="7"/>
  <c r="L105" i="7" s="1"/>
  <c r="M85" i="7"/>
  <c r="M47" i="7"/>
  <c r="M104" i="7" s="1"/>
  <c r="N84" i="7"/>
  <c r="N46" i="7"/>
  <c r="N103" i="7" s="1"/>
  <c r="O83" i="7"/>
  <c r="O45" i="7"/>
  <c r="O102" i="7" s="1"/>
  <c r="E93" i="7"/>
  <c r="E55" i="7"/>
  <c r="E112" i="7" s="1"/>
  <c r="P82" i="7"/>
  <c r="P44" i="7"/>
  <c r="P101" i="7" s="1"/>
  <c r="F36" i="7"/>
  <c r="F74" i="7"/>
  <c r="G35" i="7"/>
  <c r="G73" i="7"/>
  <c r="H34" i="7"/>
  <c r="H72" i="7"/>
  <c r="I33" i="7"/>
  <c r="I71" i="7"/>
  <c r="K31" i="7"/>
  <c r="K69" i="7"/>
  <c r="J32" i="7"/>
  <c r="J70" i="7"/>
  <c r="L30" i="7"/>
  <c r="L68" i="7"/>
  <c r="M29" i="7"/>
  <c r="M67" i="7"/>
  <c r="N28" i="7"/>
  <c r="N66" i="7"/>
  <c r="O27" i="7"/>
  <c r="O65" i="7"/>
  <c r="P26" i="7"/>
  <c r="P64" i="7"/>
  <c r="E37" i="7"/>
  <c r="E75" i="7"/>
  <c r="Q25" i="7"/>
  <c r="Q63" i="7"/>
  <c r="D94" i="7"/>
  <c r="D56" i="7"/>
  <c r="D113" i="7" s="1"/>
  <c r="D38" i="7"/>
  <c r="D76" i="7"/>
  <c r="F18" i="7"/>
  <c r="G17" i="7"/>
  <c r="H16" i="7"/>
  <c r="I15" i="7"/>
  <c r="K13" i="7"/>
  <c r="J14" i="7"/>
  <c r="L12" i="7"/>
  <c r="M11" i="7"/>
  <c r="N10" i="7"/>
  <c r="O9" i="7"/>
  <c r="P8" i="7"/>
  <c r="Q7" i="7"/>
  <c r="D20" i="7"/>
  <c r="E19" i="7"/>
  <c r="R6" i="7"/>
  <c r="F93" i="7" l="1"/>
  <c r="F55" i="7"/>
  <c r="F112" i="7" s="1"/>
  <c r="G92" i="7"/>
  <c r="G54" i="7"/>
  <c r="G111" i="7" s="1"/>
  <c r="H91" i="7"/>
  <c r="H53" i="7"/>
  <c r="H110" i="7" s="1"/>
  <c r="I90" i="7"/>
  <c r="I52" i="7"/>
  <c r="I109" i="7" s="1"/>
  <c r="K88" i="7"/>
  <c r="K50" i="7"/>
  <c r="K107" i="7" s="1"/>
  <c r="J89" i="7"/>
  <c r="J51" i="7"/>
  <c r="J108" i="7" s="1"/>
  <c r="L87" i="7"/>
  <c r="L49" i="7"/>
  <c r="L106" i="7" s="1"/>
  <c r="M86" i="7"/>
  <c r="M48" i="7"/>
  <c r="M105" i="7" s="1"/>
  <c r="N85" i="7"/>
  <c r="N47" i="7"/>
  <c r="N104" i="7" s="1"/>
  <c r="O84" i="7"/>
  <c r="O46" i="7"/>
  <c r="O103" i="7" s="1"/>
  <c r="P83" i="7"/>
  <c r="P45" i="7"/>
  <c r="P102" i="7" s="1"/>
  <c r="E94" i="7"/>
  <c r="E56" i="7"/>
  <c r="E113" i="7" s="1"/>
  <c r="Q82" i="7"/>
  <c r="Q44" i="7"/>
  <c r="Q101" i="7" s="1"/>
  <c r="F37" i="7"/>
  <c r="F75" i="7"/>
  <c r="G36" i="7"/>
  <c r="G74" i="7"/>
  <c r="H35" i="7"/>
  <c r="H73" i="7"/>
  <c r="I34" i="7"/>
  <c r="I72" i="7"/>
  <c r="K32" i="7"/>
  <c r="K70" i="7"/>
  <c r="J33" i="7"/>
  <c r="J71" i="7"/>
  <c r="L31" i="7"/>
  <c r="L69" i="7"/>
  <c r="M30" i="7"/>
  <c r="M68" i="7"/>
  <c r="N29" i="7"/>
  <c r="N67" i="7"/>
  <c r="O28" i="7"/>
  <c r="O66" i="7"/>
  <c r="P27" i="7"/>
  <c r="P65" i="7"/>
  <c r="Q26" i="7"/>
  <c r="Q64" i="7"/>
  <c r="E38" i="7"/>
  <c r="E76" i="7"/>
  <c r="R25" i="7"/>
  <c r="R63" i="7"/>
  <c r="D95" i="7"/>
  <c r="D57" i="7"/>
  <c r="D114" i="7" s="1"/>
  <c r="D39" i="7"/>
  <c r="D77" i="7"/>
  <c r="F19" i="7"/>
  <c r="G18" i="7"/>
  <c r="K14" i="7"/>
  <c r="H17" i="7"/>
  <c r="I16" i="7"/>
  <c r="J15" i="7"/>
  <c r="L13" i="7"/>
  <c r="M12" i="7"/>
  <c r="N11" i="7"/>
  <c r="O10" i="7"/>
  <c r="P9" i="7"/>
  <c r="Q8" i="7"/>
  <c r="R7" i="7"/>
  <c r="D21" i="7"/>
  <c r="E20" i="7"/>
  <c r="S6" i="7"/>
  <c r="F94" i="7" l="1"/>
  <c r="F56" i="7"/>
  <c r="F113" i="7" s="1"/>
  <c r="G93" i="7"/>
  <c r="G55" i="7"/>
  <c r="G112" i="7" s="1"/>
  <c r="H92" i="7"/>
  <c r="H54" i="7"/>
  <c r="H111" i="7" s="1"/>
  <c r="I91" i="7"/>
  <c r="I53" i="7"/>
  <c r="I110" i="7" s="1"/>
  <c r="K89" i="7"/>
  <c r="K51" i="7"/>
  <c r="K108" i="7" s="1"/>
  <c r="J90" i="7"/>
  <c r="J52" i="7"/>
  <c r="J109" i="7" s="1"/>
  <c r="L88" i="7"/>
  <c r="L50" i="7"/>
  <c r="L107" i="7" s="1"/>
  <c r="M87" i="7"/>
  <c r="M49" i="7"/>
  <c r="M106" i="7" s="1"/>
  <c r="N86" i="7"/>
  <c r="N48" i="7"/>
  <c r="N105" i="7" s="1"/>
  <c r="O85" i="7"/>
  <c r="O47" i="7"/>
  <c r="O104" i="7" s="1"/>
  <c r="P84" i="7"/>
  <c r="P46" i="7"/>
  <c r="P103" i="7" s="1"/>
  <c r="Q83" i="7"/>
  <c r="Q45" i="7"/>
  <c r="Q102" i="7" s="1"/>
  <c r="E95" i="7"/>
  <c r="E57" i="7"/>
  <c r="E114" i="7" s="1"/>
  <c r="R82" i="7"/>
  <c r="R44" i="7"/>
  <c r="R101" i="7" s="1"/>
  <c r="F38" i="7"/>
  <c r="F76" i="7"/>
  <c r="G37" i="7"/>
  <c r="G75" i="7"/>
  <c r="K33" i="7"/>
  <c r="K71" i="7"/>
  <c r="H36" i="7"/>
  <c r="H74" i="7"/>
  <c r="I35" i="7"/>
  <c r="I73" i="7"/>
  <c r="J34" i="7"/>
  <c r="J72" i="7"/>
  <c r="L32" i="7"/>
  <c r="L70" i="7"/>
  <c r="M31" i="7"/>
  <c r="M69" i="7"/>
  <c r="N30" i="7"/>
  <c r="N68" i="7"/>
  <c r="O29" i="7"/>
  <c r="O67" i="7"/>
  <c r="P28" i="7"/>
  <c r="P66" i="7"/>
  <c r="Q27" i="7"/>
  <c r="Q65" i="7"/>
  <c r="R26" i="7"/>
  <c r="R64" i="7"/>
  <c r="E39" i="7"/>
  <c r="E77" i="7"/>
  <c r="S25" i="7"/>
  <c r="S63" i="7"/>
  <c r="D96" i="7"/>
  <c r="D58" i="7"/>
  <c r="D115" i="7" s="1"/>
  <c r="D40" i="7"/>
  <c r="D78" i="7"/>
  <c r="F20" i="7"/>
  <c r="F77" i="7" s="1"/>
  <c r="G19" i="7"/>
  <c r="K15" i="7"/>
  <c r="H18" i="7"/>
  <c r="J16" i="7"/>
  <c r="I17" i="7"/>
  <c r="L14" i="7"/>
  <c r="M13" i="7"/>
  <c r="N12" i="7"/>
  <c r="O11" i="7"/>
  <c r="P10" i="7"/>
  <c r="Q9" i="7"/>
  <c r="R8" i="7"/>
  <c r="S7" i="7"/>
  <c r="D22" i="7"/>
  <c r="E21" i="7"/>
  <c r="T6" i="7"/>
  <c r="F95" i="7" l="1"/>
  <c r="F57" i="7"/>
  <c r="F114" i="7" s="1"/>
  <c r="G94" i="7"/>
  <c r="G56" i="7"/>
  <c r="G113" i="7" s="1"/>
  <c r="K90" i="7"/>
  <c r="K52" i="7"/>
  <c r="K109" i="7" s="1"/>
  <c r="H93" i="7"/>
  <c r="H55" i="7"/>
  <c r="H112" i="7" s="1"/>
  <c r="I92" i="7"/>
  <c r="I54" i="7"/>
  <c r="I111" i="7" s="1"/>
  <c r="J91" i="7"/>
  <c r="J53" i="7"/>
  <c r="J110" i="7" s="1"/>
  <c r="L89" i="7"/>
  <c r="L51" i="7"/>
  <c r="L108" i="7" s="1"/>
  <c r="M88" i="7"/>
  <c r="M50" i="7"/>
  <c r="M107" i="7" s="1"/>
  <c r="N87" i="7"/>
  <c r="N49" i="7"/>
  <c r="N106" i="7" s="1"/>
  <c r="O86" i="7"/>
  <c r="O48" i="7"/>
  <c r="O105" i="7" s="1"/>
  <c r="P85" i="7"/>
  <c r="P47" i="7"/>
  <c r="P104" i="7" s="1"/>
  <c r="Q84" i="7"/>
  <c r="Q46" i="7"/>
  <c r="Q103" i="7" s="1"/>
  <c r="R83" i="7"/>
  <c r="R45" i="7"/>
  <c r="R102" i="7" s="1"/>
  <c r="E96" i="7"/>
  <c r="E58" i="7"/>
  <c r="E115" i="7" s="1"/>
  <c r="S82" i="7"/>
  <c r="S44" i="7"/>
  <c r="S101" i="7" s="1"/>
  <c r="G38" i="7"/>
  <c r="G76" i="7"/>
  <c r="K34" i="7"/>
  <c r="K72" i="7"/>
  <c r="H37" i="7"/>
  <c r="H75" i="7"/>
  <c r="J35" i="7"/>
  <c r="J73" i="7"/>
  <c r="I36" i="7"/>
  <c r="I74" i="7"/>
  <c r="L33" i="7"/>
  <c r="L71" i="7"/>
  <c r="M32" i="7"/>
  <c r="M70" i="7"/>
  <c r="N31" i="7"/>
  <c r="N69" i="7"/>
  <c r="O30" i="7"/>
  <c r="O68" i="7"/>
  <c r="P29" i="7"/>
  <c r="P67" i="7"/>
  <c r="Q28" i="7"/>
  <c r="Q66" i="7"/>
  <c r="R27" i="7"/>
  <c r="R65" i="7"/>
  <c r="S26" i="7"/>
  <c r="S64" i="7"/>
  <c r="E40" i="7"/>
  <c r="E78" i="7"/>
  <c r="T25" i="7"/>
  <c r="T63" i="7"/>
  <c r="D97" i="7"/>
  <c r="D59" i="7"/>
  <c r="D116" i="7" s="1"/>
  <c r="D41" i="7"/>
  <c r="D79" i="7"/>
  <c r="F21" i="7"/>
  <c r="F78" i="7" s="1"/>
  <c r="F39" i="7"/>
  <c r="G20" i="7"/>
  <c r="K16" i="7"/>
  <c r="H19" i="7"/>
  <c r="J17" i="7"/>
  <c r="I18" i="7"/>
  <c r="L15" i="7"/>
  <c r="N13" i="7"/>
  <c r="O12" i="7"/>
  <c r="P11" i="7"/>
  <c r="Q10" i="7"/>
  <c r="S8" i="7"/>
  <c r="M14" i="7"/>
  <c r="R9" i="7"/>
  <c r="T7" i="7"/>
  <c r="D23" i="7"/>
  <c r="E22" i="7"/>
  <c r="U6" i="7"/>
  <c r="G95" i="7" l="1"/>
  <c r="G57" i="7"/>
  <c r="G114" i="7" s="1"/>
  <c r="K91" i="7"/>
  <c r="K53" i="7"/>
  <c r="K110" i="7" s="1"/>
  <c r="H94" i="7"/>
  <c r="H56" i="7"/>
  <c r="H113" i="7" s="1"/>
  <c r="J92" i="7"/>
  <c r="J54" i="7"/>
  <c r="J111" i="7" s="1"/>
  <c r="I93" i="7"/>
  <c r="I55" i="7"/>
  <c r="I112" i="7" s="1"/>
  <c r="L90" i="7"/>
  <c r="L52" i="7"/>
  <c r="L109" i="7" s="1"/>
  <c r="M89" i="7"/>
  <c r="M51" i="7"/>
  <c r="M108" i="7" s="1"/>
  <c r="N88" i="7"/>
  <c r="N50" i="7"/>
  <c r="N107" i="7" s="1"/>
  <c r="O87" i="7"/>
  <c r="O49" i="7"/>
  <c r="O106" i="7" s="1"/>
  <c r="P86" i="7"/>
  <c r="P48" i="7"/>
  <c r="P105" i="7" s="1"/>
  <c r="Q85" i="7"/>
  <c r="Q47" i="7"/>
  <c r="Q104" i="7" s="1"/>
  <c r="R84" i="7"/>
  <c r="R46" i="7"/>
  <c r="R103" i="7" s="1"/>
  <c r="S83" i="7"/>
  <c r="S45" i="7"/>
  <c r="S102" i="7" s="1"/>
  <c r="E97" i="7"/>
  <c r="E59" i="7"/>
  <c r="E116" i="7" s="1"/>
  <c r="T82" i="7"/>
  <c r="T44" i="7"/>
  <c r="T101" i="7" s="1"/>
  <c r="F58" i="7"/>
  <c r="F115" i="7" s="1"/>
  <c r="F96" i="7"/>
  <c r="G39" i="7"/>
  <c r="G77" i="7"/>
  <c r="K35" i="7"/>
  <c r="K73" i="7"/>
  <c r="H38" i="7"/>
  <c r="H76" i="7"/>
  <c r="J36" i="7"/>
  <c r="J74" i="7"/>
  <c r="I37" i="7"/>
  <c r="I75" i="7"/>
  <c r="L34" i="7"/>
  <c r="L72" i="7"/>
  <c r="N32" i="7"/>
  <c r="N70" i="7"/>
  <c r="O31" i="7"/>
  <c r="O69" i="7"/>
  <c r="P30" i="7"/>
  <c r="P68" i="7"/>
  <c r="Q29" i="7"/>
  <c r="Q67" i="7"/>
  <c r="S27" i="7"/>
  <c r="S65" i="7"/>
  <c r="M33" i="7"/>
  <c r="M71" i="7"/>
  <c r="R28" i="7"/>
  <c r="R66" i="7"/>
  <c r="T26" i="7"/>
  <c r="T64" i="7"/>
  <c r="E41" i="7"/>
  <c r="E79" i="7"/>
  <c r="U25" i="7"/>
  <c r="U63" i="7"/>
  <c r="D98" i="7"/>
  <c r="D60" i="7"/>
  <c r="D117" i="7" s="1"/>
  <c r="D42" i="7"/>
  <c r="D80" i="7"/>
  <c r="F40" i="7"/>
  <c r="F22" i="7"/>
  <c r="F79" i="7" s="1"/>
  <c r="G21" i="7"/>
  <c r="K17" i="7"/>
  <c r="H20" i="7"/>
  <c r="J18" i="7"/>
  <c r="I19" i="7"/>
  <c r="L16" i="7"/>
  <c r="N14" i="7"/>
  <c r="O13" i="7"/>
  <c r="P12" i="7"/>
  <c r="Q11" i="7"/>
  <c r="S9" i="7"/>
  <c r="R10" i="7"/>
  <c r="T8" i="7"/>
  <c r="M15" i="7"/>
  <c r="U7" i="7"/>
  <c r="D24" i="7"/>
  <c r="E23" i="7"/>
  <c r="V6" i="7"/>
  <c r="G96" i="7" l="1"/>
  <c r="G58" i="7"/>
  <c r="G115" i="7" s="1"/>
  <c r="K92" i="7"/>
  <c r="K54" i="7"/>
  <c r="K111" i="7" s="1"/>
  <c r="H95" i="7"/>
  <c r="H57" i="7"/>
  <c r="H114" i="7" s="1"/>
  <c r="J93" i="7"/>
  <c r="J55" i="7"/>
  <c r="J112" i="7" s="1"/>
  <c r="I94" i="7"/>
  <c r="I56" i="7"/>
  <c r="I113" i="7" s="1"/>
  <c r="L91" i="7"/>
  <c r="L53" i="7"/>
  <c r="L110" i="7" s="1"/>
  <c r="N89" i="7"/>
  <c r="N51" i="7"/>
  <c r="N108" i="7" s="1"/>
  <c r="O88" i="7"/>
  <c r="O50" i="7"/>
  <c r="O107" i="7" s="1"/>
  <c r="P87" i="7"/>
  <c r="P49" i="7"/>
  <c r="P106" i="7" s="1"/>
  <c r="Q86" i="7"/>
  <c r="Q48" i="7"/>
  <c r="Q105" i="7" s="1"/>
  <c r="S84" i="7"/>
  <c r="S46" i="7"/>
  <c r="S103" i="7" s="1"/>
  <c r="M90" i="7"/>
  <c r="M52" i="7"/>
  <c r="M109" i="7" s="1"/>
  <c r="R85" i="7"/>
  <c r="R47" i="7"/>
  <c r="R104" i="7" s="1"/>
  <c r="T83" i="7"/>
  <c r="T45" i="7"/>
  <c r="T102" i="7" s="1"/>
  <c r="E98" i="7"/>
  <c r="E60" i="7"/>
  <c r="E117" i="7" s="1"/>
  <c r="U82" i="7"/>
  <c r="U44" i="7"/>
  <c r="U101" i="7" s="1"/>
  <c r="F59" i="7"/>
  <c r="F116" i="7" s="1"/>
  <c r="F97" i="7"/>
  <c r="G40" i="7"/>
  <c r="G78" i="7"/>
  <c r="K36" i="7"/>
  <c r="K74" i="7"/>
  <c r="H39" i="7"/>
  <c r="H77" i="7"/>
  <c r="J37" i="7"/>
  <c r="J75" i="7"/>
  <c r="I38" i="7"/>
  <c r="I76" i="7"/>
  <c r="L35" i="7"/>
  <c r="L73" i="7"/>
  <c r="N33" i="7"/>
  <c r="N71" i="7"/>
  <c r="O32" i="7"/>
  <c r="O70" i="7"/>
  <c r="P31" i="7"/>
  <c r="P69" i="7"/>
  <c r="Q30" i="7"/>
  <c r="Q68" i="7"/>
  <c r="S28" i="7"/>
  <c r="S66" i="7"/>
  <c r="R29" i="7"/>
  <c r="R67" i="7"/>
  <c r="T27" i="7"/>
  <c r="T65" i="7"/>
  <c r="M34" i="7"/>
  <c r="M72" i="7"/>
  <c r="U26" i="7"/>
  <c r="U64" i="7"/>
  <c r="E42" i="7"/>
  <c r="E80" i="7"/>
  <c r="V25" i="7"/>
  <c r="V63" i="7"/>
  <c r="D99" i="7"/>
  <c r="D61" i="7"/>
  <c r="D118" i="7" s="1"/>
  <c r="D43" i="7"/>
  <c r="D81" i="7"/>
  <c r="F41" i="7"/>
  <c r="F23" i="7"/>
  <c r="F80" i="7" s="1"/>
  <c r="G22" i="7"/>
  <c r="K18" i="7"/>
  <c r="H21" i="7"/>
  <c r="J19" i="7"/>
  <c r="I20" i="7"/>
  <c r="R11" i="7"/>
  <c r="T9" i="7"/>
  <c r="M16" i="7"/>
  <c r="L17" i="7"/>
  <c r="P13" i="7"/>
  <c r="Q12" i="7"/>
  <c r="S10" i="7"/>
  <c r="N15" i="7"/>
  <c r="O14" i="7"/>
  <c r="U8" i="7"/>
  <c r="V7" i="7"/>
  <c r="E24" i="7"/>
  <c r="W6" i="7"/>
  <c r="G97" i="7" l="1"/>
  <c r="G59" i="7"/>
  <c r="G116" i="7" s="1"/>
  <c r="K93" i="7"/>
  <c r="K55" i="7"/>
  <c r="K112" i="7" s="1"/>
  <c r="H96" i="7"/>
  <c r="H58" i="7"/>
  <c r="H115" i="7" s="1"/>
  <c r="J94" i="7"/>
  <c r="J56" i="7"/>
  <c r="J113" i="7" s="1"/>
  <c r="I95" i="7"/>
  <c r="I57" i="7"/>
  <c r="I114" i="7" s="1"/>
  <c r="L92" i="7"/>
  <c r="L54" i="7"/>
  <c r="L111" i="7" s="1"/>
  <c r="N90" i="7"/>
  <c r="N52" i="7"/>
  <c r="N109" i="7" s="1"/>
  <c r="O89" i="7"/>
  <c r="O51" i="7"/>
  <c r="O108" i="7" s="1"/>
  <c r="P88" i="7"/>
  <c r="P50" i="7"/>
  <c r="P107" i="7" s="1"/>
  <c r="Q87" i="7"/>
  <c r="Q49" i="7"/>
  <c r="Q106" i="7" s="1"/>
  <c r="S85" i="7"/>
  <c r="S47" i="7"/>
  <c r="S104" i="7" s="1"/>
  <c r="R86" i="7"/>
  <c r="R48" i="7"/>
  <c r="R105" i="7" s="1"/>
  <c r="T84" i="7"/>
  <c r="T46" i="7"/>
  <c r="T103" i="7" s="1"/>
  <c r="M91" i="7"/>
  <c r="M53" i="7"/>
  <c r="M110" i="7" s="1"/>
  <c r="U83" i="7"/>
  <c r="U45" i="7"/>
  <c r="U102" i="7" s="1"/>
  <c r="E99" i="7"/>
  <c r="E61" i="7"/>
  <c r="E118" i="7" s="1"/>
  <c r="V82" i="7"/>
  <c r="V44" i="7"/>
  <c r="V101" i="7" s="1"/>
  <c r="F60" i="7"/>
  <c r="F117" i="7" s="1"/>
  <c r="F98" i="7"/>
  <c r="G41" i="7"/>
  <c r="G79" i="7"/>
  <c r="K37" i="7"/>
  <c r="K75" i="7"/>
  <c r="H40" i="7"/>
  <c r="H78" i="7"/>
  <c r="J38" i="7"/>
  <c r="J76" i="7"/>
  <c r="I39" i="7"/>
  <c r="I77" i="7"/>
  <c r="R30" i="7"/>
  <c r="R68" i="7"/>
  <c r="T28" i="7"/>
  <c r="T66" i="7"/>
  <c r="M35" i="7"/>
  <c r="M73" i="7"/>
  <c r="L36" i="7"/>
  <c r="L74" i="7"/>
  <c r="P32" i="7"/>
  <c r="P70" i="7"/>
  <c r="Q31" i="7"/>
  <c r="Q69" i="7"/>
  <c r="S29" i="7"/>
  <c r="S67" i="7"/>
  <c r="N34" i="7"/>
  <c r="N72" i="7"/>
  <c r="O33" i="7"/>
  <c r="O71" i="7"/>
  <c r="U27" i="7"/>
  <c r="U65" i="7"/>
  <c r="V26" i="7"/>
  <c r="V64" i="7"/>
  <c r="E43" i="7"/>
  <c r="E81" i="7"/>
  <c r="W25" i="7"/>
  <c r="W63" i="7"/>
  <c r="D100" i="7"/>
  <c r="D62" i="7"/>
  <c r="D119" i="7" s="1"/>
  <c r="F42" i="7"/>
  <c r="F24" i="7"/>
  <c r="G23" i="7"/>
  <c r="K19" i="7"/>
  <c r="H22" i="7"/>
  <c r="J20" i="7"/>
  <c r="I21" i="7"/>
  <c r="I78" i="7" s="1"/>
  <c r="S11" i="7"/>
  <c r="M17" i="7"/>
  <c r="R12" i="7"/>
  <c r="T10" i="7"/>
  <c r="L18" i="7"/>
  <c r="P14" i="7"/>
  <c r="Q13" i="7"/>
  <c r="O15" i="7"/>
  <c r="U9" i="7"/>
  <c r="N16" i="7"/>
  <c r="V8" i="7"/>
  <c r="W7" i="7"/>
  <c r="X6" i="7"/>
  <c r="G98" i="7" l="1"/>
  <c r="G60" i="7"/>
  <c r="G117" i="7" s="1"/>
  <c r="K94" i="7"/>
  <c r="K56" i="7"/>
  <c r="K113" i="7" s="1"/>
  <c r="H97" i="7"/>
  <c r="H59" i="7"/>
  <c r="H116" i="7" s="1"/>
  <c r="J95" i="7"/>
  <c r="J57" i="7"/>
  <c r="J114" i="7" s="1"/>
  <c r="I96" i="7"/>
  <c r="I58" i="7"/>
  <c r="I115" i="7" s="1"/>
  <c r="R87" i="7"/>
  <c r="R49" i="7"/>
  <c r="R106" i="7" s="1"/>
  <c r="T85" i="7"/>
  <c r="T47" i="7"/>
  <c r="T104" i="7" s="1"/>
  <c r="M92" i="7"/>
  <c r="M54" i="7"/>
  <c r="M111" i="7" s="1"/>
  <c r="L93" i="7"/>
  <c r="L55" i="7"/>
  <c r="L112" i="7" s="1"/>
  <c r="P89" i="7"/>
  <c r="P51" i="7"/>
  <c r="P108" i="7" s="1"/>
  <c r="Q88" i="7"/>
  <c r="Q50" i="7"/>
  <c r="Q107" i="7" s="1"/>
  <c r="S86" i="7"/>
  <c r="S48" i="7"/>
  <c r="S105" i="7" s="1"/>
  <c r="N91" i="7"/>
  <c r="N53" i="7"/>
  <c r="N110" i="7" s="1"/>
  <c r="O90" i="7"/>
  <c r="O52" i="7"/>
  <c r="O109" i="7" s="1"/>
  <c r="U84" i="7"/>
  <c r="U46" i="7"/>
  <c r="U103" i="7" s="1"/>
  <c r="V83" i="7"/>
  <c r="V45" i="7"/>
  <c r="V102" i="7" s="1"/>
  <c r="E100" i="7"/>
  <c r="E62" i="7"/>
  <c r="E119" i="7" s="1"/>
  <c r="W82" i="7"/>
  <c r="W44" i="7"/>
  <c r="W101" i="7" s="1"/>
  <c r="F61" i="7"/>
  <c r="F118" i="7" s="1"/>
  <c r="F99" i="7"/>
  <c r="F43" i="7"/>
  <c r="F81" i="7"/>
  <c r="G42" i="7"/>
  <c r="G80" i="7"/>
  <c r="K38" i="7"/>
  <c r="K76" i="7"/>
  <c r="H41" i="7"/>
  <c r="H79" i="7"/>
  <c r="J39" i="7"/>
  <c r="J77" i="7"/>
  <c r="S30" i="7"/>
  <c r="S68" i="7"/>
  <c r="M36" i="7"/>
  <c r="M74" i="7"/>
  <c r="R31" i="7"/>
  <c r="R69" i="7"/>
  <c r="T29" i="7"/>
  <c r="T67" i="7"/>
  <c r="L37" i="7"/>
  <c r="L75" i="7"/>
  <c r="P33" i="7"/>
  <c r="P71" i="7"/>
  <c r="Q32" i="7"/>
  <c r="Q70" i="7"/>
  <c r="O34" i="7"/>
  <c r="O72" i="7"/>
  <c r="U28" i="7"/>
  <c r="U66" i="7"/>
  <c r="N35" i="7"/>
  <c r="N73" i="7"/>
  <c r="V27" i="7"/>
  <c r="V65" i="7"/>
  <c r="W26" i="7"/>
  <c r="W64" i="7"/>
  <c r="X25" i="7"/>
  <c r="X63" i="7"/>
  <c r="I22" i="7"/>
  <c r="I79" i="7" s="1"/>
  <c r="I40" i="7"/>
  <c r="G24" i="7"/>
  <c r="H23" i="7"/>
  <c r="H80" i="7" s="1"/>
  <c r="J21" i="7"/>
  <c r="K20" i="7"/>
  <c r="S12" i="7"/>
  <c r="M18" i="7"/>
  <c r="R13" i="7"/>
  <c r="T11" i="7"/>
  <c r="L19" i="7"/>
  <c r="P15" i="7"/>
  <c r="Q14" i="7"/>
  <c r="O16" i="7"/>
  <c r="U10" i="7"/>
  <c r="N17" i="7"/>
  <c r="V9" i="7"/>
  <c r="W8" i="7"/>
  <c r="X7" i="7"/>
  <c r="Y6" i="7"/>
  <c r="F100" i="7" l="1"/>
  <c r="F62" i="7"/>
  <c r="F119" i="7" s="1"/>
  <c r="G99" i="7"/>
  <c r="G61" i="7"/>
  <c r="G118" i="7" s="1"/>
  <c r="K95" i="7"/>
  <c r="K57" i="7"/>
  <c r="K114" i="7" s="1"/>
  <c r="H98" i="7"/>
  <c r="H60" i="7"/>
  <c r="H117" i="7" s="1"/>
  <c r="J96" i="7"/>
  <c r="J58" i="7"/>
  <c r="J115" i="7" s="1"/>
  <c r="S87" i="7"/>
  <c r="S49" i="7"/>
  <c r="S106" i="7" s="1"/>
  <c r="M93" i="7"/>
  <c r="M55" i="7"/>
  <c r="M112" i="7" s="1"/>
  <c r="R88" i="7"/>
  <c r="R50" i="7"/>
  <c r="R107" i="7" s="1"/>
  <c r="T86" i="7"/>
  <c r="T48" i="7"/>
  <c r="T105" i="7" s="1"/>
  <c r="L94" i="7"/>
  <c r="L56" i="7"/>
  <c r="L113" i="7" s="1"/>
  <c r="P90" i="7"/>
  <c r="P52" i="7"/>
  <c r="P109" i="7" s="1"/>
  <c r="Q89" i="7"/>
  <c r="Q51" i="7"/>
  <c r="Q108" i="7" s="1"/>
  <c r="O91" i="7"/>
  <c r="O53" i="7"/>
  <c r="O110" i="7" s="1"/>
  <c r="U85" i="7"/>
  <c r="U47" i="7"/>
  <c r="U104" i="7" s="1"/>
  <c r="N92" i="7"/>
  <c r="N54" i="7"/>
  <c r="N111" i="7" s="1"/>
  <c r="V84" i="7"/>
  <c r="V46" i="7"/>
  <c r="V103" i="7" s="1"/>
  <c r="W83" i="7"/>
  <c r="W45" i="7"/>
  <c r="W102" i="7" s="1"/>
  <c r="X82" i="7"/>
  <c r="X44" i="7"/>
  <c r="X101" i="7" s="1"/>
  <c r="I59" i="7"/>
  <c r="I116" i="7" s="1"/>
  <c r="I97" i="7"/>
  <c r="G43" i="7"/>
  <c r="G81" i="7"/>
  <c r="J40" i="7"/>
  <c r="J78" i="7"/>
  <c r="K39" i="7"/>
  <c r="K77" i="7"/>
  <c r="S31" i="7"/>
  <c r="S69" i="7"/>
  <c r="M37" i="7"/>
  <c r="M75" i="7"/>
  <c r="R32" i="7"/>
  <c r="R70" i="7"/>
  <c r="T30" i="7"/>
  <c r="T68" i="7"/>
  <c r="L38" i="7"/>
  <c r="L76" i="7"/>
  <c r="P34" i="7"/>
  <c r="P72" i="7"/>
  <c r="Q33" i="7"/>
  <c r="Q71" i="7"/>
  <c r="O35" i="7"/>
  <c r="O73" i="7"/>
  <c r="U29" i="7"/>
  <c r="U67" i="7"/>
  <c r="N36" i="7"/>
  <c r="N74" i="7"/>
  <c r="V28" i="7"/>
  <c r="V66" i="7"/>
  <c r="W27" i="7"/>
  <c r="W65" i="7"/>
  <c r="X26" i="7"/>
  <c r="X64" i="7"/>
  <c r="Y25" i="7"/>
  <c r="Y63" i="7"/>
  <c r="I41" i="7"/>
  <c r="I23" i="7"/>
  <c r="I80" i="7" s="1"/>
  <c r="H24" i="7"/>
  <c r="H42" i="7"/>
  <c r="J22" i="7"/>
  <c r="K21" i="7"/>
  <c r="S13" i="7"/>
  <c r="M19" i="7"/>
  <c r="L20" i="7"/>
  <c r="R14" i="7"/>
  <c r="T12" i="7"/>
  <c r="Q15" i="7"/>
  <c r="O17" i="7"/>
  <c r="U11" i="7"/>
  <c r="P16" i="7"/>
  <c r="N18" i="7"/>
  <c r="V10" i="7"/>
  <c r="W9" i="7"/>
  <c r="X8" i="7"/>
  <c r="Y7" i="7"/>
  <c r="Z6" i="7"/>
  <c r="G100" i="7" l="1"/>
  <c r="G62" i="7"/>
  <c r="G119" i="7" s="1"/>
  <c r="J97" i="7"/>
  <c r="J59" i="7"/>
  <c r="J116" i="7" s="1"/>
  <c r="K96" i="7"/>
  <c r="K58" i="7"/>
  <c r="K115" i="7" s="1"/>
  <c r="S88" i="7"/>
  <c r="S50" i="7"/>
  <c r="S107" i="7" s="1"/>
  <c r="M94" i="7"/>
  <c r="M56" i="7"/>
  <c r="M113" i="7" s="1"/>
  <c r="R89" i="7"/>
  <c r="R51" i="7"/>
  <c r="R108" i="7" s="1"/>
  <c r="T87" i="7"/>
  <c r="T49" i="7"/>
  <c r="T106" i="7" s="1"/>
  <c r="L95" i="7"/>
  <c r="L57" i="7"/>
  <c r="L114" i="7" s="1"/>
  <c r="P91" i="7"/>
  <c r="P53" i="7"/>
  <c r="P110" i="7" s="1"/>
  <c r="Q90" i="7"/>
  <c r="Q52" i="7"/>
  <c r="Q109" i="7" s="1"/>
  <c r="O92" i="7"/>
  <c r="O54" i="7"/>
  <c r="O111" i="7" s="1"/>
  <c r="U86" i="7"/>
  <c r="U48" i="7"/>
  <c r="U105" i="7" s="1"/>
  <c r="N93" i="7"/>
  <c r="N55" i="7"/>
  <c r="N112" i="7" s="1"/>
  <c r="V85" i="7"/>
  <c r="V47" i="7"/>
  <c r="V104" i="7" s="1"/>
  <c r="W84" i="7"/>
  <c r="W46" i="7"/>
  <c r="W103" i="7" s="1"/>
  <c r="X83" i="7"/>
  <c r="X45" i="7"/>
  <c r="X102" i="7" s="1"/>
  <c r="Y82" i="7"/>
  <c r="Y44" i="7"/>
  <c r="Y101" i="7" s="1"/>
  <c r="I60" i="7"/>
  <c r="I117" i="7" s="1"/>
  <c r="I98" i="7"/>
  <c r="H43" i="7"/>
  <c r="H81" i="7"/>
  <c r="H61" i="7"/>
  <c r="H118" i="7" s="1"/>
  <c r="H99" i="7"/>
  <c r="J41" i="7"/>
  <c r="J79" i="7"/>
  <c r="K40" i="7"/>
  <c r="K78" i="7"/>
  <c r="S32" i="7"/>
  <c r="S70" i="7"/>
  <c r="M38" i="7"/>
  <c r="M76" i="7"/>
  <c r="L39" i="7"/>
  <c r="L77" i="7"/>
  <c r="R33" i="7"/>
  <c r="R71" i="7"/>
  <c r="T31" i="7"/>
  <c r="T69" i="7"/>
  <c r="Q34" i="7"/>
  <c r="Q72" i="7"/>
  <c r="O36" i="7"/>
  <c r="O74" i="7"/>
  <c r="U30" i="7"/>
  <c r="U68" i="7"/>
  <c r="P35" i="7"/>
  <c r="P73" i="7"/>
  <c r="N37" i="7"/>
  <c r="N75" i="7"/>
  <c r="V29" i="7"/>
  <c r="V67" i="7"/>
  <c r="W28" i="7"/>
  <c r="W66" i="7"/>
  <c r="X27" i="7"/>
  <c r="X65" i="7"/>
  <c r="Y26" i="7"/>
  <c r="Y64" i="7"/>
  <c r="Z25" i="7"/>
  <c r="Z63" i="7"/>
  <c r="I42" i="7"/>
  <c r="I24" i="7"/>
  <c r="J23" i="7"/>
  <c r="J80" i="7" s="1"/>
  <c r="K22" i="7"/>
  <c r="K79" i="7" s="1"/>
  <c r="L21" i="7"/>
  <c r="L78" i="7" s="1"/>
  <c r="M20" i="7"/>
  <c r="M77" i="7" s="1"/>
  <c r="Q16" i="7"/>
  <c r="O18" i="7"/>
  <c r="S14" i="7"/>
  <c r="R15" i="7"/>
  <c r="U12" i="7"/>
  <c r="P17" i="7"/>
  <c r="V11" i="7"/>
  <c r="T13" i="7"/>
  <c r="N19" i="7"/>
  <c r="W10" i="7"/>
  <c r="X9" i="7"/>
  <c r="Y8" i="7"/>
  <c r="Z7" i="7"/>
  <c r="AA6" i="7"/>
  <c r="H100" i="7" l="1"/>
  <c r="H62" i="7"/>
  <c r="H119" i="7" s="1"/>
  <c r="J98" i="7"/>
  <c r="J60" i="7"/>
  <c r="J117" i="7" s="1"/>
  <c r="K97" i="7"/>
  <c r="K59" i="7"/>
  <c r="K116" i="7" s="1"/>
  <c r="S89" i="7"/>
  <c r="S51" i="7"/>
  <c r="S108" i="7" s="1"/>
  <c r="M95" i="7"/>
  <c r="M57" i="7"/>
  <c r="M114" i="7" s="1"/>
  <c r="L96" i="7"/>
  <c r="L58" i="7"/>
  <c r="L115" i="7" s="1"/>
  <c r="R90" i="7"/>
  <c r="R52" i="7"/>
  <c r="R109" i="7" s="1"/>
  <c r="T88" i="7"/>
  <c r="T50" i="7"/>
  <c r="T107" i="7" s="1"/>
  <c r="Q91" i="7"/>
  <c r="Q53" i="7"/>
  <c r="Q110" i="7" s="1"/>
  <c r="O93" i="7"/>
  <c r="O55" i="7"/>
  <c r="O112" i="7" s="1"/>
  <c r="U87" i="7"/>
  <c r="U49" i="7"/>
  <c r="U106" i="7" s="1"/>
  <c r="P92" i="7"/>
  <c r="P54" i="7"/>
  <c r="P111" i="7" s="1"/>
  <c r="N94" i="7"/>
  <c r="N56" i="7"/>
  <c r="N113" i="7" s="1"/>
  <c r="V86" i="7"/>
  <c r="V48" i="7"/>
  <c r="V105" i="7" s="1"/>
  <c r="W85" i="7"/>
  <c r="W47" i="7"/>
  <c r="W104" i="7" s="1"/>
  <c r="X84" i="7"/>
  <c r="X46" i="7"/>
  <c r="X103" i="7" s="1"/>
  <c r="Y83" i="7"/>
  <c r="Y45" i="7"/>
  <c r="Y102" i="7" s="1"/>
  <c r="Z82" i="7"/>
  <c r="Z44" i="7"/>
  <c r="Z101" i="7" s="1"/>
  <c r="I61" i="7"/>
  <c r="I118" i="7" s="1"/>
  <c r="I99" i="7"/>
  <c r="I43" i="7"/>
  <c r="I81" i="7"/>
  <c r="Q35" i="7"/>
  <c r="Q73" i="7"/>
  <c r="O37" i="7"/>
  <c r="O75" i="7"/>
  <c r="S33" i="7"/>
  <c r="S71" i="7"/>
  <c r="R34" i="7"/>
  <c r="R72" i="7"/>
  <c r="U31" i="7"/>
  <c r="U69" i="7"/>
  <c r="P36" i="7"/>
  <c r="P74" i="7"/>
  <c r="V30" i="7"/>
  <c r="V68" i="7"/>
  <c r="T32" i="7"/>
  <c r="T70" i="7"/>
  <c r="N38" i="7"/>
  <c r="N76" i="7"/>
  <c r="W29" i="7"/>
  <c r="W67" i="7"/>
  <c r="X28" i="7"/>
  <c r="X66" i="7"/>
  <c r="Y27" i="7"/>
  <c r="Y65" i="7"/>
  <c r="Z26" i="7"/>
  <c r="Z64" i="7"/>
  <c r="AA25" i="7"/>
  <c r="AA63" i="7"/>
  <c r="J42" i="7"/>
  <c r="J24" i="7"/>
  <c r="K41" i="7"/>
  <c r="K23" i="7"/>
  <c r="K80" i="7" s="1"/>
  <c r="L40" i="7"/>
  <c r="L22" i="7"/>
  <c r="L79" i="7" s="1"/>
  <c r="M39" i="7"/>
  <c r="M21" i="7"/>
  <c r="M78" i="7" s="1"/>
  <c r="O19" i="7"/>
  <c r="P18" i="7"/>
  <c r="Q17" i="7"/>
  <c r="S15" i="7"/>
  <c r="R16" i="7"/>
  <c r="U13" i="7"/>
  <c r="V12" i="7"/>
  <c r="T14" i="7"/>
  <c r="N20" i="7"/>
  <c r="W11" i="7"/>
  <c r="X10" i="7"/>
  <c r="Y9" i="7"/>
  <c r="Z8" i="7"/>
  <c r="AA7" i="7"/>
  <c r="AB6" i="7"/>
  <c r="AB25" i="7" l="1"/>
  <c r="AB63" i="7"/>
  <c r="I100" i="7"/>
  <c r="I62" i="7"/>
  <c r="I119" i="7" s="1"/>
  <c r="Q92" i="7"/>
  <c r="Q54" i="7"/>
  <c r="Q111" i="7" s="1"/>
  <c r="O94" i="7"/>
  <c r="O56" i="7"/>
  <c r="O113" i="7" s="1"/>
  <c r="S90" i="7"/>
  <c r="S52" i="7"/>
  <c r="S109" i="7" s="1"/>
  <c r="R91" i="7"/>
  <c r="R53" i="7"/>
  <c r="R110" i="7" s="1"/>
  <c r="U88" i="7"/>
  <c r="U50" i="7"/>
  <c r="U107" i="7" s="1"/>
  <c r="P93" i="7"/>
  <c r="P55" i="7"/>
  <c r="P112" i="7" s="1"/>
  <c r="V87" i="7"/>
  <c r="V49" i="7"/>
  <c r="V106" i="7" s="1"/>
  <c r="T89" i="7"/>
  <c r="T51" i="7"/>
  <c r="T108" i="7" s="1"/>
  <c r="N95" i="7"/>
  <c r="N57" i="7"/>
  <c r="N114" i="7" s="1"/>
  <c r="W86" i="7"/>
  <c r="W48" i="7"/>
  <c r="W105" i="7" s="1"/>
  <c r="X85" i="7"/>
  <c r="X47" i="7"/>
  <c r="X104" i="7" s="1"/>
  <c r="Y84" i="7"/>
  <c r="Y46" i="7"/>
  <c r="Y103" i="7" s="1"/>
  <c r="Z83" i="7"/>
  <c r="Z45" i="7"/>
  <c r="Z102" i="7" s="1"/>
  <c r="AA82" i="7"/>
  <c r="AA44" i="7"/>
  <c r="AA101" i="7" s="1"/>
  <c r="J61" i="7"/>
  <c r="J118" i="7" s="1"/>
  <c r="J99" i="7"/>
  <c r="J43" i="7"/>
  <c r="J81" i="7"/>
  <c r="K60" i="7"/>
  <c r="K117" i="7" s="1"/>
  <c r="K98" i="7"/>
  <c r="L59" i="7"/>
  <c r="L116" i="7" s="1"/>
  <c r="L97" i="7"/>
  <c r="M58" i="7"/>
  <c r="M115" i="7" s="1"/>
  <c r="M96" i="7"/>
  <c r="O38" i="7"/>
  <c r="O76" i="7"/>
  <c r="P37" i="7"/>
  <c r="P75" i="7"/>
  <c r="Q36" i="7"/>
  <c r="Q74" i="7"/>
  <c r="S34" i="7"/>
  <c r="S72" i="7"/>
  <c r="R35" i="7"/>
  <c r="R73" i="7"/>
  <c r="U32" i="7"/>
  <c r="U70" i="7"/>
  <c r="V31" i="7"/>
  <c r="V69" i="7"/>
  <c r="T33" i="7"/>
  <c r="T71" i="7"/>
  <c r="N39" i="7"/>
  <c r="N77" i="7"/>
  <c r="W30" i="7"/>
  <c r="W68" i="7"/>
  <c r="X29" i="7"/>
  <c r="X67" i="7"/>
  <c r="Y28" i="7"/>
  <c r="Y66" i="7"/>
  <c r="Z27" i="7"/>
  <c r="Z65" i="7"/>
  <c r="AA26" i="7"/>
  <c r="AA64" i="7"/>
  <c r="K42" i="7"/>
  <c r="K24" i="7"/>
  <c r="L41" i="7"/>
  <c r="L23" i="7"/>
  <c r="L80" i="7" s="1"/>
  <c r="M40" i="7"/>
  <c r="M22" i="7"/>
  <c r="M79" i="7" s="1"/>
  <c r="O20" i="7"/>
  <c r="P19" i="7"/>
  <c r="Q18" i="7"/>
  <c r="S16" i="7"/>
  <c r="R17" i="7"/>
  <c r="U14" i="7"/>
  <c r="V13" i="7"/>
  <c r="T15" i="7"/>
  <c r="N21" i="7"/>
  <c r="W12" i="7"/>
  <c r="X11" i="7"/>
  <c r="Y10" i="7"/>
  <c r="Z9" i="7"/>
  <c r="AA8" i="7"/>
  <c r="AB7" i="7"/>
  <c r="AC6" i="7"/>
  <c r="AB82" i="7" l="1"/>
  <c r="AB44" i="7"/>
  <c r="AB101" i="7" s="1"/>
  <c r="AB26" i="7"/>
  <c r="AB64" i="7"/>
  <c r="AC25" i="7"/>
  <c r="AC63" i="7"/>
  <c r="J100" i="7"/>
  <c r="J62" i="7"/>
  <c r="J119" i="7" s="1"/>
  <c r="O95" i="7"/>
  <c r="O57" i="7"/>
  <c r="O114" i="7" s="1"/>
  <c r="P94" i="7"/>
  <c r="P56" i="7"/>
  <c r="P113" i="7" s="1"/>
  <c r="Q93" i="7"/>
  <c r="Q55" i="7"/>
  <c r="Q112" i="7" s="1"/>
  <c r="S91" i="7"/>
  <c r="S53" i="7"/>
  <c r="S110" i="7" s="1"/>
  <c r="R92" i="7"/>
  <c r="R54" i="7"/>
  <c r="R111" i="7" s="1"/>
  <c r="U89" i="7"/>
  <c r="U51" i="7"/>
  <c r="U108" i="7" s="1"/>
  <c r="V88" i="7"/>
  <c r="V50" i="7"/>
  <c r="V107" i="7" s="1"/>
  <c r="T90" i="7"/>
  <c r="T52" i="7"/>
  <c r="T109" i="7" s="1"/>
  <c r="N96" i="7"/>
  <c r="N58" i="7"/>
  <c r="N115" i="7" s="1"/>
  <c r="W87" i="7"/>
  <c r="W49" i="7"/>
  <c r="W106" i="7" s="1"/>
  <c r="X86" i="7"/>
  <c r="X48" i="7"/>
  <c r="X105" i="7" s="1"/>
  <c r="Y85" i="7"/>
  <c r="Y47" i="7"/>
  <c r="Y104" i="7" s="1"/>
  <c r="Z84" i="7"/>
  <c r="Z46" i="7"/>
  <c r="Z103" i="7" s="1"/>
  <c r="AA83" i="7"/>
  <c r="AA45" i="7"/>
  <c r="AA102" i="7" s="1"/>
  <c r="K61" i="7"/>
  <c r="K118" i="7" s="1"/>
  <c r="K99" i="7"/>
  <c r="K43" i="7"/>
  <c r="K81" i="7"/>
  <c r="L60" i="7"/>
  <c r="L117" i="7" s="1"/>
  <c r="L98" i="7"/>
  <c r="M59" i="7"/>
  <c r="M116" i="7" s="1"/>
  <c r="M97" i="7"/>
  <c r="O39" i="7"/>
  <c r="O77" i="7"/>
  <c r="P38" i="7"/>
  <c r="P76" i="7"/>
  <c r="Q37" i="7"/>
  <c r="Q75" i="7"/>
  <c r="S35" i="7"/>
  <c r="S73" i="7"/>
  <c r="R36" i="7"/>
  <c r="R74" i="7"/>
  <c r="U33" i="7"/>
  <c r="U71" i="7"/>
  <c r="V32" i="7"/>
  <c r="V70" i="7"/>
  <c r="T34" i="7"/>
  <c r="T72" i="7"/>
  <c r="N40" i="7"/>
  <c r="N78" i="7"/>
  <c r="W31" i="7"/>
  <c r="W69" i="7"/>
  <c r="X30" i="7"/>
  <c r="X68" i="7"/>
  <c r="Y29" i="7"/>
  <c r="Y67" i="7"/>
  <c r="Z28" i="7"/>
  <c r="Z66" i="7"/>
  <c r="AA27" i="7"/>
  <c r="AA65" i="7"/>
  <c r="M41" i="7"/>
  <c r="M23" i="7"/>
  <c r="M80" i="7" s="1"/>
  <c r="L42" i="7"/>
  <c r="L24" i="7"/>
  <c r="O21" i="7"/>
  <c r="P20" i="7"/>
  <c r="Q19" i="7"/>
  <c r="S17" i="7"/>
  <c r="R18" i="7"/>
  <c r="U15" i="7"/>
  <c r="V14" i="7"/>
  <c r="T16" i="7"/>
  <c r="AB8" i="7"/>
  <c r="N22" i="7"/>
  <c r="AA9" i="7"/>
  <c r="W13" i="7"/>
  <c r="X12" i="7"/>
  <c r="Y11" i="7"/>
  <c r="Z10" i="7"/>
  <c r="AC7" i="7"/>
  <c r="AD6" i="7"/>
  <c r="AB83" i="7" l="1"/>
  <c r="AB45" i="7"/>
  <c r="AB102" i="7" s="1"/>
  <c r="AC82" i="7"/>
  <c r="AC44" i="7"/>
  <c r="AC101" i="7" s="1"/>
  <c r="AB27" i="7"/>
  <c r="AB65" i="7"/>
  <c r="AC26" i="7"/>
  <c r="AC64" i="7"/>
  <c r="AD25" i="7"/>
  <c r="AD63" i="7"/>
  <c r="K100" i="7"/>
  <c r="K62" i="7"/>
  <c r="K119" i="7" s="1"/>
  <c r="O96" i="7"/>
  <c r="O58" i="7"/>
  <c r="O115" i="7" s="1"/>
  <c r="P95" i="7"/>
  <c r="P57" i="7"/>
  <c r="P114" i="7" s="1"/>
  <c r="Q94" i="7"/>
  <c r="Q56" i="7"/>
  <c r="Q113" i="7" s="1"/>
  <c r="S92" i="7"/>
  <c r="S54" i="7"/>
  <c r="S111" i="7" s="1"/>
  <c r="R93" i="7"/>
  <c r="R55" i="7"/>
  <c r="R112" i="7" s="1"/>
  <c r="U90" i="7"/>
  <c r="U52" i="7"/>
  <c r="U109" i="7" s="1"/>
  <c r="V89" i="7"/>
  <c r="V51" i="7"/>
  <c r="V108" i="7" s="1"/>
  <c r="T91" i="7"/>
  <c r="T53" i="7"/>
  <c r="T110" i="7" s="1"/>
  <c r="N97" i="7"/>
  <c r="N59" i="7"/>
  <c r="N116" i="7" s="1"/>
  <c r="W88" i="7"/>
  <c r="W50" i="7"/>
  <c r="W107" i="7" s="1"/>
  <c r="X87" i="7"/>
  <c r="X49" i="7"/>
  <c r="X106" i="7" s="1"/>
  <c r="Y86" i="7"/>
  <c r="Y48" i="7"/>
  <c r="Y105" i="7" s="1"/>
  <c r="Z85" i="7"/>
  <c r="Z47" i="7"/>
  <c r="Z104" i="7" s="1"/>
  <c r="AA84" i="7"/>
  <c r="AA46" i="7"/>
  <c r="AA103" i="7" s="1"/>
  <c r="M60" i="7"/>
  <c r="M117" i="7" s="1"/>
  <c r="M98" i="7"/>
  <c r="L61" i="7"/>
  <c r="L118" i="7" s="1"/>
  <c r="L99" i="7"/>
  <c r="L43" i="7"/>
  <c r="L81" i="7"/>
  <c r="O40" i="7"/>
  <c r="O78" i="7"/>
  <c r="P39" i="7"/>
  <c r="P77" i="7"/>
  <c r="Q38" i="7"/>
  <c r="Q76" i="7"/>
  <c r="S36" i="7"/>
  <c r="S74" i="7"/>
  <c r="R37" i="7"/>
  <c r="R75" i="7"/>
  <c r="U34" i="7"/>
  <c r="U72" i="7"/>
  <c r="V33" i="7"/>
  <c r="V71" i="7"/>
  <c r="T35" i="7"/>
  <c r="T73" i="7"/>
  <c r="N41" i="7"/>
  <c r="N79" i="7"/>
  <c r="AA28" i="7"/>
  <c r="AA66" i="7"/>
  <c r="W32" i="7"/>
  <c r="W70" i="7"/>
  <c r="X31" i="7"/>
  <c r="X69" i="7"/>
  <c r="Y30" i="7"/>
  <c r="Y68" i="7"/>
  <c r="Z29" i="7"/>
  <c r="Z67" i="7"/>
  <c r="M42" i="7"/>
  <c r="M24" i="7"/>
  <c r="O22" i="7"/>
  <c r="P21" i="7"/>
  <c r="Q20" i="7"/>
  <c r="R19" i="7"/>
  <c r="S18" i="7"/>
  <c r="U16" i="7"/>
  <c r="V15" i="7"/>
  <c r="T17" i="7"/>
  <c r="AC8" i="7"/>
  <c r="AB9" i="7"/>
  <c r="AA10" i="7"/>
  <c r="N23" i="7"/>
  <c r="W14" i="7"/>
  <c r="X13" i="7"/>
  <c r="Y12" i="7"/>
  <c r="Z11" i="7"/>
  <c r="AD7" i="7"/>
  <c r="AE6" i="7"/>
  <c r="AB84" i="7" l="1"/>
  <c r="AB46" i="7"/>
  <c r="AB103" i="7" s="1"/>
  <c r="AC83" i="7"/>
  <c r="AC45" i="7"/>
  <c r="AC102" i="7" s="1"/>
  <c r="AD82" i="7"/>
  <c r="AD44" i="7"/>
  <c r="AD101" i="7" s="1"/>
  <c r="AC27" i="7"/>
  <c r="AC65" i="7"/>
  <c r="AB28" i="7"/>
  <c r="AB66" i="7"/>
  <c r="AD26" i="7"/>
  <c r="AD64" i="7"/>
  <c r="AE25" i="7"/>
  <c r="AE63" i="7"/>
  <c r="L100" i="7"/>
  <c r="L62" i="7"/>
  <c r="L119" i="7" s="1"/>
  <c r="O97" i="7"/>
  <c r="O59" i="7"/>
  <c r="O116" i="7" s="1"/>
  <c r="P96" i="7"/>
  <c r="P58" i="7"/>
  <c r="P115" i="7" s="1"/>
  <c r="Q95" i="7"/>
  <c r="Q57" i="7"/>
  <c r="Q114" i="7" s="1"/>
  <c r="S93" i="7"/>
  <c r="S55" i="7"/>
  <c r="S112" i="7" s="1"/>
  <c r="R94" i="7"/>
  <c r="R56" i="7"/>
  <c r="R113" i="7" s="1"/>
  <c r="U91" i="7"/>
  <c r="U53" i="7"/>
  <c r="U110" i="7" s="1"/>
  <c r="V90" i="7"/>
  <c r="V52" i="7"/>
  <c r="V109" i="7" s="1"/>
  <c r="T92" i="7"/>
  <c r="T54" i="7"/>
  <c r="T111" i="7" s="1"/>
  <c r="N98" i="7"/>
  <c r="N60" i="7"/>
  <c r="N117" i="7" s="1"/>
  <c r="AA85" i="7"/>
  <c r="AA47" i="7"/>
  <c r="AA104" i="7" s="1"/>
  <c r="W89" i="7"/>
  <c r="W51" i="7"/>
  <c r="W108" i="7" s="1"/>
  <c r="X88" i="7"/>
  <c r="X50" i="7"/>
  <c r="X107" i="7" s="1"/>
  <c r="Y87" i="7"/>
  <c r="Y49" i="7"/>
  <c r="Y106" i="7" s="1"/>
  <c r="Z86" i="7"/>
  <c r="Z48" i="7"/>
  <c r="Z105" i="7" s="1"/>
  <c r="M61" i="7"/>
  <c r="M118" i="7" s="1"/>
  <c r="M99" i="7"/>
  <c r="M43" i="7"/>
  <c r="M81" i="7"/>
  <c r="O41" i="7"/>
  <c r="O79" i="7"/>
  <c r="P40" i="7"/>
  <c r="P78" i="7"/>
  <c r="Q39" i="7"/>
  <c r="Q77" i="7"/>
  <c r="R38" i="7"/>
  <c r="R76" i="7"/>
  <c r="S37" i="7"/>
  <c r="S75" i="7"/>
  <c r="U35" i="7"/>
  <c r="U73" i="7"/>
  <c r="V34" i="7"/>
  <c r="V72" i="7"/>
  <c r="T36" i="7"/>
  <c r="T74" i="7"/>
  <c r="AA29" i="7"/>
  <c r="AA67" i="7"/>
  <c r="N42" i="7"/>
  <c r="N80" i="7"/>
  <c r="W33" i="7"/>
  <c r="W71" i="7"/>
  <c r="X32" i="7"/>
  <c r="X70" i="7"/>
  <c r="Y31" i="7"/>
  <c r="Y69" i="7"/>
  <c r="Z30" i="7"/>
  <c r="Z68" i="7"/>
  <c r="O23" i="7"/>
  <c r="P22" i="7"/>
  <c r="P79" i="7" s="1"/>
  <c r="Q21" i="7"/>
  <c r="R20" i="7"/>
  <c r="U17" i="7"/>
  <c r="T18" i="7"/>
  <c r="S19" i="7"/>
  <c r="V16" i="7"/>
  <c r="AC9" i="7"/>
  <c r="AB10" i="7"/>
  <c r="AA11" i="7"/>
  <c r="N24" i="7"/>
  <c r="W15" i="7"/>
  <c r="X14" i="7"/>
  <c r="Y13" i="7"/>
  <c r="Z12" i="7"/>
  <c r="AD8" i="7"/>
  <c r="AE7" i="7"/>
  <c r="AF6" i="7"/>
  <c r="AC84" i="7" l="1"/>
  <c r="AC46" i="7"/>
  <c r="AC103" i="7" s="1"/>
  <c r="AB85" i="7"/>
  <c r="AB47" i="7"/>
  <c r="AB104" i="7" s="1"/>
  <c r="AD83" i="7"/>
  <c r="AD45" i="7"/>
  <c r="AD102" i="7" s="1"/>
  <c r="AE82" i="7"/>
  <c r="AE44" i="7"/>
  <c r="AE101" i="7" s="1"/>
  <c r="AC28" i="7"/>
  <c r="AC66" i="7"/>
  <c r="AB29" i="7"/>
  <c r="AB67" i="7"/>
  <c r="AD27" i="7"/>
  <c r="AD65" i="7"/>
  <c r="AE26" i="7"/>
  <c r="AE64" i="7"/>
  <c r="AF25" i="7"/>
  <c r="AF63" i="7"/>
  <c r="M100" i="7"/>
  <c r="M62" i="7"/>
  <c r="M119" i="7" s="1"/>
  <c r="O98" i="7"/>
  <c r="O60" i="7"/>
  <c r="O117" i="7" s="1"/>
  <c r="P97" i="7"/>
  <c r="P59" i="7"/>
  <c r="P116" i="7" s="1"/>
  <c r="Q96" i="7"/>
  <c r="Q58" i="7"/>
  <c r="Q115" i="7" s="1"/>
  <c r="R95" i="7"/>
  <c r="R57" i="7"/>
  <c r="R114" i="7" s="1"/>
  <c r="S94" i="7"/>
  <c r="S56" i="7"/>
  <c r="S113" i="7" s="1"/>
  <c r="U92" i="7"/>
  <c r="U54" i="7"/>
  <c r="U111" i="7" s="1"/>
  <c r="V91" i="7"/>
  <c r="V53" i="7"/>
  <c r="V110" i="7" s="1"/>
  <c r="T93" i="7"/>
  <c r="T55" i="7"/>
  <c r="T112" i="7" s="1"/>
  <c r="AA86" i="7"/>
  <c r="AA48" i="7"/>
  <c r="AA105" i="7" s="1"/>
  <c r="N99" i="7"/>
  <c r="N61" i="7"/>
  <c r="N118" i="7" s="1"/>
  <c r="W90" i="7"/>
  <c r="W52" i="7"/>
  <c r="W109" i="7" s="1"/>
  <c r="X89" i="7"/>
  <c r="X51" i="7"/>
  <c r="X108" i="7" s="1"/>
  <c r="Y88" i="7"/>
  <c r="Y50" i="7"/>
  <c r="Y107" i="7" s="1"/>
  <c r="Z87" i="7"/>
  <c r="Z49" i="7"/>
  <c r="Z106" i="7" s="1"/>
  <c r="O42" i="7"/>
  <c r="O80" i="7"/>
  <c r="Q40" i="7"/>
  <c r="Q78" i="7"/>
  <c r="R39" i="7"/>
  <c r="R77" i="7"/>
  <c r="U36" i="7"/>
  <c r="U74" i="7"/>
  <c r="T37" i="7"/>
  <c r="T75" i="7"/>
  <c r="S38" i="7"/>
  <c r="S76" i="7"/>
  <c r="V35" i="7"/>
  <c r="V73" i="7"/>
  <c r="AA30" i="7"/>
  <c r="AA68" i="7"/>
  <c r="N43" i="7"/>
  <c r="N81" i="7"/>
  <c r="W34" i="7"/>
  <c r="W72" i="7"/>
  <c r="X33" i="7"/>
  <c r="X71" i="7"/>
  <c r="Y32" i="7"/>
  <c r="Y70" i="7"/>
  <c r="Z31" i="7"/>
  <c r="Z69" i="7"/>
  <c r="P23" i="7"/>
  <c r="P80" i="7" s="1"/>
  <c r="P41" i="7"/>
  <c r="O24" i="7"/>
  <c r="Q22" i="7"/>
  <c r="R21" i="7"/>
  <c r="T19" i="7"/>
  <c r="U18" i="7"/>
  <c r="V17" i="7"/>
  <c r="S20" i="7"/>
  <c r="S77" i="7" s="1"/>
  <c r="AB11" i="7"/>
  <c r="AC10" i="7"/>
  <c r="AA12" i="7"/>
  <c r="W16" i="7"/>
  <c r="X15" i="7"/>
  <c r="Y14" i="7"/>
  <c r="Z13" i="7"/>
  <c r="AD9" i="7"/>
  <c r="AE8" i="7"/>
  <c r="AF7" i="7"/>
  <c r="AG6" i="7"/>
  <c r="AC85" i="7" l="1"/>
  <c r="AC47" i="7"/>
  <c r="AC104" i="7" s="1"/>
  <c r="AB86" i="7"/>
  <c r="AB48" i="7"/>
  <c r="AB105" i="7" s="1"/>
  <c r="AD84" i="7"/>
  <c r="AD46" i="7"/>
  <c r="AD103" i="7" s="1"/>
  <c r="AE83" i="7"/>
  <c r="AE45" i="7"/>
  <c r="AE102" i="7" s="1"/>
  <c r="AF82" i="7"/>
  <c r="AF44" i="7"/>
  <c r="AF101" i="7" s="1"/>
  <c r="AB30" i="7"/>
  <c r="AB68" i="7"/>
  <c r="AC29" i="7"/>
  <c r="AC67" i="7"/>
  <c r="AD28" i="7"/>
  <c r="AD66" i="7"/>
  <c r="AE27" i="7"/>
  <c r="AE65" i="7"/>
  <c r="AF26" i="7"/>
  <c r="AF64" i="7"/>
  <c r="AG25" i="7"/>
  <c r="AG63" i="7"/>
  <c r="O99" i="7"/>
  <c r="O61" i="7"/>
  <c r="O118" i="7" s="1"/>
  <c r="Q97" i="7"/>
  <c r="Q59" i="7"/>
  <c r="Q116" i="7" s="1"/>
  <c r="R96" i="7"/>
  <c r="R58" i="7"/>
  <c r="R115" i="7" s="1"/>
  <c r="U93" i="7"/>
  <c r="U55" i="7"/>
  <c r="U112" i="7" s="1"/>
  <c r="T94" i="7"/>
  <c r="T56" i="7"/>
  <c r="T113" i="7" s="1"/>
  <c r="S95" i="7"/>
  <c r="S57" i="7"/>
  <c r="S114" i="7" s="1"/>
  <c r="V92" i="7"/>
  <c r="V54" i="7"/>
  <c r="V111" i="7" s="1"/>
  <c r="AA87" i="7"/>
  <c r="AA49" i="7"/>
  <c r="AA106" i="7" s="1"/>
  <c r="N100" i="7"/>
  <c r="N62" i="7"/>
  <c r="N119" i="7" s="1"/>
  <c r="W91" i="7"/>
  <c r="W53" i="7"/>
  <c r="W110" i="7" s="1"/>
  <c r="X90" i="7"/>
  <c r="X52" i="7"/>
  <c r="X109" i="7" s="1"/>
  <c r="Y89" i="7"/>
  <c r="Y51" i="7"/>
  <c r="Y108" i="7" s="1"/>
  <c r="Z88" i="7"/>
  <c r="Z50" i="7"/>
  <c r="Z107" i="7" s="1"/>
  <c r="P60" i="7"/>
  <c r="P117" i="7" s="1"/>
  <c r="P98" i="7"/>
  <c r="O43" i="7"/>
  <c r="O81" i="7"/>
  <c r="Q41" i="7"/>
  <c r="Q79" i="7"/>
  <c r="R40" i="7"/>
  <c r="R78" i="7"/>
  <c r="T38" i="7"/>
  <c r="T76" i="7"/>
  <c r="U37" i="7"/>
  <c r="U75" i="7"/>
  <c r="V36" i="7"/>
  <c r="V74" i="7"/>
  <c r="AA31" i="7"/>
  <c r="AA69" i="7"/>
  <c r="W35" i="7"/>
  <c r="W73" i="7"/>
  <c r="X34" i="7"/>
  <c r="X72" i="7"/>
  <c r="Y33" i="7"/>
  <c r="Y71" i="7"/>
  <c r="Z32" i="7"/>
  <c r="Z70" i="7"/>
  <c r="S39" i="7"/>
  <c r="S21" i="7"/>
  <c r="S78" i="7" s="1"/>
  <c r="P42" i="7"/>
  <c r="P24" i="7"/>
  <c r="V18" i="7"/>
  <c r="Q23" i="7"/>
  <c r="R22" i="7"/>
  <c r="T20" i="7"/>
  <c r="U19" i="7"/>
  <c r="AB12" i="7"/>
  <c r="AC11" i="7"/>
  <c r="AA13" i="7"/>
  <c r="AF8" i="7"/>
  <c r="W17" i="7"/>
  <c r="X16" i="7"/>
  <c r="Y15" i="7"/>
  <c r="Z14" i="7"/>
  <c r="AD10" i="7"/>
  <c r="AE9" i="7"/>
  <c r="AG7" i="7"/>
  <c r="AH6" i="7"/>
  <c r="AB87" i="7" l="1"/>
  <c r="AB49" i="7"/>
  <c r="AB106" i="7" s="1"/>
  <c r="AC86" i="7"/>
  <c r="AC48" i="7"/>
  <c r="AC105" i="7" s="1"/>
  <c r="AD85" i="7"/>
  <c r="AD47" i="7"/>
  <c r="AD104" i="7" s="1"/>
  <c r="AE84" i="7"/>
  <c r="AE46" i="7"/>
  <c r="AE103" i="7" s="1"/>
  <c r="AF83" i="7"/>
  <c r="AF45" i="7"/>
  <c r="AF102" i="7" s="1"/>
  <c r="AG82" i="7"/>
  <c r="AG44" i="7"/>
  <c r="AG101" i="7" s="1"/>
  <c r="AB31" i="7"/>
  <c r="AB69" i="7"/>
  <c r="AC30" i="7"/>
  <c r="AC68" i="7"/>
  <c r="AF27" i="7"/>
  <c r="AF65" i="7"/>
  <c r="AD29" i="7"/>
  <c r="AD67" i="7"/>
  <c r="AE28" i="7"/>
  <c r="AE66" i="7"/>
  <c r="AG26" i="7"/>
  <c r="AG64" i="7"/>
  <c r="AH25" i="7"/>
  <c r="AH63" i="7"/>
  <c r="O100" i="7"/>
  <c r="O62" i="7"/>
  <c r="O119" i="7" s="1"/>
  <c r="Q98" i="7"/>
  <c r="Q60" i="7"/>
  <c r="Q117" i="7" s="1"/>
  <c r="R97" i="7"/>
  <c r="R59" i="7"/>
  <c r="R116" i="7" s="1"/>
  <c r="T95" i="7"/>
  <c r="T57" i="7"/>
  <c r="T114" i="7" s="1"/>
  <c r="U94" i="7"/>
  <c r="U56" i="7"/>
  <c r="U113" i="7" s="1"/>
  <c r="V93" i="7"/>
  <c r="V55" i="7"/>
  <c r="V112" i="7" s="1"/>
  <c r="AA88" i="7"/>
  <c r="AA50" i="7"/>
  <c r="AA107" i="7" s="1"/>
  <c r="W92" i="7"/>
  <c r="W54" i="7"/>
  <c r="W111" i="7" s="1"/>
  <c r="X91" i="7"/>
  <c r="X53" i="7"/>
  <c r="X110" i="7" s="1"/>
  <c r="Y90" i="7"/>
  <c r="Y52" i="7"/>
  <c r="Y109" i="7" s="1"/>
  <c r="Z89" i="7"/>
  <c r="Z51" i="7"/>
  <c r="Z108" i="7" s="1"/>
  <c r="S58" i="7"/>
  <c r="S115" i="7" s="1"/>
  <c r="S96" i="7"/>
  <c r="P61" i="7"/>
  <c r="P118" i="7" s="1"/>
  <c r="P99" i="7"/>
  <c r="P43" i="7"/>
  <c r="P81" i="7"/>
  <c r="V37" i="7"/>
  <c r="V75" i="7"/>
  <c r="Q42" i="7"/>
  <c r="Q80" i="7"/>
  <c r="R41" i="7"/>
  <c r="R79" i="7"/>
  <c r="T39" i="7"/>
  <c r="T77" i="7"/>
  <c r="U38" i="7"/>
  <c r="U76" i="7"/>
  <c r="AA32" i="7"/>
  <c r="AA70" i="7"/>
  <c r="W36" i="7"/>
  <c r="W74" i="7"/>
  <c r="X35" i="7"/>
  <c r="X73" i="7"/>
  <c r="Y34" i="7"/>
  <c r="Y72" i="7"/>
  <c r="Z33" i="7"/>
  <c r="Z71" i="7"/>
  <c r="S40" i="7"/>
  <c r="S22" i="7"/>
  <c r="S79" i="7" s="1"/>
  <c r="V19" i="7"/>
  <c r="R23" i="7"/>
  <c r="R80" i="7" s="1"/>
  <c r="T21" i="7"/>
  <c r="T78" i="7" s="1"/>
  <c r="U20" i="7"/>
  <c r="U77" i="7" s="1"/>
  <c r="Q24" i="7"/>
  <c r="AB13" i="7"/>
  <c r="AC12" i="7"/>
  <c r="AA14" i="7"/>
  <c r="AF9" i="7"/>
  <c r="W18" i="7"/>
  <c r="X17" i="7"/>
  <c r="Y16" i="7"/>
  <c r="Z15" i="7"/>
  <c r="AD11" i="7"/>
  <c r="AE10" i="7"/>
  <c r="AG8" i="7"/>
  <c r="AH7" i="7"/>
  <c r="AI6" i="7"/>
  <c r="AB88" i="7" l="1"/>
  <c r="AB50" i="7"/>
  <c r="AB107" i="7" s="1"/>
  <c r="AC87" i="7"/>
  <c r="AC49" i="7"/>
  <c r="AC106" i="7" s="1"/>
  <c r="AF84" i="7"/>
  <c r="AF46" i="7"/>
  <c r="AF103" i="7" s="1"/>
  <c r="AD86" i="7"/>
  <c r="AD48" i="7"/>
  <c r="AD105" i="7" s="1"/>
  <c r="AE85" i="7"/>
  <c r="AE47" i="7"/>
  <c r="AE104" i="7" s="1"/>
  <c r="AG83" i="7"/>
  <c r="AG45" i="7"/>
  <c r="AG102" i="7" s="1"/>
  <c r="AH82" i="7"/>
  <c r="AH44" i="7"/>
  <c r="AH101" i="7" s="1"/>
  <c r="AB32" i="7"/>
  <c r="AB70" i="7"/>
  <c r="AC31" i="7"/>
  <c r="AC69" i="7"/>
  <c r="AF28" i="7"/>
  <c r="AF66" i="7"/>
  <c r="AD30" i="7"/>
  <c r="AD68" i="7"/>
  <c r="AE29" i="7"/>
  <c r="AE67" i="7"/>
  <c r="AG27" i="7"/>
  <c r="AG65" i="7"/>
  <c r="AH26" i="7"/>
  <c r="AH64" i="7"/>
  <c r="AI25" i="7"/>
  <c r="AI63" i="7"/>
  <c r="P100" i="7"/>
  <c r="P62" i="7"/>
  <c r="P119" i="7" s="1"/>
  <c r="V94" i="7"/>
  <c r="V56" i="7"/>
  <c r="V113" i="7" s="1"/>
  <c r="Q99" i="7"/>
  <c r="Q61" i="7"/>
  <c r="Q118" i="7" s="1"/>
  <c r="R98" i="7"/>
  <c r="R60" i="7"/>
  <c r="R117" i="7" s="1"/>
  <c r="T96" i="7"/>
  <c r="T58" i="7"/>
  <c r="T115" i="7" s="1"/>
  <c r="U95" i="7"/>
  <c r="U57" i="7"/>
  <c r="U114" i="7" s="1"/>
  <c r="AA89" i="7"/>
  <c r="AA51" i="7"/>
  <c r="AA108" i="7" s="1"/>
  <c r="W93" i="7"/>
  <c r="W55" i="7"/>
  <c r="W112" i="7" s="1"/>
  <c r="X92" i="7"/>
  <c r="X54" i="7"/>
  <c r="X111" i="7" s="1"/>
  <c r="Y91" i="7"/>
  <c r="Y53" i="7"/>
  <c r="Y110" i="7" s="1"/>
  <c r="Z90" i="7"/>
  <c r="Z52" i="7"/>
  <c r="Z109" i="7" s="1"/>
  <c r="S59" i="7"/>
  <c r="S116" i="7" s="1"/>
  <c r="S97" i="7"/>
  <c r="V38" i="7"/>
  <c r="V76" i="7"/>
  <c r="Q43" i="7"/>
  <c r="Q81" i="7"/>
  <c r="AA33" i="7"/>
  <c r="AA71" i="7"/>
  <c r="W37" i="7"/>
  <c r="W75" i="7"/>
  <c r="X36" i="7"/>
  <c r="X74" i="7"/>
  <c r="Y35" i="7"/>
  <c r="Y73" i="7"/>
  <c r="Z34" i="7"/>
  <c r="Z72" i="7"/>
  <c r="S41" i="7"/>
  <c r="S23" i="7"/>
  <c r="S80" i="7" s="1"/>
  <c r="R42" i="7"/>
  <c r="R24" i="7"/>
  <c r="T40" i="7"/>
  <c r="T22" i="7"/>
  <c r="T79" i="7" s="1"/>
  <c r="U39" i="7"/>
  <c r="U21" i="7"/>
  <c r="U78" i="7" s="1"/>
  <c r="V20" i="7"/>
  <c r="AA15" i="7"/>
  <c r="AA72" i="7" s="1"/>
  <c r="AB14" i="7"/>
  <c r="AC13" i="7"/>
  <c r="AF10" i="7"/>
  <c r="W19" i="7"/>
  <c r="X18" i="7"/>
  <c r="Y17" i="7"/>
  <c r="Z16" i="7"/>
  <c r="AD12" i="7"/>
  <c r="AE11" i="7"/>
  <c r="AG9" i="7"/>
  <c r="AH8" i="7"/>
  <c r="AI7" i="7"/>
  <c r="AJ6" i="7"/>
  <c r="AB89" i="7" l="1"/>
  <c r="AB51" i="7"/>
  <c r="AB108" i="7" s="1"/>
  <c r="AC88" i="7"/>
  <c r="AC50" i="7"/>
  <c r="AC107" i="7" s="1"/>
  <c r="AF85" i="7"/>
  <c r="AF47" i="7"/>
  <c r="AF104" i="7" s="1"/>
  <c r="AD87" i="7"/>
  <c r="AD49" i="7"/>
  <c r="AD106" i="7" s="1"/>
  <c r="AE86" i="7"/>
  <c r="AE48" i="7"/>
  <c r="AE105" i="7" s="1"/>
  <c r="AG84" i="7"/>
  <c r="AG46" i="7"/>
  <c r="AG103" i="7" s="1"/>
  <c r="AH83" i="7"/>
  <c r="AH45" i="7"/>
  <c r="AH102" i="7" s="1"/>
  <c r="AI82" i="7"/>
  <c r="AI44" i="7"/>
  <c r="AI101" i="7" s="1"/>
  <c r="AB33" i="7"/>
  <c r="AB71" i="7"/>
  <c r="AC32" i="7"/>
  <c r="AC70" i="7"/>
  <c r="AF29" i="7"/>
  <c r="AF67" i="7"/>
  <c r="AD31" i="7"/>
  <c r="AD69" i="7"/>
  <c r="AE30" i="7"/>
  <c r="AE68" i="7"/>
  <c r="AG28" i="7"/>
  <c r="AG66" i="7"/>
  <c r="AH27" i="7"/>
  <c r="AH65" i="7"/>
  <c r="AI26" i="7"/>
  <c r="AI64" i="7"/>
  <c r="AJ25" i="7"/>
  <c r="AJ63" i="7"/>
  <c r="V95" i="7"/>
  <c r="V57" i="7"/>
  <c r="V114" i="7" s="1"/>
  <c r="Q100" i="7"/>
  <c r="Q62" i="7"/>
  <c r="Q119" i="7" s="1"/>
  <c r="AA90" i="7"/>
  <c r="AA52" i="7"/>
  <c r="AA109" i="7" s="1"/>
  <c r="W94" i="7"/>
  <c r="W56" i="7"/>
  <c r="W113" i="7" s="1"/>
  <c r="X93" i="7"/>
  <c r="X55" i="7"/>
  <c r="X112" i="7" s="1"/>
  <c r="Y92" i="7"/>
  <c r="Y54" i="7"/>
  <c r="Y111" i="7" s="1"/>
  <c r="Z91" i="7"/>
  <c r="Z53" i="7"/>
  <c r="Z110" i="7" s="1"/>
  <c r="S60" i="7"/>
  <c r="S117" i="7" s="1"/>
  <c r="S98" i="7"/>
  <c r="R61" i="7"/>
  <c r="R118" i="7" s="1"/>
  <c r="R99" i="7"/>
  <c r="R43" i="7"/>
  <c r="R81" i="7"/>
  <c r="T59" i="7"/>
  <c r="T116" i="7" s="1"/>
  <c r="T97" i="7"/>
  <c r="U58" i="7"/>
  <c r="U115" i="7" s="1"/>
  <c r="U96" i="7"/>
  <c r="V39" i="7"/>
  <c r="V77" i="7"/>
  <c r="W38" i="7"/>
  <c r="W76" i="7"/>
  <c r="X37" i="7"/>
  <c r="X75" i="7"/>
  <c r="Y36" i="7"/>
  <c r="Y74" i="7"/>
  <c r="Z35" i="7"/>
  <c r="Z73" i="7"/>
  <c r="S42" i="7"/>
  <c r="S24" i="7"/>
  <c r="T41" i="7"/>
  <c r="T23" i="7"/>
  <c r="T80" i="7" s="1"/>
  <c r="U40" i="7"/>
  <c r="U22" i="7"/>
  <c r="U79" i="7" s="1"/>
  <c r="AA34" i="7"/>
  <c r="AA16" i="7"/>
  <c r="AA73" i="7" s="1"/>
  <c r="V21" i="7"/>
  <c r="AC14" i="7"/>
  <c r="AB15" i="7"/>
  <c r="AF11" i="7"/>
  <c r="AI8" i="7"/>
  <c r="AD13" i="7"/>
  <c r="AG10" i="7"/>
  <c r="AH9" i="7"/>
  <c r="W20" i="7"/>
  <c r="X19" i="7"/>
  <c r="Y18" i="7"/>
  <c r="Z17" i="7"/>
  <c r="AE12" i="7"/>
  <c r="AJ7" i="7"/>
  <c r="AB90" i="7" l="1"/>
  <c r="AB52" i="7"/>
  <c r="AB109" i="7" s="1"/>
  <c r="AC89" i="7"/>
  <c r="AC51" i="7"/>
  <c r="AC108" i="7" s="1"/>
  <c r="AF86" i="7"/>
  <c r="AF48" i="7"/>
  <c r="AF105" i="7" s="1"/>
  <c r="AD88" i="7"/>
  <c r="AD50" i="7"/>
  <c r="AD107" i="7" s="1"/>
  <c r="AE87" i="7"/>
  <c r="AE49" i="7"/>
  <c r="AE106" i="7" s="1"/>
  <c r="AG85" i="7"/>
  <c r="AG47" i="7"/>
  <c r="AG104" i="7" s="1"/>
  <c r="AH84" i="7"/>
  <c r="AH46" i="7"/>
  <c r="AH103" i="7" s="1"/>
  <c r="AI83" i="7"/>
  <c r="AI45" i="7"/>
  <c r="AI102" i="7" s="1"/>
  <c r="AJ82" i="7"/>
  <c r="AJ44" i="7"/>
  <c r="AJ101" i="7" s="1"/>
  <c r="AC33" i="7"/>
  <c r="AC71" i="7"/>
  <c r="AB34" i="7"/>
  <c r="AB72" i="7"/>
  <c r="AF30" i="7"/>
  <c r="AF68" i="7"/>
  <c r="AI27" i="7"/>
  <c r="AI65" i="7"/>
  <c r="AD32" i="7"/>
  <c r="AD70" i="7"/>
  <c r="AG29" i="7"/>
  <c r="AG67" i="7"/>
  <c r="AH28" i="7"/>
  <c r="AH66" i="7"/>
  <c r="AE31" i="7"/>
  <c r="AE69" i="7"/>
  <c r="AJ26" i="7"/>
  <c r="AJ64" i="7"/>
  <c r="R100" i="7"/>
  <c r="R62" i="7"/>
  <c r="R119" i="7" s="1"/>
  <c r="V96" i="7"/>
  <c r="V58" i="7"/>
  <c r="V115" i="7" s="1"/>
  <c r="W95" i="7"/>
  <c r="W57" i="7"/>
  <c r="W114" i="7" s="1"/>
  <c r="X94" i="7"/>
  <c r="X56" i="7"/>
  <c r="X113" i="7" s="1"/>
  <c r="Y93" i="7"/>
  <c r="Y55" i="7"/>
  <c r="Y112" i="7" s="1"/>
  <c r="Z92" i="7"/>
  <c r="Z54" i="7"/>
  <c r="Z111" i="7" s="1"/>
  <c r="S61" i="7"/>
  <c r="S118" i="7" s="1"/>
  <c r="S99" i="7"/>
  <c r="S43" i="7"/>
  <c r="S81" i="7"/>
  <c r="T60" i="7"/>
  <c r="T117" i="7" s="1"/>
  <c r="T98" i="7"/>
  <c r="U59" i="7"/>
  <c r="U116" i="7" s="1"/>
  <c r="U97" i="7"/>
  <c r="AA53" i="7"/>
  <c r="AA110" i="7" s="1"/>
  <c r="AA91" i="7"/>
  <c r="V40" i="7"/>
  <c r="V78" i="7"/>
  <c r="W39" i="7"/>
  <c r="W77" i="7"/>
  <c r="X38" i="7"/>
  <c r="X76" i="7"/>
  <c r="Y37" i="7"/>
  <c r="Y75" i="7"/>
  <c r="Z36" i="7"/>
  <c r="Z74" i="7"/>
  <c r="T42" i="7"/>
  <c r="T24" i="7"/>
  <c r="U41" i="7"/>
  <c r="U23" i="7"/>
  <c r="U80" i="7" s="1"/>
  <c r="AA35" i="7"/>
  <c r="AA17" i="7"/>
  <c r="AA74" i="7" s="1"/>
  <c r="V22" i="7"/>
  <c r="V79" i="7" s="1"/>
  <c r="AC15" i="7"/>
  <c r="AC72" i="7" s="1"/>
  <c r="AB16" i="7"/>
  <c r="AD14" i="7"/>
  <c r="AF12" i="7"/>
  <c r="AH10" i="7"/>
  <c r="AE13" i="7"/>
  <c r="AI9" i="7"/>
  <c r="AG11" i="7"/>
  <c r="W21" i="7"/>
  <c r="X20" i="7"/>
  <c r="Y19" i="7"/>
  <c r="Z18" i="7"/>
  <c r="AJ8" i="7"/>
  <c r="AC90" i="7" l="1"/>
  <c r="AC52" i="7"/>
  <c r="AC109" i="7" s="1"/>
  <c r="AB91" i="7"/>
  <c r="AB53" i="7"/>
  <c r="AB110" i="7" s="1"/>
  <c r="AF87" i="7"/>
  <c r="AF49" i="7"/>
  <c r="AF106" i="7" s="1"/>
  <c r="AI84" i="7"/>
  <c r="AI46" i="7"/>
  <c r="AI103" i="7" s="1"/>
  <c r="AD89" i="7"/>
  <c r="AD51" i="7"/>
  <c r="AD108" i="7" s="1"/>
  <c r="AG86" i="7"/>
  <c r="AG48" i="7"/>
  <c r="AG105" i="7" s="1"/>
  <c r="AH85" i="7"/>
  <c r="AH47" i="7"/>
  <c r="AH104" i="7" s="1"/>
  <c r="AE88" i="7"/>
  <c r="AE50" i="7"/>
  <c r="AE107" i="7" s="1"/>
  <c r="AJ83" i="7"/>
  <c r="AJ45" i="7"/>
  <c r="AJ102" i="7" s="1"/>
  <c r="AB35" i="7"/>
  <c r="AB73" i="7"/>
  <c r="AD33" i="7"/>
  <c r="AD71" i="7"/>
  <c r="AF31" i="7"/>
  <c r="AF69" i="7"/>
  <c r="AH29" i="7"/>
  <c r="AH67" i="7"/>
  <c r="AE32" i="7"/>
  <c r="AE70" i="7"/>
  <c r="AI28" i="7"/>
  <c r="AI66" i="7"/>
  <c r="AG30" i="7"/>
  <c r="AG68" i="7"/>
  <c r="AJ27" i="7"/>
  <c r="AJ65" i="7"/>
  <c r="S100" i="7"/>
  <c r="S62" i="7"/>
  <c r="S119" i="7" s="1"/>
  <c r="V97" i="7"/>
  <c r="V59" i="7"/>
  <c r="V116" i="7" s="1"/>
  <c r="W96" i="7"/>
  <c r="W58" i="7"/>
  <c r="W115" i="7" s="1"/>
  <c r="X95" i="7"/>
  <c r="X57" i="7"/>
  <c r="X114" i="7" s="1"/>
  <c r="Y94" i="7"/>
  <c r="Y56" i="7"/>
  <c r="Y113" i="7" s="1"/>
  <c r="Z93" i="7"/>
  <c r="Z55" i="7"/>
  <c r="Z112" i="7" s="1"/>
  <c r="T61" i="7"/>
  <c r="T118" i="7" s="1"/>
  <c r="T99" i="7"/>
  <c r="T43" i="7"/>
  <c r="T81" i="7"/>
  <c r="U60" i="7"/>
  <c r="U117" i="7" s="1"/>
  <c r="U98" i="7"/>
  <c r="AA54" i="7"/>
  <c r="AA111" i="7" s="1"/>
  <c r="AA92" i="7"/>
  <c r="W40" i="7"/>
  <c r="W78" i="7"/>
  <c r="X39" i="7"/>
  <c r="X77" i="7"/>
  <c r="Y38" i="7"/>
  <c r="Y76" i="7"/>
  <c r="Z37" i="7"/>
  <c r="Z75" i="7"/>
  <c r="U42" i="7"/>
  <c r="U24" i="7"/>
  <c r="AA36" i="7"/>
  <c r="AA18" i="7"/>
  <c r="AA75" i="7" s="1"/>
  <c r="V23" i="7"/>
  <c r="V80" i="7" s="1"/>
  <c r="V41" i="7"/>
  <c r="AC16" i="7"/>
  <c r="AC73" i="7" s="1"/>
  <c r="AC34" i="7"/>
  <c r="AB17" i="7"/>
  <c r="AD15" i="7"/>
  <c r="AH11" i="7"/>
  <c r="AF13" i="7"/>
  <c r="AE14" i="7"/>
  <c r="AI10" i="7"/>
  <c r="AG12" i="7"/>
  <c r="W22" i="7"/>
  <c r="X21" i="7"/>
  <c r="Y20" i="7"/>
  <c r="Z19" i="7"/>
  <c r="AJ9" i="7"/>
  <c r="AB92" i="7" l="1"/>
  <c r="AB54" i="7"/>
  <c r="AB111" i="7" s="1"/>
  <c r="AD90" i="7"/>
  <c r="AD52" i="7"/>
  <c r="AD109" i="7" s="1"/>
  <c r="AF88" i="7"/>
  <c r="AF50" i="7"/>
  <c r="AF107" i="7" s="1"/>
  <c r="AH86" i="7"/>
  <c r="AH48" i="7"/>
  <c r="AH105" i="7" s="1"/>
  <c r="AE89" i="7"/>
  <c r="AE51" i="7"/>
  <c r="AE108" i="7" s="1"/>
  <c r="AI85" i="7"/>
  <c r="AI47" i="7"/>
  <c r="AI104" i="7" s="1"/>
  <c r="AG87" i="7"/>
  <c r="AG49" i="7"/>
  <c r="AG106" i="7" s="1"/>
  <c r="AJ84" i="7"/>
  <c r="AJ46" i="7"/>
  <c r="AJ103" i="7" s="1"/>
  <c r="AC53" i="7"/>
  <c r="AC110" i="7" s="1"/>
  <c r="AC91" i="7"/>
  <c r="AB36" i="7"/>
  <c r="AB74" i="7"/>
  <c r="AD34" i="7"/>
  <c r="AD72" i="7"/>
  <c r="AH30" i="7"/>
  <c r="AH68" i="7"/>
  <c r="AF32" i="7"/>
  <c r="AF70" i="7"/>
  <c r="AE33" i="7"/>
  <c r="AE71" i="7"/>
  <c r="AI29" i="7"/>
  <c r="AI67" i="7"/>
  <c r="AG31" i="7"/>
  <c r="AG69" i="7"/>
  <c r="AJ28" i="7"/>
  <c r="AJ66" i="7"/>
  <c r="T100" i="7"/>
  <c r="T62" i="7"/>
  <c r="T119" i="7" s="1"/>
  <c r="W97" i="7"/>
  <c r="W59" i="7"/>
  <c r="W116" i="7" s="1"/>
  <c r="X96" i="7"/>
  <c r="X58" i="7"/>
  <c r="X115" i="7" s="1"/>
  <c r="Y95" i="7"/>
  <c r="Y57" i="7"/>
  <c r="Y114" i="7" s="1"/>
  <c r="Z94" i="7"/>
  <c r="Z56" i="7"/>
  <c r="Z113" i="7" s="1"/>
  <c r="U61" i="7"/>
  <c r="U118" i="7" s="1"/>
  <c r="U99" i="7"/>
  <c r="U43" i="7"/>
  <c r="U81" i="7"/>
  <c r="AA55" i="7"/>
  <c r="AA112" i="7" s="1"/>
  <c r="AA93" i="7"/>
  <c r="V60" i="7"/>
  <c r="V117" i="7" s="1"/>
  <c r="V98" i="7"/>
  <c r="W41" i="7"/>
  <c r="W79" i="7"/>
  <c r="X40" i="7"/>
  <c r="X78" i="7"/>
  <c r="Y39" i="7"/>
  <c r="Y77" i="7"/>
  <c r="Z38" i="7"/>
  <c r="Z76" i="7"/>
  <c r="AA37" i="7"/>
  <c r="AA19" i="7"/>
  <c r="AA76" i="7" s="1"/>
  <c r="V42" i="7"/>
  <c r="V24" i="7"/>
  <c r="AC35" i="7"/>
  <c r="AC17" i="7"/>
  <c r="AC74" i="7" s="1"/>
  <c r="AB18" i="7"/>
  <c r="AE15" i="7"/>
  <c r="AD16" i="7"/>
  <c r="AH12" i="7"/>
  <c r="AF14" i="7"/>
  <c r="AI11" i="7"/>
  <c r="AG13" i="7"/>
  <c r="W23" i="7"/>
  <c r="X22" i="7"/>
  <c r="Y21" i="7"/>
  <c r="Z20" i="7"/>
  <c r="AJ10" i="7"/>
  <c r="AB93" i="7" l="1"/>
  <c r="AB55" i="7"/>
  <c r="AB112" i="7" s="1"/>
  <c r="AD91" i="7"/>
  <c r="AD53" i="7"/>
  <c r="AD110" i="7" s="1"/>
  <c r="AH87" i="7"/>
  <c r="AH49" i="7"/>
  <c r="AH106" i="7" s="1"/>
  <c r="AF89" i="7"/>
  <c r="AF51" i="7"/>
  <c r="AF108" i="7" s="1"/>
  <c r="AE90" i="7"/>
  <c r="AE52" i="7"/>
  <c r="AE109" i="7" s="1"/>
  <c r="AI86" i="7"/>
  <c r="AI48" i="7"/>
  <c r="AI105" i="7" s="1"/>
  <c r="AG88" i="7"/>
  <c r="AG50" i="7"/>
  <c r="AG107" i="7" s="1"/>
  <c r="AJ85" i="7"/>
  <c r="AJ47" i="7"/>
  <c r="AJ104" i="7" s="1"/>
  <c r="AC54" i="7"/>
  <c r="AC111" i="7" s="1"/>
  <c r="AC92" i="7"/>
  <c r="AB37" i="7"/>
  <c r="AB75" i="7"/>
  <c r="AE34" i="7"/>
  <c r="AE72" i="7"/>
  <c r="AD35" i="7"/>
  <c r="AD73" i="7"/>
  <c r="AH31" i="7"/>
  <c r="AH69" i="7"/>
  <c r="AF33" i="7"/>
  <c r="AF71" i="7"/>
  <c r="AI30" i="7"/>
  <c r="AI68" i="7"/>
  <c r="AG32" i="7"/>
  <c r="AG70" i="7"/>
  <c r="AJ29" i="7"/>
  <c r="AJ67" i="7"/>
  <c r="U100" i="7"/>
  <c r="U62" i="7"/>
  <c r="U119" i="7" s="1"/>
  <c r="W98" i="7"/>
  <c r="W60" i="7"/>
  <c r="W117" i="7" s="1"/>
  <c r="X97" i="7"/>
  <c r="X59" i="7"/>
  <c r="X116" i="7" s="1"/>
  <c r="Y96" i="7"/>
  <c r="Y58" i="7"/>
  <c r="Y115" i="7" s="1"/>
  <c r="Z95" i="7"/>
  <c r="Z57" i="7"/>
  <c r="Z114" i="7" s="1"/>
  <c r="AA56" i="7"/>
  <c r="AA113" i="7" s="1"/>
  <c r="AA94" i="7"/>
  <c r="V61" i="7"/>
  <c r="V118" i="7" s="1"/>
  <c r="V99" i="7"/>
  <c r="V43" i="7"/>
  <c r="V81" i="7"/>
  <c r="W42" i="7"/>
  <c r="W80" i="7"/>
  <c r="X41" i="7"/>
  <c r="X79" i="7"/>
  <c r="Y40" i="7"/>
  <c r="Y78" i="7"/>
  <c r="Z39" i="7"/>
  <c r="Z77" i="7"/>
  <c r="AA38" i="7"/>
  <c r="AA20" i="7"/>
  <c r="AA77" i="7" s="1"/>
  <c r="AC36" i="7"/>
  <c r="AC18" i="7"/>
  <c r="AC75" i="7" s="1"/>
  <c r="AB19" i="7"/>
  <c r="AE16" i="7"/>
  <c r="AD17" i="7"/>
  <c r="AH13" i="7"/>
  <c r="AF15" i="7"/>
  <c r="AI12" i="7"/>
  <c r="Y22" i="7"/>
  <c r="AG14" i="7"/>
  <c r="Z21" i="7"/>
  <c r="W24" i="7"/>
  <c r="X23" i="7"/>
  <c r="AJ11" i="7"/>
  <c r="AB94" i="7" l="1"/>
  <c r="AB56" i="7"/>
  <c r="AB113" i="7" s="1"/>
  <c r="AE91" i="7"/>
  <c r="AE53" i="7"/>
  <c r="AE110" i="7" s="1"/>
  <c r="AD92" i="7"/>
  <c r="AD54" i="7"/>
  <c r="AD111" i="7" s="1"/>
  <c r="AH88" i="7"/>
  <c r="AH50" i="7"/>
  <c r="AH107" i="7" s="1"/>
  <c r="AF90" i="7"/>
  <c r="AF52" i="7"/>
  <c r="AF109" i="7" s="1"/>
  <c r="AI87" i="7"/>
  <c r="AI49" i="7"/>
  <c r="AI106" i="7" s="1"/>
  <c r="AG89" i="7"/>
  <c r="AG51" i="7"/>
  <c r="AG108" i="7" s="1"/>
  <c r="AJ86" i="7"/>
  <c r="AJ48" i="7"/>
  <c r="AJ105" i="7" s="1"/>
  <c r="AC55" i="7"/>
  <c r="AC112" i="7" s="1"/>
  <c r="AC93" i="7"/>
  <c r="AB38" i="7"/>
  <c r="AB76" i="7"/>
  <c r="AE35" i="7"/>
  <c r="AE73" i="7"/>
  <c r="AD36" i="7"/>
  <c r="AD74" i="7"/>
  <c r="AH32" i="7"/>
  <c r="AH70" i="7"/>
  <c r="AF34" i="7"/>
  <c r="AF72" i="7"/>
  <c r="AI31" i="7"/>
  <c r="AI69" i="7"/>
  <c r="AG33" i="7"/>
  <c r="AG71" i="7"/>
  <c r="AJ30" i="7"/>
  <c r="AJ68" i="7"/>
  <c r="V100" i="7"/>
  <c r="V62" i="7"/>
  <c r="V119" i="7" s="1"/>
  <c r="W99" i="7"/>
  <c r="W61" i="7"/>
  <c r="W118" i="7" s="1"/>
  <c r="X98" i="7"/>
  <c r="X60" i="7"/>
  <c r="X117" i="7" s="1"/>
  <c r="Y97" i="7"/>
  <c r="Y59" i="7"/>
  <c r="Y116" i="7" s="1"/>
  <c r="Z96" i="7"/>
  <c r="Z58" i="7"/>
  <c r="Z115" i="7" s="1"/>
  <c r="AA57" i="7"/>
  <c r="AA114" i="7" s="1"/>
  <c r="AA95" i="7"/>
  <c r="Y41" i="7"/>
  <c r="Y79" i="7"/>
  <c r="Z40" i="7"/>
  <c r="Z78" i="7"/>
  <c r="W43" i="7"/>
  <c r="W81" i="7"/>
  <c r="X42" i="7"/>
  <c r="X80" i="7"/>
  <c r="AA39" i="7"/>
  <c r="AA21" i="7"/>
  <c r="AA78" i="7" s="1"/>
  <c r="AC37" i="7"/>
  <c r="AC19" i="7"/>
  <c r="AC76" i="7" s="1"/>
  <c r="AB20" i="7"/>
  <c r="AB77" i="7" s="1"/>
  <c r="AE17" i="7"/>
  <c r="AE74" i="7" s="1"/>
  <c r="AD18" i="7"/>
  <c r="AH14" i="7"/>
  <c r="AF16" i="7"/>
  <c r="AI13" i="7"/>
  <c r="Y23" i="7"/>
  <c r="Z22" i="7"/>
  <c r="AG15" i="7"/>
  <c r="X24" i="7"/>
  <c r="AJ12" i="7"/>
  <c r="AB95" i="7" l="1"/>
  <c r="AB57" i="7"/>
  <c r="AB114" i="7" s="1"/>
  <c r="AE92" i="7"/>
  <c r="AE54" i="7"/>
  <c r="AE111" i="7" s="1"/>
  <c r="AD93" i="7"/>
  <c r="AD55" i="7"/>
  <c r="AD112" i="7" s="1"/>
  <c r="AH89" i="7"/>
  <c r="AH51" i="7"/>
  <c r="AH108" i="7" s="1"/>
  <c r="AF91" i="7"/>
  <c r="AF53" i="7"/>
  <c r="AF110" i="7" s="1"/>
  <c r="AI88" i="7"/>
  <c r="AI50" i="7"/>
  <c r="AI107" i="7" s="1"/>
  <c r="AG90" i="7"/>
  <c r="AG52" i="7"/>
  <c r="AG109" i="7" s="1"/>
  <c r="AJ87" i="7"/>
  <c r="AJ49" i="7"/>
  <c r="AJ106" i="7" s="1"/>
  <c r="AC56" i="7"/>
  <c r="AC113" i="7" s="1"/>
  <c r="AC94" i="7"/>
  <c r="AD37" i="7"/>
  <c r="AD75" i="7"/>
  <c r="AH33" i="7"/>
  <c r="AH71" i="7"/>
  <c r="AF35" i="7"/>
  <c r="AF73" i="7"/>
  <c r="AI32" i="7"/>
  <c r="AI70" i="7"/>
  <c r="AG34" i="7"/>
  <c r="AG72" i="7"/>
  <c r="AJ31" i="7"/>
  <c r="AJ69" i="7"/>
  <c r="Y98" i="7"/>
  <c r="Y60" i="7"/>
  <c r="Y117" i="7" s="1"/>
  <c r="Z97" i="7"/>
  <c r="Z59" i="7"/>
  <c r="Z116" i="7" s="1"/>
  <c r="W100" i="7"/>
  <c r="W62" i="7"/>
  <c r="W119" i="7" s="1"/>
  <c r="X99" i="7"/>
  <c r="X61" i="7"/>
  <c r="X118" i="7" s="1"/>
  <c r="AA58" i="7"/>
  <c r="AA115" i="7" s="1"/>
  <c r="AA96" i="7"/>
  <c r="Y42" i="7"/>
  <c r="Y80" i="7"/>
  <c r="Z41" i="7"/>
  <c r="Z79" i="7"/>
  <c r="X43" i="7"/>
  <c r="X81" i="7"/>
  <c r="AA40" i="7"/>
  <c r="AA22" i="7"/>
  <c r="AA79" i="7" s="1"/>
  <c r="AC38" i="7"/>
  <c r="AC20" i="7"/>
  <c r="AC77" i="7" s="1"/>
  <c r="AB21" i="7"/>
  <c r="AB78" i="7" s="1"/>
  <c r="AB39" i="7"/>
  <c r="AE18" i="7"/>
  <c r="AE75" i="7" s="1"/>
  <c r="AE36" i="7"/>
  <c r="AD19" i="7"/>
  <c r="AF17" i="7"/>
  <c r="AI14" i="7"/>
  <c r="Y24" i="7"/>
  <c r="AH15" i="7"/>
  <c r="Z23" i="7"/>
  <c r="AG16" i="7"/>
  <c r="AJ13" i="7"/>
  <c r="AD94" i="7" l="1"/>
  <c r="AD56" i="7"/>
  <c r="AD113" i="7" s="1"/>
  <c r="AH90" i="7"/>
  <c r="AH52" i="7"/>
  <c r="AH109" i="7" s="1"/>
  <c r="AF92" i="7"/>
  <c r="AF54" i="7"/>
  <c r="AF111" i="7" s="1"/>
  <c r="AI89" i="7"/>
  <c r="AI51" i="7"/>
  <c r="AI108" i="7" s="1"/>
  <c r="AG91" i="7"/>
  <c r="AG53" i="7"/>
  <c r="AG110" i="7" s="1"/>
  <c r="AJ88" i="7"/>
  <c r="AJ50" i="7"/>
  <c r="AJ107" i="7" s="1"/>
  <c r="AC57" i="7"/>
  <c r="AC114" i="7" s="1"/>
  <c r="AC95" i="7"/>
  <c r="AB58" i="7"/>
  <c r="AB115" i="7" s="1"/>
  <c r="AB96" i="7"/>
  <c r="AE55" i="7"/>
  <c r="AE112" i="7" s="1"/>
  <c r="AE93" i="7"/>
  <c r="AD38" i="7"/>
  <c r="AD76" i="7"/>
  <c r="AF36" i="7"/>
  <c r="AF74" i="7"/>
  <c r="AI33" i="7"/>
  <c r="AI71" i="7"/>
  <c r="AH34" i="7"/>
  <c r="AH72" i="7"/>
  <c r="AG35" i="7"/>
  <c r="AG73" i="7"/>
  <c r="AJ32" i="7"/>
  <c r="AJ70" i="7"/>
  <c r="Y99" i="7"/>
  <c r="Y61" i="7"/>
  <c r="Y118" i="7" s="1"/>
  <c r="Z98" i="7"/>
  <c r="Z60" i="7"/>
  <c r="Z117" i="7" s="1"/>
  <c r="X100" i="7"/>
  <c r="X62" i="7"/>
  <c r="X119" i="7" s="1"/>
  <c r="AA59" i="7"/>
  <c r="AA116" i="7" s="1"/>
  <c r="AA97" i="7"/>
  <c r="Y43" i="7"/>
  <c r="Y81" i="7"/>
  <c r="Z42" i="7"/>
  <c r="Z80" i="7"/>
  <c r="AA41" i="7"/>
  <c r="AA23" i="7"/>
  <c r="AA80" i="7" s="1"/>
  <c r="AC39" i="7"/>
  <c r="AC21" i="7"/>
  <c r="AC78" i="7" s="1"/>
  <c r="AB40" i="7"/>
  <c r="AB22" i="7"/>
  <c r="AB79" i="7" s="1"/>
  <c r="AE37" i="7"/>
  <c r="AE19" i="7"/>
  <c r="AE76" i="7" s="1"/>
  <c r="AD20" i="7"/>
  <c r="AD77" i="7" s="1"/>
  <c r="AF18" i="7"/>
  <c r="AF75" i="7" s="1"/>
  <c r="AG17" i="7"/>
  <c r="AG74" i="7" s="1"/>
  <c r="AI15" i="7"/>
  <c r="AH16" i="7"/>
  <c r="Z24" i="7"/>
  <c r="AJ14" i="7"/>
  <c r="AD95" i="7" l="1"/>
  <c r="AD57" i="7"/>
  <c r="AD114" i="7" s="1"/>
  <c r="AF93" i="7"/>
  <c r="AF55" i="7"/>
  <c r="AF112" i="7" s="1"/>
  <c r="AI90" i="7"/>
  <c r="AI52" i="7"/>
  <c r="AI109" i="7" s="1"/>
  <c r="AH91" i="7"/>
  <c r="AH53" i="7"/>
  <c r="AH110" i="7" s="1"/>
  <c r="AG92" i="7"/>
  <c r="AG54" i="7"/>
  <c r="AG111" i="7" s="1"/>
  <c r="AJ89" i="7"/>
  <c r="AJ51" i="7"/>
  <c r="AJ108" i="7" s="1"/>
  <c r="AC58" i="7"/>
  <c r="AC115" i="7" s="1"/>
  <c r="AC96" i="7"/>
  <c r="AB59" i="7"/>
  <c r="AB116" i="7" s="1"/>
  <c r="AB97" i="7"/>
  <c r="AE56" i="7"/>
  <c r="AE113" i="7" s="1"/>
  <c r="AE94" i="7"/>
  <c r="AI34" i="7"/>
  <c r="AI72" i="7"/>
  <c r="AH35" i="7"/>
  <c r="AH73" i="7"/>
  <c r="AJ33" i="7"/>
  <c r="AJ71" i="7"/>
  <c r="Y100" i="7"/>
  <c r="Y62" i="7"/>
  <c r="Y119" i="7" s="1"/>
  <c r="Z99" i="7"/>
  <c r="Z61" i="7"/>
  <c r="Z118" i="7" s="1"/>
  <c r="AA60" i="7"/>
  <c r="AA117" i="7" s="1"/>
  <c r="AA98" i="7"/>
  <c r="Z43" i="7"/>
  <c r="Z81" i="7"/>
  <c r="AA42" i="7"/>
  <c r="AA24" i="7"/>
  <c r="AC40" i="7"/>
  <c r="AC22" i="7"/>
  <c r="AC79" i="7" s="1"/>
  <c r="AB41" i="7"/>
  <c r="AB23" i="7"/>
  <c r="AB80" i="7" s="1"/>
  <c r="AG36" i="7"/>
  <c r="AG18" i="7"/>
  <c r="AG75" i="7" s="1"/>
  <c r="AE38" i="7"/>
  <c r="AE20" i="7"/>
  <c r="AE77" i="7" s="1"/>
  <c r="AD21" i="7"/>
  <c r="AD78" i="7" s="1"/>
  <c r="AD39" i="7"/>
  <c r="AF19" i="7"/>
  <c r="AF76" i="7" s="1"/>
  <c r="AF37" i="7"/>
  <c r="AI16" i="7"/>
  <c r="AH17" i="7"/>
  <c r="AJ15" i="7"/>
  <c r="AI91" i="7" l="1"/>
  <c r="AI53" i="7"/>
  <c r="AI110" i="7" s="1"/>
  <c r="AH92" i="7"/>
  <c r="AH54" i="7"/>
  <c r="AH111" i="7" s="1"/>
  <c r="AJ90" i="7"/>
  <c r="AJ52" i="7"/>
  <c r="AJ109" i="7" s="1"/>
  <c r="AC59" i="7"/>
  <c r="AC116" i="7" s="1"/>
  <c r="AC97" i="7"/>
  <c r="AB60" i="7"/>
  <c r="AB117" i="7" s="1"/>
  <c r="AB98" i="7"/>
  <c r="AG55" i="7"/>
  <c r="AG112" i="7" s="1"/>
  <c r="AG93" i="7"/>
  <c r="AE57" i="7"/>
  <c r="AE114" i="7" s="1"/>
  <c r="AE95" i="7"/>
  <c r="AD58" i="7"/>
  <c r="AD115" i="7" s="1"/>
  <c r="AD96" i="7"/>
  <c r="AF56" i="7"/>
  <c r="AF113" i="7" s="1"/>
  <c r="AF94" i="7"/>
  <c r="AI35" i="7"/>
  <c r="AI73" i="7"/>
  <c r="AH36" i="7"/>
  <c r="AH74" i="7"/>
  <c r="AJ34" i="7"/>
  <c r="AJ72" i="7"/>
  <c r="Z100" i="7"/>
  <c r="Z62" i="7"/>
  <c r="Z119" i="7" s="1"/>
  <c r="AA61" i="7"/>
  <c r="AA118" i="7" s="1"/>
  <c r="AA99" i="7"/>
  <c r="AA43" i="7"/>
  <c r="AA81" i="7"/>
  <c r="AB42" i="7"/>
  <c r="AB24" i="7"/>
  <c r="AG37" i="7"/>
  <c r="AG19" i="7"/>
  <c r="AG76" i="7" s="1"/>
  <c r="AC41" i="7"/>
  <c r="AC23" i="7"/>
  <c r="AC80" i="7" s="1"/>
  <c r="AE39" i="7"/>
  <c r="AE21" i="7"/>
  <c r="AE78" i="7" s="1"/>
  <c r="AD40" i="7"/>
  <c r="AD22" i="7"/>
  <c r="AD79" i="7" s="1"/>
  <c r="AF38" i="7"/>
  <c r="AF20" i="7"/>
  <c r="AF77" i="7" s="1"/>
  <c r="AI17" i="7"/>
  <c r="AH18" i="7"/>
  <c r="AJ16" i="7"/>
  <c r="AI92" i="7" l="1"/>
  <c r="AI54" i="7"/>
  <c r="AI111" i="7" s="1"/>
  <c r="AH93" i="7"/>
  <c r="AH55" i="7"/>
  <c r="AH112" i="7" s="1"/>
  <c r="AJ91" i="7"/>
  <c r="AJ53" i="7"/>
  <c r="AJ110" i="7" s="1"/>
  <c r="AB61" i="7"/>
  <c r="AB118" i="7" s="1"/>
  <c r="AB99" i="7"/>
  <c r="AB43" i="7"/>
  <c r="AB81" i="7"/>
  <c r="AG56" i="7"/>
  <c r="AG113" i="7" s="1"/>
  <c r="AG94" i="7"/>
  <c r="AC60" i="7"/>
  <c r="AC117" i="7" s="1"/>
  <c r="AC98" i="7"/>
  <c r="AE58" i="7"/>
  <c r="AE115" i="7" s="1"/>
  <c r="AE96" i="7"/>
  <c r="AD59" i="7"/>
  <c r="AD116" i="7" s="1"/>
  <c r="AD97" i="7"/>
  <c r="AF57" i="7"/>
  <c r="AF114" i="7" s="1"/>
  <c r="AF95" i="7"/>
  <c r="AI36" i="7"/>
  <c r="AI74" i="7"/>
  <c r="AH37" i="7"/>
  <c r="AH75" i="7"/>
  <c r="AJ35" i="7"/>
  <c r="AJ73" i="7"/>
  <c r="AA100" i="7"/>
  <c r="AA62" i="7"/>
  <c r="AA119" i="7" s="1"/>
  <c r="AG38" i="7"/>
  <c r="AG20" i="7"/>
  <c r="AG77" i="7" s="1"/>
  <c r="AC42" i="7"/>
  <c r="AC24" i="7"/>
  <c r="AE40" i="7"/>
  <c r="AE22" i="7"/>
  <c r="AE79" i="7" s="1"/>
  <c r="AD41" i="7"/>
  <c r="AD23" i="7"/>
  <c r="AD80" i="7" s="1"/>
  <c r="AF39" i="7"/>
  <c r="AF21" i="7"/>
  <c r="AF78" i="7" s="1"/>
  <c r="AI18" i="7"/>
  <c r="AH19" i="7"/>
  <c r="AJ17" i="7"/>
  <c r="AB100" i="7" l="1"/>
  <c r="AB62" i="7"/>
  <c r="AB119" i="7" s="1"/>
  <c r="AI93" i="7"/>
  <c r="AI55" i="7"/>
  <c r="AI112" i="7" s="1"/>
  <c r="AH94" i="7"/>
  <c r="AH56" i="7"/>
  <c r="AH113" i="7" s="1"/>
  <c r="AJ92" i="7"/>
  <c r="AJ54" i="7"/>
  <c r="AJ111" i="7" s="1"/>
  <c r="AG57" i="7"/>
  <c r="AG114" i="7" s="1"/>
  <c r="AG95" i="7"/>
  <c r="AC61" i="7"/>
  <c r="AC118" i="7" s="1"/>
  <c r="AC99" i="7"/>
  <c r="AC43" i="7"/>
  <c r="AC81" i="7"/>
  <c r="AE59" i="7"/>
  <c r="AE116" i="7" s="1"/>
  <c r="AE97" i="7"/>
  <c r="AD60" i="7"/>
  <c r="AD117" i="7" s="1"/>
  <c r="AD98" i="7"/>
  <c r="AF58" i="7"/>
  <c r="AF115" i="7" s="1"/>
  <c r="AF96" i="7"/>
  <c r="AI37" i="7"/>
  <c r="AI75" i="7"/>
  <c r="AH38" i="7"/>
  <c r="AH76" i="7"/>
  <c r="AJ36" i="7"/>
  <c r="AJ74" i="7"/>
  <c r="AG39" i="7"/>
  <c r="AG21" i="7"/>
  <c r="AG78" i="7" s="1"/>
  <c r="AE41" i="7"/>
  <c r="AE23" i="7"/>
  <c r="AE80" i="7" s="1"/>
  <c r="AD42" i="7"/>
  <c r="AD24" i="7"/>
  <c r="AF40" i="7"/>
  <c r="AF22" i="7"/>
  <c r="AF79" i="7" s="1"/>
  <c r="AI19" i="7"/>
  <c r="AH20" i="7"/>
  <c r="AJ18" i="7"/>
  <c r="AC100" i="7" l="1"/>
  <c r="AC62" i="7"/>
  <c r="AC119" i="7" s="1"/>
  <c r="AI94" i="7"/>
  <c r="AI56" i="7"/>
  <c r="AI113" i="7" s="1"/>
  <c r="AH95" i="7"/>
  <c r="AH57" i="7"/>
  <c r="AH114" i="7" s="1"/>
  <c r="AJ93" i="7"/>
  <c r="AJ55" i="7"/>
  <c r="AJ112" i="7" s="1"/>
  <c r="AG58" i="7"/>
  <c r="AG115" i="7" s="1"/>
  <c r="AG96" i="7"/>
  <c r="AE60" i="7"/>
  <c r="AE117" i="7" s="1"/>
  <c r="AE98" i="7"/>
  <c r="AD61" i="7"/>
  <c r="AD118" i="7" s="1"/>
  <c r="AD99" i="7"/>
  <c r="AD43" i="7"/>
  <c r="AD81" i="7"/>
  <c r="AF59" i="7"/>
  <c r="AF116" i="7" s="1"/>
  <c r="AF97" i="7"/>
  <c r="AI38" i="7"/>
  <c r="AI76" i="7"/>
  <c r="AH39" i="7"/>
  <c r="AH77" i="7"/>
  <c r="AJ37" i="7"/>
  <c r="AJ75" i="7"/>
  <c r="AG40" i="7"/>
  <c r="AG22" i="7"/>
  <c r="AG79" i="7" s="1"/>
  <c r="AE42" i="7"/>
  <c r="AE24" i="7"/>
  <c r="AF41" i="7"/>
  <c r="AF23" i="7"/>
  <c r="AF80" i="7" s="1"/>
  <c r="AI20" i="7"/>
  <c r="AH21" i="7"/>
  <c r="AJ19" i="7"/>
  <c r="AD100" i="7" l="1"/>
  <c r="AD62" i="7"/>
  <c r="AD119" i="7" s="1"/>
  <c r="AI95" i="7"/>
  <c r="AI57" i="7"/>
  <c r="AI114" i="7" s="1"/>
  <c r="AH96" i="7"/>
  <c r="AH58" i="7"/>
  <c r="AH115" i="7" s="1"/>
  <c r="AJ94" i="7"/>
  <c r="AJ56" i="7"/>
  <c r="AJ113" i="7" s="1"/>
  <c r="AG59" i="7"/>
  <c r="AG116" i="7" s="1"/>
  <c r="AG97" i="7"/>
  <c r="AE61" i="7"/>
  <c r="AE118" i="7" s="1"/>
  <c r="AE99" i="7"/>
  <c r="AE43" i="7"/>
  <c r="AE81" i="7"/>
  <c r="AF60" i="7"/>
  <c r="AF117" i="7" s="1"/>
  <c r="AF98" i="7"/>
  <c r="AI39" i="7"/>
  <c r="AI77" i="7"/>
  <c r="AH40" i="7"/>
  <c r="AH78" i="7"/>
  <c r="AJ38" i="7"/>
  <c r="AJ76" i="7"/>
  <c r="AG41" i="7"/>
  <c r="AG23" i="7"/>
  <c r="AG80" i="7" s="1"/>
  <c r="AF42" i="7"/>
  <c r="AF24" i="7"/>
  <c r="AI21" i="7"/>
  <c r="AH22" i="7"/>
  <c r="AH79" i="7" s="1"/>
  <c r="AJ20" i="7"/>
  <c r="AE100" i="7" l="1"/>
  <c r="AE62" i="7"/>
  <c r="AE119" i="7" s="1"/>
  <c r="AI96" i="7"/>
  <c r="AI58" i="7"/>
  <c r="AI115" i="7" s="1"/>
  <c r="AH97" i="7"/>
  <c r="AH59" i="7"/>
  <c r="AH116" i="7" s="1"/>
  <c r="AJ95" i="7"/>
  <c r="AJ57" i="7"/>
  <c r="AJ114" i="7" s="1"/>
  <c r="AG60" i="7"/>
  <c r="AG117" i="7" s="1"/>
  <c r="AG98" i="7"/>
  <c r="AF61" i="7"/>
  <c r="AF118" i="7" s="1"/>
  <c r="AF99" i="7"/>
  <c r="AF43" i="7"/>
  <c r="AF81" i="7"/>
  <c r="AI40" i="7"/>
  <c r="AI78" i="7"/>
  <c r="AJ39" i="7"/>
  <c r="AJ77" i="7"/>
  <c r="AG42" i="7"/>
  <c r="AG24" i="7"/>
  <c r="AH23" i="7"/>
  <c r="AH80" i="7" s="1"/>
  <c r="AH41" i="7"/>
  <c r="AI22" i="7"/>
  <c r="AI79" i="7" s="1"/>
  <c r="AJ21" i="7"/>
  <c r="AF100" i="7" l="1"/>
  <c r="AF62" i="7"/>
  <c r="AF119" i="7" s="1"/>
  <c r="AI97" i="7"/>
  <c r="AI59" i="7"/>
  <c r="AI116" i="7" s="1"/>
  <c r="AJ96" i="7"/>
  <c r="AJ58" i="7"/>
  <c r="AJ115" i="7" s="1"/>
  <c r="AG61" i="7"/>
  <c r="AG118" i="7" s="1"/>
  <c r="AG99" i="7"/>
  <c r="AG43" i="7"/>
  <c r="AG81" i="7"/>
  <c r="AH60" i="7"/>
  <c r="AH117" i="7" s="1"/>
  <c r="AH98" i="7"/>
  <c r="AJ40" i="7"/>
  <c r="AJ78" i="7"/>
  <c r="AH42" i="7"/>
  <c r="AH24" i="7"/>
  <c r="AI23" i="7"/>
  <c r="AI80" i="7" s="1"/>
  <c r="AI41" i="7"/>
  <c r="AJ22" i="7"/>
  <c r="AG100" i="7" l="1"/>
  <c r="AG62" i="7"/>
  <c r="AG119" i="7" s="1"/>
  <c r="AJ97" i="7"/>
  <c r="AJ59" i="7"/>
  <c r="AJ116" i="7" s="1"/>
  <c r="AH61" i="7"/>
  <c r="AH118" i="7" s="1"/>
  <c r="AH99" i="7"/>
  <c r="AH43" i="7"/>
  <c r="AH81" i="7"/>
  <c r="AI60" i="7"/>
  <c r="AI117" i="7" s="1"/>
  <c r="AI98" i="7"/>
  <c r="AJ41" i="7"/>
  <c r="AJ79" i="7"/>
  <c r="AI42" i="7"/>
  <c r="AI24" i="7"/>
  <c r="AJ23" i="7"/>
  <c r="AH100" i="7" l="1"/>
  <c r="AH62" i="7"/>
  <c r="AH119" i="7" s="1"/>
  <c r="AJ98" i="7"/>
  <c r="AJ60" i="7"/>
  <c r="AJ117" i="7" s="1"/>
  <c r="AI61" i="7"/>
  <c r="AI118" i="7" s="1"/>
  <c r="AI99" i="7"/>
  <c r="AI43" i="7"/>
  <c r="AI81" i="7"/>
  <c r="AJ42" i="7"/>
  <c r="AJ80" i="7"/>
  <c r="AJ24" i="7"/>
  <c r="AI100" i="7" l="1"/>
  <c r="AI62" i="7"/>
  <c r="AI119" i="7" s="1"/>
  <c r="AJ99" i="7"/>
  <c r="AJ61" i="7"/>
  <c r="AJ118" i="7" s="1"/>
  <c r="AJ43" i="7"/>
  <c r="AJ81" i="7"/>
  <c r="AJ100" i="7" l="1"/>
  <c r="AJ62" i="7"/>
  <c r="AJ119" i="7" s="1"/>
</calcChain>
</file>

<file path=xl/sharedStrings.xml><?xml version="1.0" encoding="utf-8"?>
<sst xmlns="http://schemas.openxmlformats.org/spreadsheetml/2006/main" count="750" uniqueCount="139">
  <si>
    <t>Obligor_RCT</t>
  </si>
  <si>
    <t>Rating_origination_obligor_FC</t>
  </si>
  <si>
    <t>Rating_origination_obligor_LC</t>
  </si>
  <si>
    <t>Rating_obligor_FC</t>
  </si>
  <si>
    <t>Rating_obligor_LC</t>
  </si>
  <si>
    <t>Contract_id</t>
  </si>
  <si>
    <t>Operation_id</t>
  </si>
  <si>
    <t>Tranch_bearer_RCT</t>
  </si>
  <si>
    <t>Tranche_type</t>
  </si>
  <si>
    <t>IFRS9_Stage</t>
  </si>
  <si>
    <t>Origin_bucket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</si>
  <si>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</si>
  <si>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</si>
  <si>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</si>
  <si>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</si>
  <si>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</si>
  <si>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</si>
  <si>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</si>
  <si>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</si>
  <si>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</si>
  <si>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</si>
  <si>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</si>
  <si>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</si>
  <si>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</si>
  <si>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CCF</t>
  </si>
  <si>
    <t>SEGMENT</t>
  </si>
  <si>
    <t>SCENARIO</t>
  </si>
  <si>
    <t>RATING</t>
  </si>
  <si>
    <t>TIME_STEP_1</t>
  </si>
  <si>
    <t>TIME_STEP_2</t>
  </si>
  <si>
    <t>TIME_STEP_3</t>
  </si>
  <si>
    <t>TIME_STEP_4</t>
  </si>
  <si>
    <t>TIME_STEP_5</t>
  </si>
  <si>
    <t>TIME_STEP_6</t>
  </si>
  <si>
    <t>TIME_STEP_7</t>
  </si>
  <si>
    <t>TIME_STEP_8</t>
  </si>
  <si>
    <t>TIME_STEP_9</t>
  </si>
  <si>
    <t>TIME_STEP_10</t>
  </si>
  <si>
    <t>TIME_STEP_11</t>
  </si>
  <si>
    <t>TIME_STEP_12</t>
  </si>
  <si>
    <t>TIME_STEP_13</t>
  </si>
  <si>
    <t>TIME_STEP_14</t>
  </si>
  <si>
    <t>TIME_STEP_15</t>
  </si>
  <si>
    <t>TIME_STEP_16</t>
  </si>
  <si>
    <t>TIME_STEP_17</t>
  </si>
  <si>
    <t>TIME_STEP_18</t>
  </si>
  <si>
    <t>TIME_STEP_19</t>
  </si>
  <si>
    <t>TIME_STEP_20</t>
  </si>
  <si>
    <t>TIME_STEP_21</t>
  </si>
  <si>
    <t>TIME_STEP_22</t>
  </si>
  <si>
    <t>TIME_STEP_23</t>
  </si>
  <si>
    <t>TIME_STEP_24</t>
  </si>
  <si>
    <t>TIME_STEP_25</t>
  </si>
  <si>
    <t>TIME_STEP_26</t>
  </si>
  <si>
    <t>TIME_STEP_27</t>
  </si>
  <si>
    <t>TIME_STEP_28</t>
  </si>
  <si>
    <t>TIME_STEP_29</t>
  </si>
  <si>
    <t>TIME_STEP_30</t>
  </si>
  <si>
    <t>TIME_STEP_31</t>
  </si>
  <si>
    <t>TIME_STEP_32</t>
  </si>
  <si>
    <t>TIME_STEP_33</t>
  </si>
  <si>
    <t>CENTRAL</t>
  </si>
  <si>
    <t>STRESS</t>
  </si>
  <si>
    <t>A3B</t>
  </si>
  <si>
    <t>2+</t>
  </si>
  <si>
    <t>2-</t>
  </si>
  <si>
    <t>3+</t>
  </si>
  <si>
    <t>3-</t>
  </si>
  <si>
    <t>4+</t>
  </si>
  <si>
    <t>4-</t>
  </si>
  <si>
    <t>5+</t>
  </si>
  <si>
    <t>5-</t>
  </si>
  <si>
    <t>6+</t>
  </si>
  <si>
    <t>6-</t>
  </si>
  <si>
    <t>7+</t>
  </si>
  <si>
    <t>7-</t>
  </si>
  <si>
    <t>OPTIMISTE</t>
  </si>
  <si>
    <t>A4B</t>
  </si>
  <si>
    <t>IFRS9_MODEL_CODE</t>
  </si>
  <si>
    <t>LGD_RATE_WITHOUT_TIME</t>
  </si>
  <si>
    <t>MA9</t>
  </si>
  <si>
    <t>QA0</t>
  </si>
  <si>
    <t>OBLIGOR_RCT</t>
  </si>
  <si>
    <t>RATING_ORIGINATION_OBLIGOR_FOREIGN_CURRENCY</t>
  </si>
  <si>
    <t>RATING_ORIGINATION_OBLIGOR_LOCAL_CURRENCY</t>
  </si>
  <si>
    <t>RATING_OBLIGOR_FC</t>
  </si>
  <si>
    <t>RATING_OBLIGOR_LC</t>
  </si>
  <si>
    <t>CALCULATION_RATING</t>
  </si>
  <si>
    <t>CONTRACT_ID</t>
  </si>
  <si>
    <t>OPERATION_ID</t>
  </si>
  <si>
    <t>TRANCH_BEARER_RCT</t>
  </si>
  <si>
    <t>TRANCHE_TYPE</t>
  </si>
  <si>
    <t>IFRS9_BUCKET</t>
  </si>
  <si>
    <t>IFRS9_BUCKET_REASON</t>
  </si>
  <si>
    <t>EXPOSURE_START_DATE</t>
  </si>
  <si>
    <t>EXPOSURE_END_DATE</t>
  </si>
  <si>
    <t>CONTRACTUAL_CLIENT_RATE</t>
  </si>
  <si>
    <t>IFRS9_PD_MODEL_BEFORE_CRM</t>
  </si>
  <si>
    <t>IFRS9_PD_MODEL_AFTER_CRM</t>
  </si>
  <si>
    <t>IFRS9_LGD_MODEL_BEFORE_CRM</t>
  </si>
  <si>
    <t>IFRS9_LGD_MODEL_AFTER_CRM</t>
  </si>
  <si>
    <t>AMORTIZATION_TYPE</t>
  </si>
  <si>
    <t>PROVISIONING_BASIS</t>
  </si>
  <si>
    <t>ACCOUNTING_TYPE</t>
  </si>
  <si>
    <t>AS_OF_DATE</t>
  </si>
  <si>
    <t>INITAL_CURRENCY</t>
  </si>
  <si>
    <t>PRODUCT_CODE</t>
  </si>
  <si>
    <t>Description, how to</t>
  </si>
  <si>
    <t>Column name</t>
  </si>
  <si>
    <t>Example</t>
  </si>
  <si>
    <t>A1B</t>
  </si>
  <si>
    <t>A1A, A1B</t>
  </si>
  <si>
    <t>A2B</t>
  </si>
  <si>
    <t>A2A, A2B</t>
  </si>
  <si>
    <t>A3A, A3B</t>
  </si>
  <si>
    <t>A5A, A4B</t>
  </si>
  <si>
    <t>A5B</t>
  </si>
  <si>
    <t>A4A, A5B</t>
  </si>
  <si>
    <t>A6B</t>
  </si>
  <si>
    <t>A6A, A6B</t>
  </si>
  <si>
    <t>A7B</t>
  </si>
  <si>
    <t>A6A, A7B</t>
  </si>
  <si>
    <t>START_DATE_VALIDITY</t>
  </si>
  <si>
    <t>END_DATE_VALIDITY</t>
  </si>
  <si>
    <t>A3A</t>
  </si>
  <si>
    <t>Multi</t>
  </si>
  <si>
    <t>A5A</t>
  </si>
  <si>
    <t>A4A</t>
  </si>
  <si>
    <t>A6A</t>
  </si>
  <si>
    <t>Calculation_Rating</t>
  </si>
  <si>
    <t>CCF_WITHOUT_TIME</t>
  </si>
  <si>
    <t>NB_MONTHS</t>
  </si>
  <si>
    <t>STEP</t>
  </si>
  <si>
    <t>CALCULATOR_COLUMN_NAME</t>
  </si>
  <si>
    <t>SIMULATION_DATA_COLUMN_NAME</t>
  </si>
  <si>
    <t>MEANING</t>
  </si>
  <si>
    <t>FORMAT</t>
  </si>
  <si>
    <t>SEGMENT_REPORTING</t>
  </si>
  <si>
    <t>SEGMENT_ORIGINATION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</si>
</sst>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9" fontId="0" fillId="0" borderId="0" xfId="0" applyNumberFormat="1"/>
    <xf numFmtId="9" fontId="0" fillId="0" borderId="0" xfId="1" applyFont="1"/>
    <xf numFmtId="14" fontId="0" fillId="0" borderId="0" xfId="0" applyNumberForma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B49E1-0FC5-41C0-B397-C40A773797BF}">
  <sheetPr>
    <tabColor theme="4"/>
  </sheetPr>
  <dimension ref="A1:D30"/>
  <sheetViews>
    <sheetView zoomScale="85" zoomScaleNormal="85" workbookViewId="0">
      <selection activeCell="F17" sqref="F17"/>
    </sheetView>
  </sheetViews>
  <sheetFormatPr baseColWidth="10" defaultRowHeight="14.5" x14ac:dyDescent="0.35"/>
  <cols>
    <col min="1" max="1" width="48.26953125" customWidth="1"/>
    <col min="2" max="2" width="31.81640625" bestFit="1" customWidth="1"/>
  </cols>
  <sheetData>
    <row r="1" spans="1:4" x14ac:dyDescent="0.35">
      <c r="A1" t="s">
        <v>107</v>
      </c>
    </row>
    <row r="2" spans="1:4" x14ac:dyDescent="0.35">
      <c r="A2" t="s">
        <v>108</v>
      </c>
    </row>
    <row r="3" spans="1:4" x14ac:dyDescent="0.35">
      <c r="A3" t="s">
        <v>109</v>
      </c>
    </row>
    <row r="4" spans="1:4" x14ac:dyDescent="0.35">
      <c r="A4" s="2" t="s">
        <v>133</v>
      </c>
      <c r="B4" s="2" t="s">
        <v>134</v>
      </c>
      <c r="C4" s="2" t="s">
        <v>136</v>
      </c>
      <c r="D4" s="2" t="s">
        <v>135</v>
      </c>
    </row>
    <row r="5" spans="1:4" x14ac:dyDescent="0.35">
      <c r="A5" s="1" t="s">
        <v>82</v>
      </c>
      <c r="B5" t="s">
        <v>0</v>
      </c>
    </row>
    <row r="6" spans="1:4" x14ac:dyDescent="0.35">
      <c r="A6" s="1" t="s">
        <v>83</v>
      </c>
      <c r="B6" s="1" t="s">
        <v>1</v>
      </c>
    </row>
    <row r="7" spans="1:4" x14ac:dyDescent="0.35">
      <c r="A7" s="1" t="s">
        <v>84</v>
      </c>
      <c r="B7" s="1" t="s">
        <v>2</v>
      </c>
    </row>
    <row r="8" spans="1:4" x14ac:dyDescent="0.35">
      <c r="A8" s="1" t="s">
        <v>85</v>
      </c>
      <c r="B8" s="1" t="s">
        <v>3</v>
      </c>
    </row>
    <row r="9" spans="1:4" x14ac:dyDescent="0.35">
      <c r="A9" s="1" t="s">
        <v>86</v>
      </c>
      <c r="B9" s="1" t="s">
        <v>4</v>
      </c>
    </row>
    <row r="10" spans="1:4" x14ac:dyDescent="0.35">
      <c r="A10" s="1" t="s">
        <v>87</v>
      </c>
      <c r="B10" s="1" t="s">
        <v>129</v>
      </c>
    </row>
    <row r="11" spans="1:4" x14ac:dyDescent="0.35">
      <c r="A11" s="1" t="s">
        <v>88</v>
      </c>
      <c r="B11" s="1" t="s">
        <v>5</v>
      </c>
    </row>
    <row r="12" spans="1:4" x14ac:dyDescent="0.35">
      <c r="A12" s="1" t="s">
        <v>89</v>
      </c>
      <c r="B12" s="1" t="s">
        <v>6</v>
      </c>
    </row>
    <row r="13" spans="1:4" x14ac:dyDescent="0.35">
      <c r="A13" s="1" t="s">
        <v>90</v>
      </c>
      <c r="B13" s="1" t="s">
        <v>7</v>
      </c>
    </row>
    <row r="14" spans="1:4" x14ac:dyDescent="0.35">
      <c r="A14" s="1" t="s">
        <v>91</v>
      </c>
      <c r="B14" s="1" t="s">
        <v>8</v>
      </c>
    </row>
    <row r="15" spans="1:4" x14ac:dyDescent="0.35">
      <c r="A15" s="1" t="s">
        <v>92</v>
      </c>
      <c r="B15" s="1" t="s">
        <v>9</v>
      </c>
    </row>
    <row r="16" spans="1:4" x14ac:dyDescent="0.35">
      <c r="A16" s="1" t="s">
        <v>93</v>
      </c>
      <c r="B16" s="1" t="s">
        <v>10</v>
      </c>
    </row>
    <row r="17" spans="1:2" x14ac:dyDescent="0.35">
      <c r="A17" s="1" t="s">
        <v>94</v>
      </c>
      <c r="B17" s="1" t="s">
        <v>11</v>
      </c>
    </row>
    <row r="18" spans="1:2" x14ac:dyDescent="0.35">
      <c r="A18" s="1" t="s">
        <v>95</v>
      </c>
      <c r="B18" s="1" t="s">
        <v>12</v>
      </c>
    </row>
    <row r="19" spans="1:2" x14ac:dyDescent="0.35">
      <c r="A19" s="1" t="s">
        <v>96</v>
      </c>
      <c r="B19" s="1" t="s">
        <v>13</v>
      </c>
    </row>
    <row r="20" spans="1:2" x14ac:dyDescent="0.35">
      <c r="A20" s="1" t="s">
        <v>97</v>
      </c>
      <c r="B20" s="1" t="s">
        <v>14</v>
      </c>
    </row>
    <row r="21" spans="1:2" x14ac:dyDescent="0.35">
      <c r="A21" s="1" t="s">
        <v>98</v>
      </c>
      <c r="B21" s="1" t="s">
        <v>15</v>
      </c>
    </row>
    <row r="22" spans="1:2" x14ac:dyDescent="0.35">
      <c r="A22" s="1" t="s">
        <v>99</v>
      </c>
      <c r="B22" s="1" t="s">
        <v>16</v>
      </c>
    </row>
    <row r="23" spans="1:2" x14ac:dyDescent="0.35">
      <c r="A23" s="1" t="s">
        <v>100</v>
      </c>
      <c r="B23" s="1" t="s">
        <v>17</v>
      </c>
    </row>
    <row r="24" spans="1:2" x14ac:dyDescent="0.35">
      <c r="A24" s="1" t="s">
        <v>101</v>
      </c>
      <c r="B24" s="1" t="s">
        <v>18</v>
      </c>
    </row>
    <row r="25" spans="1:2" x14ac:dyDescent="0.35">
      <c r="A25" s="1" t="s">
        <v>102</v>
      </c>
      <c r="B25" s="1" t="s">
        <v>19</v>
      </c>
    </row>
    <row r="26" spans="1:2" x14ac:dyDescent="0.35">
      <c r="A26" s="1" t="s">
        <v>103</v>
      </c>
      <c r="B26" s="1" t="s">
        <v>20</v>
      </c>
    </row>
    <row r="27" spans="1:2" x14ac:dyDescent="0.35">
      <c r="A27" s="1" t="s">
        <v>104</v>
      </c>
      <c r="B27" s="1" t="s">
        <v>21</v>
      </c>
    </row>
    <row r="28" spans="1:2" x14ac:dyDescent="0.35">
      <c r="A28" s="1" t="s">
        <v>105</v>
      </c>
      <c r="B28" s="1" t="s">
        <v>22</v>
      </c>
    </row>
    <row r="29" spans="1:2" x14ac:dyDescent="0.35">
      <c r="A29" s="1" t="s">
        <v>106</v>
      </c>
      <c r="B29" s="1" t="s">
        <v>23</v>
      </c>
    </row>
    <row r="30" spans="1:2" x14ac:dyDescent="0.35">
      <c r="A30" s="1" t="s">
        <v>24</v>
      </c>
      <c r="B30" s="1" t="s">
        <v>24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25E5D-1297-4E68-85CF-67EEE28A6AE9}">
  <sheetPr>
    <tabColor theme="4"/>
  </sheetPr>
  <dimension ref="A1:B37"/>
  <sheetViews>
    <sheetView tabSelected="1" topLeftCell="A7" zoomScale="85" zoomScaleNormal="85" workbookViewId="0">
      <selection activeCell="I28" sqref="I28"/>
    </sheetView>
  </sheetViews>
  <sheetFormatPr baseColWidth="10" defaultRowHeight="14.5" x14ac:dyDescent="0.35"/>
  <cols>
    <col min="1" max="1" width="16.453125" bestFit="1" customWidth="1"/>
    <col min="2" max="2" width="17.7265625" bestFit="1" customWidth="1"/>
  </cols>
  <sheetData>
    <row r="1" spans="1:2" x14ac:dyDescent="0.35">
      <c r="A1" t="s">
        <v>107</v>
      </c>
    </row>
    <row r="2" spans="1:2" x14ac:dyDescent="0.35">
      <c r="A2" t="s">
        <v>108</v>
      </c>
    </row>
    <row r="3" spans="1:2" x14ac:dyDescent="0.35">
      <c r="A3" t="s">
        <v>109</v>
      </c>
    </row>
    <row r="4" spans="1:2" x14ac:dyDescent="0.35">
      <c r="A4" s="2" t="s">
        <v>132</v>
      </c>
      <c r="B4" s="2" t="s">
        <v>131</v>
      </c>
    </row>
    <row r="5" spans="1:2" x14ac:dyDescent="0.35">
      <c r="A5">
        <v>1</v>
      </c>
      <c r="B5">
        <v>3</v>
      </c>
    </row>
    <row r="6" spans="1:2" x14ac:dyDescent="0.35">
      <c r="A6">
        <v>2</v>
      </c>
      <c r="B6">
        <v>6</v>
      </c>
    </row>
    <row r="7" spans="1:2" x14ac:dyDescent="0.35">
      <c r="A7">
        <v>3</v>
      </c>
      <c r="B7">
        <v>9</v>
      </c>
    </row>
    <row r="8" spans="1:2" x14ac:dyDescent="0.35">
      <c r="A8">
        <v>4</v>
      </c>
      <c r="B8">
        <v>12</v>
      </c>
    </row>
    <row r="9" spans="1:2" x14ac:dyDescent="0.35">
      <c r="A9">
        <v>5</v>
      </c>
      <c r="B9">
        <v>15</v>
      </c>
    </row>
    <row r="10" spans="1:2" x14ac:dyDescent="0.35">
      <c r="A10">
        <v>6</v>
      </c>
      <c r="B10">
        <v>18</v>
      </c>
    </row>
    <row r="11" spans="1:2" x14ac:dyDescent="0.35">
      <c r="A11">
        <v>7</v>
      </c>
      <c r="B11">
        <v>21</v>
      </c>
    </row>
    <row r="12" spans="1:2" x14ac:dyDescent="0.35">
      <c r="A12">
        <v>8</v>
      </c>
      <c r="B12">
        <v>24</v>
      </c>
    </row>
    <row r="13" spans="1:2" x14ac:dyDescent="0.35">
      <c r="A13">
        <v>9</v>
      </c>
      <c r="B13">
        <v>27</v>
      </c>
    </row>
    <row r="14" spans="1:2" x14ac:dyDescent="0.35">
      <c r="A14">
        <v>10</v>
      </c>
      <c r="B14">
        <v>30</v>
      </c>
    </row>
    <row r="15" spans="1:2" x14ac:dyDescent="0.35">
      <c r="A15">
        <v>11</v>
      </c>
      <c r="B15">
        <v>33</v>
      </c>
    </row>
    <row r="16" spans="1:2" x14ac:dyDescent="0.35">
      <c r="A16">
        <v>12</v>
      </c>
      <c r="B16">
        <v>36</v>
      </c>
    </row>
    <row r="17" spans="1:2" x14ac:dyDescent="0.35">
      <c r="A17">
        <v>13</v>
      </c>
      <c r="B17">
        <v>39</v>
      </c>
    </row>
    <row r="18" spans="1:2" x14ac:dyDescent="0.35">
      <c r="A18">
        <v>14</v>
      </c>
      <c r="B18">
        <v>42</v>
      </c>
    </row>
    <row r="19" spans="1:2" x14ac:dyDescent="0.35">
      <c r="A19">
        <v>15</v>
      </c>
      <c r="B19">
        <v>45</v>
      </c>
    </row>
    <row r="20" spans="1:2" x14ac:dyDescent="0.35">
      <c r="A20">
        <v>16</v>
      </c>
      <c r="B20">
        <v>48</v>
      </c>
    </row>
    <row r="21" spans="1:2" x14ac:dyDescent="0.35">
      <c r="A21">
        <v>17</v>
      </c>
      <c r="B21">
        <v>51</v>
      </c>
    </row>
    <row r="22" spans="1:2" x14ac:dyDescent="0.35">
      <c r="A22">
        <v>18</v>
      </c>
      <c r="B22">
        <v>54</v>
      </c>
    </row>
    <row r="23" spans="1:2" x14ac:dyDescent="0.35">
      <c r="A23">
        <v>19</v>
      </c>
      <c r="B23">
        <v>57</v>
      </c>
    </row>
    <row r="24" spans="1:2" x14ac:dyDescent="0.35">
      <c r="A24">
        <v>20</v>
      </c>
      <c r="B24">
        <v>60</v>
      </c>
    </row>
    <row r="25" spans="1:2" x14ac:dyDescent="0.35">
      <c r="A25">
        <v>21</v>
      </c>
      <c r="B25">
        <v>72</v>
      </c>
    </row>
    <row r="26" spans="1:2" x14ac:dyDescent="0.35">
      <c r="A26">
        <v>22</v>
      </c>
      <c r="B26">
        <v>84</v>
      </c>
    </row>
    <row r="27" spans="1:2" x14ac:dyDescent="0.35">
      <c r="A27">
        <v>23</v>
      </c>
      <c r="B27">
        <v>96</v>
      </c>
    </row>
    <row r="28" spans="1:2" x14ac:dyDescent="0.35">
      <c r="A28">
        <v>24</v>
      </c>
      <c r="B28">
        <v>108</v>
      </c>
    </row>
    <row r="29" spans="1:2" x14ac:dyDescent="0.35">
      <c r="A29">
        <v>25</v>
      </c>
      <c r="B29">
        <v>120</v>
      </c>
    </row>
    <row r="30" spans="1:2" x14ac:dyDescent="0.35">
      <c r="A30">
        <v>26</v>
      </c>
      <c r="B30">
        <v>132</v>
      </c>
    </row>
    <row r="31" spans="1:2" x14ac:dyDescent="0.35">
      <c r="A31">
        <v>27</v>
      </c>
      <c r="B31">
        <v>144</v>
      </c>
    </row>
    <row r="32" spans="1:2" x14ac:dyDescent="0.35">
      <c r="A32">
        <v>28</v>
      </c>
      <c r="B32">
        <v>156</v>
      </c>
    </row>
    <row r="33" spans="1:2" x14ac:dyDescent="0.35">
      <c r="A33">
        <v>29</v>
      </c>
      <c r="B33">
        <v>168</v>
      </c>
    </row>
    <row r="34" spans="1:2" x14ac:dyDescent="0.35">
      <c r="A34">
        <v>30</v>
      </c>
      <c r="B34">
        <v>180</v>
      </c>
    </row>
    <row r="35" spans="1:2" x14ac:dyDescent="0.35">
      <c r="A35">
        <v>31</v>
      </c>
      <c r="B35">
        <v>240</v>
      </c>
    </row>
    <row r="36" spans="1:2" x14ac:dyDescent="0.35">
      <c r="A36">
        <v>32</v>
      </c>
      <c r="B36">
        <v>300</v>
      </c>
    </row>
    <row r="37" spans="1:2" x14ac:dyDescent="0.35">
      <c r="A37">
        <v>33</v>
      </c>
      <c r="B37">
        <v>360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B9B9B-0962-4DD2-BFB0-C7E90BB49F89}">
  <sheetPr>
    <tabColor theme="4"/>
  </sheetPr>
  <dimension ref="A1:B11"/>
  <sheetViews>
    <sheetView zoomScale="83" workbookViewId="0">
      <selection activeCell="I14" sqref="I14"/>
    </sheetView>
  </sheetViews>
  <sheetFormatPr baseColWidth="10" defaultRowHeight="14.5" x14ac:dyDescent="0.35"/>
  <cols>
    <col min="1" max="1" width="19.453125" bestFit="1" customWidth="1"/>
    <col min="2" max="2" width="21.26953125" bestFit="1" customWidth="1"/>
  </cols>
  <sheetData>
    <row r="1" spans="1:2" x14ac:dyDescent="0.35">
      <c r="A1" t="s">
        <v>107</v>
      </c>
    </row>
    <row r="2" spans="1:2" x14ac:dyDescent="0.35">
      <c r="A2" t="s">
        <v>108</v>
      </c>
    </row>
    <row r="3" spans="1:2" x14ac:dyDescent="0.35">
      <c r="A3" t="s">
        <v>109</v>
      </c>
    </row>
    <row r="4" spans="1:2" x14ac:dyDescent="0.35">
      <c r="A4" s="2" t="s">
        <v>137</v>
      </c>
      <c r="B4" s="2" t="s">
        <v>138</v>
      </c>
    </row>
    <row r="5" spans="1:2" x14ac:dyDescent="0.35">
      <c r="A5" t="s">
        <v>110</v>
      </c>
      <c r="B5" t="s">
        <v>111</v>
      </c>
    </row>
    <row r="6" spans="1:2" x14ac:dyDescent="0.35">
      <c r="A6" t="s">
        <v>112</v>
      </c>
      <c r="B6" t="s">
        <v>113</v>
      </c>
    </row>
    <row r="7" spans="1:2" x14ac:dyDescent="0.35">
      <c r="A7" t="s">
        <v>63</v>
      </c>
      <c r="B7" t="s">
        <v>114</v>
      </c>
    </row>
    <row r="8" spans="1:2" x14ac:dyDescent="0.35">
      <c r="A8" t="s">
        <v>77</v>
      </c>
      <c r="B8" t="s">
        <v>115</v>
      </c>
    </row>
    <row r="9" spans="1:2" x14ac:dyDescent="0.35">
      <c r="A9" t="s">
        <v>116</v>
      </c>
      <c r="B9" t="s">
        <v>117</v>
      </c>
    </row>
    <row r="10" spans="1:2" x14ac:dyDescent="0.35">
      <c r="A10" t="s">
        <v>118</v>
      </c>
      <c r="B10" t="s">
        <v>119</v>
      </c>
    </row>
    <row r="11" spans="1:2" x14ac:dyDescent="0.35">
      <c r="A11" t="s">
        <v>120</v>
      </c>
      <c r="B11" t="s">
        <v>121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F258-023F-432F-92B8-CB6B5D2308B2}">
  <sheetPr>
    <tabColor theme="4"/>
  </sheetPr>
  <dimension ref="A1:AL81"/>
  <sheetViews>
    <sheetView zoomScale="70" zoomScaleNormal="70" workbookViewId="0">
      <selection activeCell="K27" sqref="K27"/>
    </sheetView>
  </sheetViews>
  <sheetFormatPr baseColWidth="10" defaultRowHeight="14.5" x14ac:dyDescent="0.35"/>
  <cols>
    <col min="1" max="1" width="19" bestFit="1" customWidth="1"/>
    <col min="2" max="2" width="17.54296875" bestFit="1" customWidth="1"/>
    <col min="6" max="14" width="11.453125" bestFit="1" customWidth="1"/>
    <col min="15" max="38" width="12.453125" bestFit="1" customWidth="1"/>
  </cols>
  <sheetData>
    <row r="1" spans="1:38" x14ac:dyDescent="0.35">
      <c r="A1" t="s">
        <v>107</v>
      </c>
      <c r="B1" t="s">
        <v>107</v>
      </c>
    </row>
    <row r="2" spans="1:38" x14ac:dyDescent="0.35">
      <c r="A2" t="s">
        <v>108</v>
      </c>
      <c r="B2" t="s">
        <v>108</v>
      </c>
    </row>
    <row r="3" spans="1:38" x14ac:dyDescent="0.35">
      <c r="B3" t="s">
        <v>109</v>
      </c>
      <c r="E3">
        <v>8.9999999999999998E-4</v>
      </c>
      <c r="F3">
        <v>1E-3</v>
      </c>
      <c r="G3">
        <v>3.0000000000000001E-3</v>
      </c>
      <c r="H3">
        <v>5.0000000000000001E-3</v>
      </c>
      <c r="I3">
        <v>7.0000000000000001E-3</v>
      </c>
      <c r="J3">
        <v>8.9999999999999993E-3</v>
      </c>
      <c r="K3">
        <v>1.0999999999999999E-2</v>
      </c>
      <c r="L3">
        <v>1.2999999999999999E-2</v>
      </c>
      <c r="M3">
        <v>1.4999999999999999E-2</v>
      </c>
      <c r="N3">
        <v>1.7000000000000001E-2</v>
      </c>
      <c r="O3">
        <v>1.9E-2</v>
      </c>
      <c r="P3">
        <v>2.1000000000000001E-2</v>
      </c>
      <c r="Q3">
        <v>2.3E-2</v>
      </c>
      <c r="R3">
        <v>2.5000000000000001E-2</v>
      </c>
      <c r="S3">
        <v>2.7E-2</v>
      </c>
      <c r="T3">
        <v>2.9000000000000001E-2</v>
      </c>
      <c r="U3">
        <v>3.1E-2</v>
      </c>
      <c r="V3">
        <v>3.3000000000000002E-2</v>
      </c>
      <c r="W3">
        <v>3.5000000000000003E-2</v>
      </c>
      <c r="X3">
        <v>3.6999999999999998E-2</v>
      </c>
      <c r="Y3">
        <v>3.9E-2</v>
      </c>
      <c r="Z3">
        <f>$Y$3-$U$3+$Y$3</f>
        <v>4.7E-2</v>
      </c>
      <c r="AA3">
        <f t="shared" ref="AA3:AI3" si="0">$Y$3-$U$3+Z3</f>
        <v>5.5E-2</v>
      </c>
      <c r="AB3">
        <f t="shared" si="0"/>
        <v>6.3E-2</v>
      </c>
      <c r="AC3">
        <f t="shared" si="0"/>
        <v>7.1000000000000008E-2</v>
      </c>
      <c r="AD3">
        <f t="shared" si="0"/>
        <v>7.9000000000000015E-2</v>
      </c>
      <c r="AE3">
        <f t="shared" si="0"/>
        <v>8.7000000000000022E-2</v>
      </c>
      <c r="AF3">
        <f t="shared" si="0"/>
        <v>9.5000000000000029E-2</v>
      </c>
      <c r="AG3">
        <f t="shared" si="0"/>
        <v>0.10300000000000004</v>
      </c>
      <c r="AH3">
        <f t="shared" si="0"/>
        <v>0.11100000000000004</v>
      </c>
      <c r="AI3">
        <f t="shared" si="0"/>
        <v>0.11900000000000005</v>
      </c>
      <c r="AJ3">
        <f>AI3+($AI$3-$AD$3)</f>
        <v>0.15900000000000009</v>
      </c>
      <c r="AK3">
        <f t="shared" ref="AK3:AL3" si="1">AJ3+($AI$3-$AD$3)</f>
        <v>0.19900000000000012</v>
      </c>
      <c r="AL3">
        <f t="shared" si="1"/>
        <v>0.23900000000000016</v>
      </c>
    </row>
    <row r="4" spans="1:38" x14ac:dyDescent="0.35">
      <c r="A4" t="s">
        <v>109</v>
      </c>
      <c r="F4">
        <v>3</v>
      </c>
      <c r="G4">
        <v>6</v>
      </c>
      <c r="H4">
        <v>9</v>
      </c>
      <c r="I4">
        <v>12</v>
      </c>
      <c r="J4">
        <v>15</v>
      </c>
      <c r="K4">
        <v>18</v>
      </c>
      <c r="L4">
        <v>21</v>
      </c>
      <c r="M4">
        <v>24</v>
      </c>
      <c r="N4">
        <v>27</v>
      </c>
      <c r="O4">
        <v>30</v>
      </c>
      <c r="P4">
        <v>33</v>
      </c>
      <c r="Q4">
        <v>36</v>
      </c>
      <c r="R4">
        <v>39</v>
      </c>
      <c r="S4">
        <v>42</v>
      </c>
      <c r="T4">
        <v>45</v>
      </c>
      <c r="U4">
        <v>48</v>
      </c>
      <c r="V4">
        <v>51</v>
      </c>
      <c r="W4">
        <v>54</v>
      </c>
      <c r="X4">
        <v>57</v>
      </c>
      <c r="Y4">
        <v>60</v>
      </c>
      <c r="Z4">
        <v>72</v>
      </c>
      <c r="AA4">
        <v>84</v>
      </c>
      <c r="AB4">
        <v>96</v>
      </c>
      <c r="AC4">
        <v>108</v>
      </c>
      <c r="AD4">
        <v>120</v>
      </c>
      <c r="AE4">
        <v>132</v>
      </c>
      <c r="AF4">
        <v>144</v>
      </c>
      <c r="AG4">
        <v>156</v>
      </c>
      <c r="AH4">
        <v>168</v>
      </c>
      <c r="AI4">
        <v>180</v>
      </c>
      <c r="AJ4">
        <v>240</v>
      </c>
      <c r="AK4">
        <v>300</v>
      </c>
      <c r="AL4">
        <v>360</v>
      </c>
    </row>
    <row r="5" spans="1:38" x14ac:dyDescent="0.35">
      <c r="A5" s="2" t="s">
        <v>122</v>
      </c>
      <c r="B5" s="2" t="s">
        <v>123</v>
      </c>
      <c r="C5" s="2" t="s">
        <v>25</v>
      </c>
      <c r="D5" s="2" t="s">
        <v>26</v>
      </c>
      <c r="E5" s="2" t="s">
        <v>27</v>
      </c>
      <c r="F5" s="2" t="s">
        <v>28</v>
      </c>
      <c r="G5" s="2" t="s">
        <v>29</v>
      </c>
      <c r="H5" s="2" t="s">
        <v>30</v>
      </c>
      <c r="I5" s="2" t="s">
        <v>31</v>
      </c>
      <c r="J5" s="2" t="s">
        <v>32</v>
      </c>
      <c r="K5" s="2" t="s">
        <v>33</v>
      </c>
      <c r="L5" s="2" t="s">
        <v>34</v>
      </c>
      <c r="M5" s="2" t="s">
        <v>35</v>
      </c>
      <c r="N5" s="2" t="s">
        <v>36</v>
      </c>
      <c r="O5" s="2" t="s">
        <v>37</v>
      </c>
      <c r="P5" s="2" t="s">
        <v>38</v>
      </c>
      <c r="Q5" s="2" t="s">
        <v>39</v>
      </c>
      <c r="R5" s="2" t="s">
        <v>40</v>
      </c>
      <c r="S5" s="2" t="s">
        <v>41</v>
      </c>
      <c r="T5" s="2" t="s">
        <v>42</v>
      </c>
      <c r="U5" s="2" t="s">
        <v>43</v>
      </c>
      <c r="V5" s="2" t="s">
        <v>44</v>
      </c>
      <c r="W5" s="2" t="s">
        <v>45</v>
      </c>
      <c r="X5" s="2" t="s">
        <v>46</v>
      </c>
      <c r="Y5" s="2" t="s">
        <v>47</v>
      </c>
      <c r="Z5" s="2" t="s">
        <v>48</v>
      </c>
      <c r="AA5" s="2" t="s">
        <v>49</v>
      </c>
      <c r="AB5" s="2" t="s">
        <v>50</v>
      </c>
      <c r="AC5" s="2" t="s">
        <v>51</v>
      </c>
      <c r="AD5" s="2" t="s">
        <v>52</v>
      </c>
      <c r="AE5" s="2" t="s">
        <v>53</v>
      </c>
      <c r="AF5" s="2" t="s">
        <v>54</v>
      </c>
      <c r="AG5" s="2" t="s">
        <v>55</v>
      </c>
      <c r="AH5" s="2" t="s">
        <v>56</v>
      </c>
      <c r="AI5" s="2" t="s">
        <v>57</v>
      </c>
      <c r="AJ5" s="2" t="s">
        <v>58</v>
      </c>
      <c r="AK5" s="2" t="s">
        <v>59</v>
      </c>
      <c r="AL5" s="2" t="s">
        <v>60</v>
      </c>
    </row>
    <row r="6" spans="1:38" x14ac:dyDescent="0.35">
      <c r="A6" s="7">
        <v>43101</v>
      </c>
      <c r="B6" s="7">
        <v>43190</v>
      </c>
      <c r="C6" t="s">
        <v>124</v>
      </c>
      <c r="D6" t="s">
        <v>125</v>
      </c>
      <c r="E6" s="4">
        <v>1</v>
      </c>
      <c r="F6" s="3">
        <v>9.8723541508006661E-4</v>
      </c>
      <c r="G6" s="3">
        <v>5.2233634294956239E-4</v>
      </c>
      <c r="H6" s="3">
        <v>3.9046312301412385E-3</v>
      </c>
      <c r="I6" s="3">
        <v>2.0590517717537526E-3</v>
      </c>
      <c r="J6" s="3">
        <v>5.2149314083110593E-3</v>
      </c>
      <c r="K6" s="3">
        <v>5.2654462670556571E-3</v>
      </c>
      <c r="L6" s="3">
        <v>6.9821971437631896E-3</v>
      </c>
      <c r="M6" s="3">
        <v>6.3750225391471602E-3</v>
      </c>
      <c r="N6" s="3">
        <v>1.0507892750587852E-2</v>
      </c>
      <c r="O6" s="3">
        <v>6.7065150130467804E-3</v>
      </c>
      <c r="P6" s="3">
        <v>1.3154611745470947E-2</v>
      </c>
      <c r="Q6" s="3">
        <v>8.0682340944428794E-3</v>
      </c>
      <c r="R6" s="3">
        <v>1.5456126253836607E-2</v>
      </c>
      <c r="S6" s="3">
        <v>1.0142726163996979E-2</v>
      </c>
      <c r="T6" s="3">
        <v>1.6907674061615849E-2</v>
      </c>
      <c r="U6" s="3">
        <v>1.2823319048479054E-2</v>
      </c>
      <c r="V6" s="3">
        <v>1.904753562160251E-2</v>
      </c>
      <c r="W6" s="3">
        <v>1.3978029939151655E-2</v>
      </c>
      <c r="X6" s="3">
        <v>2.2194112106792327E-2</v>
      </c>
      <c r="Y6" s="3">
        <v>1.6541921398612769E-2</v>
      </c>
      <c r="Z6" s="3">
        <v>2.5720350031989594E-2</v>
      </c>
      <c r="AA6" s="3">
        <v>2.6938659601285303E-2</v>
      </c>
      <c r="AB6" s="3">
        <v>3.22208891354583E-2</v>
      </c>
      <c r="AC6" s="3">
        <v>3.5598276343003582E-2</v>
      </c>
      <c r="AD6" s="3">
        <v>3.7975244868088717E-2</v>
      </c>
      <c r="AE6" s="3">
        <v>4.5630307613935217E-2</v>
      </c>
      <c r="AF6" s="3">
        <v>4.853026052880377E-2</v>
      </c>
      <c r="AG6" s="3">
        <v>4.7821994417673777E-2</v>
      </c>
      <c r="AH6" s="3">
        <v>6.1201092314036615E-2</v>
      </c>
      <c r="AI6" s="3">
        <v>5.0923580014799824E-2</v>
      </c>
      <c r="AJ6" s="3">
        <v>8.2188999629773274E-2</v>
      </c>
      <c r="AK6" s="3">
        <v>0.11588203667397348</v>
      </c>
      <c r="AL6" s="3">
        <v>8.3382830424295451E-2</v>
      </c>
    </row>
    <row r="7" spans="1:38" x14ac:dyDescent="0.35">
      <c r="A7" s="7">
        <v>43101</v>
      </c>
      <c r="B7" s="7">
        <v>43190</v>
      </c>
      <c r="C7" t="s">
        <v>124</v>
      </c>
      <c r="D7" t="s">
        <v>125</v>
      </c>
      <c r="E7" s="4" t="s">
        <v>64</v>
      </c>
      <c r="F7" s="3">
        <v>1.9555046283066726E-3</v>
      </c>
      <c r="G7" s="3">
        <v>1.4444817733707499E-3</v>
      </c>
      <c r="H7" s="3">
        <v>4.8506266060747323E-3</v>
      </c>
      <c r="I7" s="3">
        <v>2.9689251011853386E-3</v>
      </c>
      <c r="J7" s="3">
        <v>6.1332831557499856E-3</v>
      </c>
      <c r="K7" s="3">
        <v>6.2230620024443378E-3</v>
      </c>
      <c r="L7" s="3">
        <v>7.9341159321329683E-3</v>
      </c>
      <c r="M7" s="3">
        <v>7.2808199776805086E-3</v>
      </c>
      <c r="N7" s="3">
        <v>1.1450059642861695E-2</v>
      </c>
      <c r="O7" s="3">
        <v>7.642785468758395E-3</v>
      </c>
      <c r="P7" s="3">
        <v>1.4118841964526537E-2</v>
      </c>
      <c r="Q7" s="3">
        <v>8.979868013520546E-3</v>
      </c>
      <c r="R7" s="3">
        <v>1.6439336595061631E-2</v>
      </c>
      <c r="S7" s="3">
        <v>1.1073364823084355E-2</v>
      </c>
      <c r="T7" s="3">
        <v>1.7881617977735499E-2</v>
      </c>
      <c r="U7" s="3">
        <v>1.373890625363945E-2</v>
      </c>
      <c r="V7" s="3">
        <v>2.0018330733574292E-2</v>
      </c>
      <c r="W7" s="3">
        <v>1.4924668227140765E-2</v>
      </c>
      <c r="X7" s="3">
        <v>2.3173292504344783E-2</v>
      </c>
      <c r="Y7" s="3">
        <v>1.7464646138943565E-2</v>
      </c>
      <c r="Z7" s="3">
        <v>2.6663966833701071E-2</v>
      </c>
      <c r="AA7" s="3">
        <v>2.7893391600233453E-2</v>
      </c>
      <c r="AB7" s="3">
        <v>3.3139843977245197E-2</v>
      </c>
      <c r="AC7" s="3">
        <v>3.6548496431847793E-2</v>
      </c>
      <c r="AD7" s="3">
        <v>3.8929948312430664E-2</v>
      </c>
      <c r="AE7" s="3">
        <v>4.6537761203292317E-2</v>
      </c>
      <c r="AF7" s="3">
        <v>4.9498060155195492E-2</v>
      </c>
      <c r="AG7" s="3">
        <v>4.8743308851667146E-2</v>
      </c>
      <c r="AH7" s="3">
        <v>6.2159836721572548E-2</v>
      </c>
      <c r="AI7" s="3">
        <v>5.1836736383455005E-2</v>
      </c>
      <c r="AJ7" s="3">
        <v>8.3118740122663751E-2</v>
      </c>
      <c r="AK7" s="3">
        <v>0.1168205734558888</v>
      </c>
      <c r="AL7" s="3">
        <v>8.4284808505095662E-2</v>
      </c>
    </row>
    <row r="8" spans="1:38" x14ac:dyDescent="0.35">
      <c r="A8" s="7">
        <v>43101</v>
      </c>
      <c r="B8" s="7">
        <v>43190</v>
      </c>
      <c r="C8" t="s">
        <v>124</v>
      </c>
      <c r="D8" t="s">
        <v>125</v>
      </c>
      <c r="E8" s="4">
        <v>2</v>
      </c>
      <c r="F8" s="3">
        <v>2.8970218996252142E-3</v>
      </c>
      <c r="G8" s="3">
        <v>2.3689152749164387E-3</v>
      </c>
      <c r="H8" s="3">
        <v>5.8484518920303586E-3</v>
      </c>
      <c r="I8" s="3">
        <v>3.9556911621240762E-3</v>
      </c>
      <c r="J8" s="3">
        <v>7.0601310643130044E-3</v>
      </c>
      <c r="K8" s="3">
        <v>7.1981062270383362E-3</v>
      </c>
      <c r="L8" s="3">
        <v>8.8450446295011212E-3</v>
      </c>
      <c r="M8" s="3">
        <v>8.2346432484778458E-3</v>
      </c>
      <c r="N8" s="3">
        <v>1.238232419933108E-2</v>
      </c>
      <c r="O8" s="3">
        <v>8.5946840775588326E-3</v>
      </c>
      <c r="P8" s="3">
        <v>1.504054701935875E-2</v>
      </c>
      <c r="Q8" s="3">
        <v>9.9192192002095156E-3</v>
      </c>
      <c r="R8" s="3">
        <v>1.7371166603959768E-2</v>
      </c>
      <c r="S8" s="3">
        <v>1.2041012010300826E-2</v>
      </c>
      <c r="T8" s="3">
        <v>1.8831479692354037E-2</v>
      </c>
      <c r="U8" s="3">
        <v>1.4687198648127538E-2</v>
      </c>
      <c r="V8" s="3">
        <v>2.0993338675699427E-2</v>
      </c>
      <c r="W8" s="3">
        <v>1.5890880083179657E-2</v>
      </c>
      <c r="X8" s="3">
        <v>2.414075459663979E-2</v>
      </c>
      <c r="Y8" s="3">
        <v>1.8458963417643245E-2</v>
      </c>
      <c r="Z8" s="3">
        <v>2.7599887843882988E-2</v>
      </c>
      <c r="AA8" s="3">
        <v>2.8867198078455506E-2</v>
      </c>
      <c r="AB8" s="3">
        <v>3.4078492929563477E-2</v>
      </c>
      <c r="AC8" s="3">
        <v>3.7451398081860633E-2</v>
      </c>
      <c r="AD8" s="3">
        <v>3.984576144832034E-2</v>
      </c>
      <c r="AE8" s="3">
        <v>4.744267502963543E-2</v>
      </c>
      <c r="AF8" s="3">
        <v>5.0471262341356134E-2</v>
      </c>
      <c r="AG8" s="3">
        <v>4.9721406261892226E-2</v>
      </c>
      <c r="AH8" s="3">
        <v>6.3088969605302594E-2</v>
      </c>
      <c r="AI8" s="3">
        <v>5.2827014311840927E-2</v>
      </c>
      <c r="AJ8" s="3">
        <v>8.4050826477839929E-2</v>
      </c>
      <c r="AK8" s="3">
        <v>0.11776338686442323</v>
      </c>
      <c r="AL8" s="3">
        <v>8.5187624453367236E-2</v>
      </c>
    </row>
    <row r="9" spans="1:38" x14ac:dyDescent="0.35">
      <c r="A9" s="7">
        <v>43101</v>
      </c>
      <c r="B9" s="7">
        <v>43190</v>
      </c>
      <c r="C9" t="s">
        <v>124</v>
      </c>
      <c r="D9" t="s">
        <v>125</v>
      </c>
      <c r="E9" s="4" t="s">
        <v>65</v>
      </c>
      <c r="F9" s="3">
        <v>3.8925880436026291E-3</v>
      </c>
      <c r="G9" s="3">
        <v>3.3293087884667567E-3</v>
      </c>
      <c r="H9" s="3">
        <v>6.8196563712744074E-3</v>
      </c>
      <c r="I9" s="3">
        <v>4.8932082139034102E-3</v>
      </c>
      <c r="J9" s="3">
        <v>8.0132646367332746E-3</v>
      </c>
      <c r="K9" s="3">
        <v>8.1358307951268742E-3</v>
      </c>
      <c r="L9" s="3">
        <v>9.7746624752325668E-3</v>
      </c>
      <c r="M9" s="3">
        <v>9.1797473929750139E-3</v>
      </c>
      <c r="N9" s="3">
        <v>1.3293207543458285E-2</v>
      </c>
      <c r="O9" s="3">
        <v>9.5448669156472064E-3</v>
      </c>
      <c r="P9" s="3">
        <v>1.6028482383182132E-2</v>
      </c>
      <c r="Q9" s="3">
        <v>1.0902780731733957E-2</v>
      </c>
      <c r="R9" s="3">
        <v>1.8290724980076223E-2</v>
      </c>
      <c r="S9" s="3">
        <v>1.2959929011024785E-2</v>
      </c>
      <c r="T9" s="3">
        <v>1.9744417994947586E-2</v>
      </c>
      <c r="U9" s="3">
        <v>1.5652317576269625E-2</v>
      </c>
      <c r="V9" s="3">
        <v>2.1913480248590571E-2</v>
      </c>
      <c r="W9" s="3">
        <v>1.6850251791674657E-2</v>
      </c>
      <c r="X9" s="3">
        <v>2.5122262773781382E-2</v>
      </c>
      <c r="Y9" s="3">
        <v>1.9373228437165709E-2</v>
      </c>
      <c r="Z9" s="3">
        <v>2.8590145397651652E-2</v>
      </c>
      <c r="AA9" s="3">
        <v>2.9820686831295171E-2</v>
      </c>
      <c r="AB9" s="3">
        <v>3.5042504808221867E-2</v>
      </c>
      <c r="AC9" s="3">
        <v>3.8366638261812719E-2</v>
      </c>
      <c r="AD9" s="3">
        <v>4.0762272908770117E-2</v>
      </c>
      <c r="AE9" s="3">
        <v>4.8423160064546077E-2</v>
      </c>
      <c r="AF9" s="3">
        <v>5.1429679229339921E-2</v>
      </c>
      <c r="AG9" s="3">
        <v>5.0661021251319487E-2</v>
      </c>
      <c r="AH9" s="3">
        <v>6.4006290793609949E-2</v>
      </c>
      <c r="AI9" s="3">
        <v>5.3762463089604771E-2</v>
      </c>
      <c r="AJ9" s="3">
        <v>8.4999678600142931E-2</v>
      </c>
      <c r="AK9" s="3">
        <v>0.11869337850398419</v>
      </c>
      <c r="AL9" s="3">
        <v>8.6170594043826487E-2</v>
      </c>
    </row>
    <row r="10" spans="1:38" x14ac:dyDescent="0.35">
      <c r="A10" s="7">
        <v>43101</v>
      </c>
      <c r="B10" s="7">
        <v>43190</v>
      </c>
      <c r="C10" t="s">
        <v>124</v>
      </c>
      <c r="D10" t="s">
        <v>125</v>
      </c>
      <c r="E10" s="4" t="s">
        <v>66</v>
      </c>
      <c r="F10" s="3">
        <v>4.8164316239651976E-3</v>
      </c>
      <c r="G10" s="3">
        <v>4.2797589194579228E-3</v>
      </c>
      <c r="H10" s="3">
        <v>7.8081053091731585E-3</v>
      </c>
      <c r="I10" s="3">
        <v>5.8671138528759836E-3</v>
      </c>
      <c r="J10" s="3">
        <v>8.9852878840056237E-3</v>
      </c>
      <c r="K10" s="3">
        <v>9.0839267564754595E-3</v>
      </c>
      <c r="L10" s="3">
        <v>1.0760408681570018E-2</v>
      </c>
      <c r="M10" s="3">
        <v>1.0139345117331524E-2</v>
      </c>
      <c r="N10" s="3">
        <v>1.4274630476066415E-2</v>
      </c>
      <c r="O10" s="3">
        <v>1.0495680412953486E-2</v>
      </c>
      <c r="P10" s="3">
        <v>1.6990447680038118E-2</v>
      </c>
      <c r="Q10" s="3">
        <v>1.1867473360407806E-2</v>
      </c>
      <c r="R10" s="3">
        <v>1.9253792917843317E-2</v>
      </c>
      <c r="S10" s="3">
        <v>1.393208750331036E-2</v>
      </c>
      <c r="T10" s="3">
        <v>2.0668036280152662E-2</v>
      </c>
      <c r="U10" s="3">
        <v>1.6594488698087415E-2</v>
      </c>
      <c r="V10" s="3">
        <v>2.2858979945907135E-2</v>
      </c>
      <c r="W10" s="3">
        <v>1.7841963462791443E-2</v>
      </c>
      <c r="X10" s="3">
        <v>2.6025110373458438E-2</v>
      </c>
      <c r="Y10" s="3">
        <v>2.0349523078769728E-2</v>
      </c>
      <c r="Z10" s="3">
        <v>2.9543861718213046E-2</v>
      </c>
      <c r="AA10" s="3">
        <v>3.0733705693309476E-2</v>
      </c>
      <c r="AB10" s="3">
        <v>3.5989763352759906E-2</v>
      </c>
      <c r="AC10" s="3">
        <v>3.9327036642431687E-2</v>
      </c>
      <c r="AD10" s="3">
        <v>4.1690749612420919E-2</v>
      </c>
      <c r="AE10" s="3">
        <v>4.9419860058073889E-2</v>
      </c>
      <c r="AF10" s="3">
        <v>5.2365926051764183E-2</v>
      </c>
      <c r="AG10" s="3">
        <v>5.1587901413566957E-2</v>
      </c>
      <c r="AH10" s="3">
        <v>6.4992861093754614E-2</v>
      </c>
      <c r="AI10" s="3">
        <v>5.473896489795009E-2</v>
      </c>
      <c r="AJ10" s="3">
        <v>8.5927084835442799E-2</v>
      </c>
      <c r="AK10" s="3">
        <v>0.11969048553650631</v>
      </c>
      <c r="AL10" s="3">
        <v>8.7084027690595589E-2</v>
      </c>
    </row>
    <row r="11" spans="1:38" x14ac:dyDescent="0.35">
      <c r="A11" s="7">
        <v>43101</v>
      </c>
      <c r="B11" s="7">
        <v>43190</v>
      </c>
      <c r="C11" t="s">
        <v>124</v>
      </c>
      <c r="D11" t="s">
        <v>125</v>
      </c>
      <c r="E11" s="4">
        <v>3</v>
      </c>
      <c r="F11" s="3">
        <v>5.8093132293695927E-3</v>
      </c>
      <c r="G11" s="3">
        <v>5.2059708113497121E-3</v>
      </c>
      <c r="H11" s="3">
        <v>8.7994041119458764E-3</v>
      </c>
      <c r="I11" s="3">
        <v>6.7806188390019022E-3</v>
      </c>
      <c r="J11" s="3">
        <v>9.9273131857093039E-3</v>
      </c>
      <c r="K11" s="3">
        <v>1.0058551719849628E-2</v>
      </c>
      <c r="L11" s="3">
        <v>1.1707387777530491E-2</v>
      </c>
      <c r="M11" s="3">
        <v>1.1118831932959119E-2</v>
      </c>
      <c r="N11" s="3">
        <v>1.519713920879525E-2</v>
      </c>
      <c r="O11" s="3">
        <v>1.1479170774394741E-2</v>
      </c>
      <c r="P11" s="3">
        <v>1.7981297683726239E-2</v>
      </c>
      <c r="Q11" s="3">
        <v>1.2781588451177517E-2</v>
      </c>
      <c r="R11" s="3">
        <v>2.0192268792738499E-2</v>
      </c>
      <c r="S11" s="3">
        <v>1.4930679296247284E-2</v>
      </c>
      <c r="T11" s="3">
        <v>2.1601194914300653E-2</v>
      </c>
      <c r="U11" s="3">
        <v>1.749763379652771E-2</v>
      </c>
      <c r="V11" s="3">
        <v>2.3767134065234195E-2</v>
      </c>
      <c r="W11" s="3">
        <v>1.8762297852789871E-2</v>
      </c>
      <c r="X11" s="3">
        <v>2.6956300324280601E-2</v>
      </c>
      <c r="Y11" s="3">
        <v>2.129224629278198E-2</v>
      </c>
      <c r="Z11" s="3">
        <v>3.0504517540770239E-2</v>
      </c>
      <c r="AA11" s="3">
        <v>3.173032040789113E-2</v>
      </c>
      <c r="AB11" s="3">
        <v>3.6903407085099336E-2</v>
      </c>
      <c r="AC11" s="3">
        <v>4.0289714971796502E-2</v>
      </c>
      <c r="AD11" s="3">
        <v>4.2671491768077573E-2</v>
      </c>
      <c r="AE11" s="3">
        <v>5.0325299562678429E-2</v>
      </c>
      <c r="AF11" s="3">
        <v>5.3270462377958912E-2</v>
      </c>
      <c r="AG11" s="3">
        <v>5.2507018551669837E-2</v>
      </c>
      <c r="AH11" s="3">
        <v>6.5920201824883395E-2</v>
      </c>
      <c r="AI11" s="3">
        <v>5.5656346334527179E-2</v>
      </c>
      <c r="AJ11" s="3">
        <v>8.6834155019339318E-2</v>
      </c>
      <c r="AK11" s="3">
        <v>0.1206366766033987</v>
      </c>
      <c r="AL11" s="3">
        <v>8.7987526266215171E-2</v>
      </c>
    </row>
    <row r="12" spans="1:38" x14ac:dyDescent="0.35">
      <c r="A12" s="7">
        <v>43101</v>
      </c>
      <c r="B12" s="7">
        <v>43190</v>
      </c>
      <c r="C12" t="s">
        <v>124</v>
      </c>
      <c r="D12" t="s">
        <v>125</v>
      </c>
      <c r="E12" s="4" t="s">
        <v>67</v>
      </c>
      <c r="F12" s="3">
        <v>6.7583386736877332E-3</v>
      </c>
      <c r="G12" s="3">
        <v>6.1140668603792189E-3</v>
      </c>
      <c r="H12" s="3">
        <v>9.7349615351173327E-3</v>
      </c>
      <c r="I12" s="3">
        <v>7.7164836331189762E-3</v>
      </c>
      <c r="J12" s="3">
        <v>1.084636742679331E-2</v>
      </c>
      <c r="K12" s="3">
        <v>1.1010486371479274E-2</v>
      </c>
      <c r="L12" s="3">
        <v>1.2665024302281877E-2</v>
      </c>
      <c r="M12" s="3">
        <v>1.2085829953676566E-2</v>
      </c>
      <c r="N12" s="3">
        <v>1.6100322924584062E-2</v>
      </c>
      <c r="O12" s="3">
        <v>1.2446438544002566E-2</v>
      </c>
      <c r="P12" s="3">
        <v>1.8887358319701071E-2</v>
      </c>
      <c r="Q12" s="3">
        <v>1.3705992518516546E-2</v>
      </c>
      <c r="R12" s="3">
        <v>2.1104972754014864E-2</v>
      </c>
      <c r="S12" s="3">
        <v>1.5890796136354191E-2</v>
      </c>
      <c r="T12" s="3">
        <v>2.2517306360080137E-2</v>
      </c>
      <c r="U12" s="3">
        <v>1.8481023873773615E-2</v>
      </c>
      <c r="V12" s="3">
        <v>2.4733842563750844E-2</v>
      </c>
      <c r="W12" s="3">
        <v>1.9669938527937057E-2</v>
      </c>
      <c r="X12" s="3">
        <v>2.7875780282546468E-2</v>
      </c>
      <c r="Y12" s="3">
        <v>2.2260285664062861E-2</v>
      </c>
      <c r="Z12" s="3">
        <v>3.1447037965201673E-2</v>
      </c>
      <c r="AA12" s="3">
        <v>3.2681929848966049E-2</v>
      </c>
      <c r="AB12" s="3">
        <v>3.7820791014653327E-2</v>
      </c>
      <c r="AC12" s="3">
        <v>4.1225848263291689E-2</v>
      </c>
      <c r="AD12" s="3">
        <v>4.3575165230735007E-2</v>
      </c>
      <c r="AE12" s="3">
        <v>5.1305686528439115E-2</v>
      </c>
      <c r="AF12" s="3">
        <v>5.4233725413743869E-2</v>
      </c>
      <c r="AG12" s="3">
        <v>5.3482815954358526E-2</v>
      </c>
      <c r="AH12" s="3">
        <v>6.6849924185783408E-2</v>
      </c>
      <c r="AI12" s="3">
        <v>5.6643603818231331E-2</v>
      </c>
      <c r="AJ12" s="3">
        <v>8.7792846378674474E-2</v>
      </c>
      <c r="AK12" s="3">
        <v>0.12163408093916621</v>
      </c>
      <c r="AL12" s="3">
        <v>8.8952963912685618E-2</v>
      </c>
    </row>
    <row r="13" spans="1:38" x14ac:dyDescent="0.35">
      <c r="A13" s="7">
        <v>43101</v>
      </c>
      <c r="B13" s="7">
        <v>43190</v>
      </c>
      <c r="C13" t="s">
        <v>124</v>
      </c>
      <c r="D13" t="s">
        <v>125</v>
      </c>
      <c r="E13" s="4" t="s">
        <v>68</v>
      </c>
      <c r="F13" s="3">
        <v>7.7391976220217767E-3</v>
      </c>
      <c r="G13" s="3">
        <v>7.0401123839988729E-3</v>
      </c>
      <c r="H13" s="3">
        <v>1.0642241261176211E-2</v>
      </c>
      <c r="I13" s="3">
        <v>8.7080170457777273E-3</v>
      </c>
      <c r="J13" s="3">
        <v>1.1757571708418508E-2</v>
      </c>
      <c r="K13" s="3">
        <v>1.1966037413180702E-2</v>
      </c>
      <c r="L13" s="3">
        <v>1.3653307044733314E-2</v>
      </c>
      <c r="M13" s="3">
        <v>1.3027658446906204E-2</v>
      </c>
      <c r="N13" s="3">
        <v>1.700772108729889E-2</v>
      </c>
      <c r="O13" s="3">
        <v>1.3405401536441366E-2</v>
      </c>
      <c r="P13" s="3">
        <v>1.9876462331655482E-2</v>
      </c>
      <c r="Q13" s="3">
        <v>1.4671343263786902E-2</v>
      </c>
      <c r="R13" s="3">
        <v>2.203438301816343E-2</v>
      </c>
      <c r="S13" s="3">
        <v>1.6820873196983933E-2</v>
      </c>
      <c r="T13" s="3">
        <v>2.3433727451292765E-2</v>
      </c>
      <c r="U13" s="3">
        <v>1.9477800013649862E-2</v>
      </c>
      <c r="V13" s="3">
        <v>2.5709102113335696E-2</v>
      </c>
      <c r="W13" s="3">
        <v>2.065798921465448E-2</v>
      </c>
      <c r="X13" s="3">
        <v>2.8801267945788959E-2</v>
      </c>
      <c r="Y13" s="3">
        <v>2.3207699194427795E-2</v>
      </c>
      <c r="Z13" s="3">
        <v>3.2390312450374541E-2</v>
      </c>
      <c r="AA13" s="3">
        <v>3.365309053550835E-2</v>
      </c>
      <c r="AB13" s="3">
        <v>3.8781201174315112E-2</v>
      </c>
      <c r="AC13" s="3">
        <v>4.2188469893734454E-2</v>
      </c>
      <c r="AD13" s="3">
        <v>4.448037654250861E-2</v>
      </c>
      <c r="AE13" s="3">
        <v>5.2223518133722273E-2</v>
      </c>
      <c r="AF13" s="3">
        <v>5.5186289388047011E-2</v>
      </c>
      <c r="AG13" s="3">
        <v>5.4406298040132625E-2</v>
      </c>
      <c r="AH13" s="3">
        <v>6.7754335980998129E-2</v>
      </c>
      <c r="AI13" s="3">
        <v>5.7604606311731983E-2</v>
      </c>
      <c r="AJ13" s="3">
        <v>8.8773460343661181E-2</v>
      </c>
      <c r="AK13" s="3">
        <v>0.12258290963650199</v>
      </c>
      <c r="AL13" s="3">
        <v>8.9900851408525939E-2</v>
      </c>
    </row>
    <row r="14" spans="1:38" x14ac:dyDescent="0.35">
      <c r="A14" s="7">
        <v>43101</v>
      </c>
      <c r="B14" s="7">
        <v>43190</v>
      </c>
      <c r="C14" t="s">
        <v>124</v>
      </c>
      <c r="D14" t="s">
        <v>125</v>
      </c>
      <c r="E14" s="4">
        <v>4</v>
      </c>
      <c r="F14" s="3">
        <v>8.6871118527651198E-3</v>
      </c>
      <c r="G14" s="3">
        <v>7.9551358344736259E-3</v>
      </c>
      <c r="H14" s="3">
        <v>1.1574657158047511E-2</v>
      </c>
      <c r="I14" s="3">
        <v>9.6494885959371116E-3</v>
      </c>
      <c r="J14" s="3">
        <v>1.2728649950114241E-2</v>
      </c>
      <c r="K14" s="3">
        <v>1.2933984380575959E-2</v>
      </c>
      <c r="L14" s="3">
        <v>1.460077636818825E-2</v>
      </c>
      <c r="M14" s="3">
        <v>1.3930131542778522E-2</v>
      </c>
      <c r="N14" s="3">
        <v>1.7946966069131612E-2</v>
      </c>
      <c r="O14" s="3">
        <v>1.4338873967426632E-2</v>
      </c>
      <c r="P14" s="3">
        <v>2.0856967046642347E-2</v>
      </c>
      <c r="Q14" s="3">
        <v>1.5664872848888501E-2</v>
      </c>
      <c r="R14" s="3">
        <v>2.2977525764767102E-2</v>
      </c>
      <c r="S14" s="3">
        <v>1.7791025093767298E-2</v>
      </c>
      <c r="T14" s="3">
        <v>2.4378022305578263E-2</v>
      </c>
      <c r="U14" s="3">
        <v>2.0468649631014298E-2</v>
      </c>
      <c r="V14" s="3">
        <v>2.6666048141618878E-2</v>
      </c>
      <c r="W14" s="3">
        <v>2.1580033371126336E-2</v>
      </c>
      <c r="X14" s="3">
        <v>2.9741895793428758E-2</v>
      </c>
      <c r="Y14" s="3">
        <v>2.4140618258473624E-2</v>
      </c>
      <c r="Z14" s="3">
        <v>3.3390188726632124E-2</v>
      </c>
      <c r="AA14" s="3">
        <v>3.4575139555686148E-2</v>
      </c>
      <c r="AB14" s="3">
        <v>3.9705172164359759E-2</v>
      </c>
      <c r="AC14" s="3">
        <v>4.3171971954915601E-2</v>
      </c>
      <c r="AD14" s="3">
        <v>4.5385210637260101E-2</v>
      </c>
      <c r="AE14" s="3">
        <v>5.3193441864314989E-2</v>
      </c>
      <c r="AF14" s="3">
        <v>5.6117816364555241E-2</v>
      </c>
      <c r="AG14" s="3">
        <v>5.5348939251239015E-2</v>
      </c>
      <c r="AH14" s="3">
        <v>6.8749052053499321E-2</v>
      </c>
      <c r="AI14" s="3">
        <v>5.8571938732369364E-2</v>
      </c>
      <c r="AJ14" s="3">
        <v>8.9715422799307734E-2</v>
      </c>
      <c r="AK14" s="3">
        <v>0.12356655400287085</v>
      </c>
      <c r="AL14" s="3">
        <v>9.0817861900126778E-2</v>
      </c>
    </row>
    <row r="15" spans="1:38" x14ac:dyDescent="0.35">
      <c r="A15" s="7">
        <v>43101</v>
      </c>
      <c r="B15" s="7">
        <v>43190</v>
      </c>
      <c r="C15" t="s">
        <v>124</v>
      </c>
      <c r="D15" t="s">
        <v>125</v>
      </c>
      <c r="E15" s="4" t="s">
        <v>69</v>
      </c>
      <c r="F15" s="3">
        <v>9.6633406642420705E-3</v>
      </c>
      <c r="G15" s="3">
        <v>8.8567841877101317E-3</v>
      </c>
      <c r="H15" s="3">
        <v>1.2516670482588144E-2</v>
      </c>
      <c r="I15" s="3">
        <v>1.0613877354440141E-2</v>
      </c>
      <c r="J15" s="3">
        <v>1.3665005216227521E-2</v>
      </c>
      <c r="K15" s="3">
        <v>1.3896986844783427E-2</v>
      </c>
      <c r="L15" s="3">
        <v>1.5517567647322292E-2</v>
      </c>
      <c r="M15" s="3">
        <v>1.4913898212994449E-2</v>
      </c>
      <c r="N15" s="3">
        <v>1.8902640946801167E-2</v>
      </c>
      <c r="O15" s="3">
        <v>1.5285534809126988E-2</v>
      </c>
      <c r="P15" s="3">
        <v>2.1782291759152264E-2</v>
      </c>
      <c r="Q15" s="3">
        <v>1.662869558926414E-2</v>
      </c>
      <c r="R15" s="3">
        <v>2.391445965152484E-2</v>
      </c>
      <c r="S15" s="3">
        <v>1.8763060110870457E-2</v>
      </c>
      <c r="T15" s="3">
        <v>2.5316843693128623E-2</v>
      </c>
      <c r="U15" s="3">
        <v>2.1445309033417466E-2</v>
      </c>
      <c r="V15" s="3">
        <v>2.7583538133656129E-2</v>
      </c>
      <c r="W15" s="3">
        <v>2.2500495259273386E-2</v>
      </c>
      <c r="X15" s="3">
        <v>3.0730557773519358E-2</v>
      </c>
      <c r="Y15" s="3">
        <v>2.5049873203161498E-2</v>
      </c>
      <c r="Z15" s="3">
        <v>3.4380516132835014E-2</v>
      </c>
      <c r="AA15" s="3">
        <v>3.5536616039588888E-2</v>
      </c>
      <c r="AB15" s="3">
        <v>4.0674492333930001E-2</v>
      </c>
      <c r="AC15" s="3">
        <v>4.4144902683848131E-2</v>
      </c>
      <c r="AD15" s="3">
        <v>4.6289604606180174E-2</v>
      </c>
      <c r="AE15" s="3">
        <v>5.4180960165628241E-2</v>
      </c>
      <c r="AF15" s="3">
        <v>5.7053919066883008E-2</v>
      </c>
      <c r="AG15" s="3">
        <v>5.6257482062810907E-2</v>
      </c>
      <c r="AH15" s="3">
        <v>6.9699819231343885E-2</v>
      </c>
      <c r="AI15" s="3">
        <v>5.9562776545488701E-2</v>
      </c>
      <c r="AJ15" s="3">
        <v>9.0707800169766276E-2</v>
      </c>
      <c r="AK15" s="3">
        <v>0.12451313615786119</v>
      </c>
      <c r="AL15" s="3">
        <v>9.1732767645065466E-2</v>
      </c>
    </row>
    <row r="16" spans="1:38" x14ac:dyDescent="0.35">
      <c r="A16" s="7">
        <v>43101</v>
      </c>
      <c r="B16" s="7">
        <v>43190</v>
      </c>
      <c r="C16" t="s">
        <v>124</v>
      </c>
      <c r="D16" t="s">
        <v>125</v>
      </c>
      <c r="E16" s="4" t="s">
        <v>70</v>
      </c>
      <c r="F16" s="3">
        <v>1.0615006950827514E-2</v>
      </c>
      <c r="G16" s="3">
        <v>9.7629176956889521E-3</v>
      </c>
      <c r="H16" s="3">
        <v>1.3502258168549955E-2</v>
      </c>
      <c r="I16" s="3">
        <v>1.1532143139689066E-2</v>
      </c>
      <c r="J16" s="3">
        <v>1.4610253000537966E-2</v>
      </c>
      <c r="K16" s="3">
        <v>1.4871243633954574E-2</v>
      </c>
      <c r="L16" s="3">
        <v>1.6506458227018361E-2</v>
      </c>
      <c r="M16" s="3">
        <v>1.5822139340595884E-2</v>
      </c>
      <c r="N16" s="3">
        <v>1.9879240678301116E-2</v>
      </c>
      <c r="O16" s="3">
        <v>1.6241603607676743E-2</v>
      </c>
      <c r="P16" s="3">
        <v>2.2699213581187008E-2</v>
      </c>
      <c r="Q16" s="3">
        <v>1.7624472251490889E-2</v>
      </c>
      <c r="R16" s="3">
        <v>2.4870656963362825E-2</v>
      </c>
      <c r="S16" s="3">
        <v>1.9729596604833866E-2</v>
      </c>
      <c r="T16" s="3">
        <v>2.6228818340475298E-2</v>
      </c>
      <c r="U16" s="3">
        <v>2.2352468210182243E-2</v>
      </c>
      <c r="V16" s="3">
        <v>2.8513458477405225E-2</v>
      </c>
      <c r="W16" s="3">
        <v>2.349646393134789E-2</v>
      </c>
      <c r="X16" s="3">
        <v>3.171025966002905E-2</v>
      </c>
      <c r="Y16" s="3">
        <v>2.6007331566039356E-2</v>
      </c>
      <c r="Z16" s="3">
        <v>3.5298731543727931E-2</v>
      </c>
      <c r="AA16" s="3">
        <v>3.6467788080590161E-2</v>
      </c>
      <c r="AB16" s="3">
        <v>4.1609447758682513E-2</v>
      </c>
      <c r="AC16" s="3">
        <v>4.506852192541988E-2</v>
      </c>
      <c r="AD16" s="3">
        <v>4.7195598965229249E-2</v>
      </c>
      <c r="AE16" s="3">
        <v>5.5159910045503073E-2</v>
      </c>
      <c r="AF16" s="3">
        <v>5.801261041153194E-2</v>
      </c>
      <c r="AG16" s="3">
        <v>5.7181077966933225E-2</v>
      </c>
      <c r="AH16" s="3">
        <v>7.068823897740123E-2</v>
      </c>
      <c r="AI16" s="3">
        <v>6.0478159208486031E-2</v>
      </c>
      <c r="AJ16" s="3">
        <v>9.161490997768823E-2</v>
      </c>
      <c r="AK16" s="3">
        <v>0.1254369045674463</v>
      </c>
      <c r="AL16" s="3">
        <v>9.27167941862439E-2</v>
      </c>
    </row>
    <row r="17" spans="1:38" x14ac:dyDescent="0.35">
      <c r="A17" s="7">
        <v>43101</v>
      </c>
      <c r="B17" s="7">
        <v>43190</v>
      </c>
      <c r="C17" t="s">
        <v>124</v>
      </c>
      <c r="D17" t="s">
        <v>125</v>
      </c>
      <c r="E17" s="4">
        <v>5</v>
      </c>
      <c r="F17" s="3">
        <v>1.153703461634195E-2</v>
      </c>
      <c r="G17" s="3">
        <v>1.0701871493965603E-2</v>
      </c>
      <c r="H17" s="3">
        <v>1.4445141600718848E-2</v>
      </c>
      <c r="I17" s="3">
        <v>1.2501354570931673E-2</v>
      </c>
      <c r="J17" s="3">
        <v>1.5587162076532107E-2</v>
      </c>
      <c r="K17" s="3">
        <v>1.5857435763598306E-2</v>
      </c>
      <c r="L17" s="3">
        <v>1.7430411032710386E-2</v>
      </c>
      <c r="M17" s="3">
        <v>1.6758382469180051E-2</v>
      </c>
      <c r="N17" s="3">
        <v>2.0798630295579261E-2</v>
      </c>
      <c r="O17" s="3">
        <v>1.72040035593766E-2</v>
      </c>
      <c r="P17" s="3">
        <v>2.360787218744272E-2</v>
      </c>
      <c r="Q17" s="3">
        <v>1.8617434133182263E-2</v>
      </c>
      <c r="R17" s="3">
        <v>2.5787960327398798E-2</v>
      </c>
      <c r="S17" s="3">
        <v>2.0703405383414305E-2</v>
      </c>
      <c r="T17" s="3">
        <v>2.7149752994239301E-2</v>
      </c>
      <c r="U17" s="3">
        <v>2.3294855162885611E-2</v>
      </c>
      <c r="V17" s="3">
        <v>2.9445158938770949E-2</v>
      </c>
      <c r="W17" s="3">
        <v>2.4435172399565139E-2</v>
      </c>
      <c r="X17" s="3">
        <v>3.2687938236702893E-2</v>
      </c>
      <c r="Y17" s="3">
        <v>2.6914191192636463E-2</v>
      </c>
      <c r="Z17" s="3">
        <v>3.6274350429703735E-2</v>
      </c>
      <c r="AA17" s="3">
        <v>3.7416623636127196E-2</v>
      </c>
      <c r="AB17" s="3">
        <v>4.2529849427629184E-2</v>
      </c>
      <c r="AC17" s="3">
        <v>4.6045960511612784E-2</v>
      </c>
      <c r="AD17" s="3">
        <v>4.8128988861040549E-2</v>
      </c>
      <c r="AE17" s="3">
        <v>5.6095845061382758E-2</v>
      </c>
      <c r="AF17" s="3">
        <v>5.8952002646676112E-2</v>
      </c>
      <c r="AG17" s="3">
        <v>5.8096016217194402E-2</v>
      </c>
      <c r="AH17" s="3">
        <v>7.1637865264380846E-2</v>
      </c>
      <c r="AI17" s="3">
        <v>6.1439136470290402E-2</v>
      </c>
      <c r="AJ17" s="3">
        <v>9.2555173913923219E-2</v>
      </c>
      <c r="AK17" s="3">
        <v>0.12637465627533181</v>
      </c>
      <c r="AL17" s="3">
        <v>9.3630237274814329E-2</v>
      </c>
    </row>
    <row r="18" spans="1:38" x14ac:dyDescent="0.35">
      <c r="A18" s="7">
        <v>43101</v>
      </c>
      <c r="B18" s="7">
        <v>43190</v>
      </c>
      <c r="C18" t="s">
        <v>124</v>
      </c>
      <c r="D18" t="s">
        <v>125</v>
      </c>
      <c r="E18" s="4" t="s">
        <v>71</v>
      </c>
      <c r="F18" s="3">
        <v>1.245224753299351E-2</v>
      </c>
      <c r="G18" s="3">
        <v>1.1654426749807153E-2</v>
      </c>
      <c r="H18" s="3">
        <v>1.5363432166752955E-2</v>
      </c>
      <c r="I18" s="3">
        <v>1.3483817499054614E-2</v>
      </c>
      <c r="J18" s="3">
        <v>1.6515522119146912E-2</v>
      </c>
      <c r="K18" s="3">
        <v>1.6823752741559953E-2</v>
      </c>
      <c r="L18" s="3">
        <v>1.8378703526991808E-2</v>
      </c>
      <c r="M18" s="3">
        <v>1.7729505019661453E-2</v>
      </c>
      <c r="N18" s="3">
        <v>2.1743765763705465E-2</v>
      </c>
      <c r="O18" s="3">
        <v>1.8147549646481919E-2</v>
      </c>
      <c r="P18" s="3">
        <v>2.4550369849464026E-2</v>
      </c>
      <c r="Q18" s="3">
        <v>1.9553807159928726E-2</v>
      </c>
      <c r="R18" s="3">
        <v>2.6760856877947638E-2</v>
      </c>
      <c r="S18" s="3">
        <v>2.16326614592347E-2</v>
      </c>
      <c r="T18" s="3">
        <v>2.814608545157446E-2</v>
      </c>
      <c r="U18" s="3">
        <v>2.4256183992917527E-2</v>
      </c>
      <c r="V18" s="3">
        <v>3.0377722287246611E-2</v>
      </c>
      <c r="W18" s="3">
        <v>2.5363475537645862E-2</v>
      </c>
      <c r="X18" s="3">
        <v>3.3639852635564363E-2</v>
      </c>
      <c r="Y18" s="3">
        <v>2.7890286602368895E-2</v>
      </c>
      <c r="Z18" s="3">
        <v>3.7238787352116498E-2</v>
      </c>
      <c r="AA18" s="3">
        <v>3.8342734437073867E-2</v>
      </c>
      <c r="AB18" s="3">
        <v>4.3497644430090965E-2</v>
      </c>
      <c r="AC18" s="3">
        <v>4.69918284991825E-2</v>
      </c>
      <c r="AD18" s="3">
        <v>4.9106986994260957E-2</v>
      </c>
      <c r="AE18" s="3">
        <v>5.6996109513219109E-2</v>
      </c>
      <c r="AF18" s="3">
        <v>5.9944347119404856E-2</v>
      </c>
      <c r="AG18" s="3">
        <v>5.9024576265395139E-2</v>
      </c>
      <c r="AH18" s="3">
        <v>7.2586131170948864E-2</v>
      </c>
      <c r="AI18" s="3">
        <v>6.2356007964590066E-2</v>
      </c>
      <c r="AJ18" s="3">
        <v>9.3491764138789096E-2</v>
      </c>
      <c r="AK18" s="3">
        <v>0.12733627909692014</v>
      </c>
      <c r="AL18" s="3">
        <v>9.4620321119172929E-2</v>
      </c>
    </row>
    <row r="19" spans="1:38" x14ac:dyDescent="0.35">
      <c r="A19" s="7">
        <v>43101</v>
      </c>
      <c r="B19" s="7">
        <v>43190</v>
      </c>
      <c r="C19" t="s">
        <v>124</v>
      </c>
      <c r="D19" t="s">
        <v>125</v>
      </c>
      <c r="E19" s="4" t="s">
        <v>72</v>
      </c>
      <c r="F19" s="3">
        <v>1.3450044671522951E-2</v>
      </c>
      <c r="G19" s="3">
        <v>1.2597382233771229E-2</v>
      </c>
      <c r="H19" s="3">
        <v>1.6342643582357916E-2</v>
      </c>
      <c r="I19" s="3">
        <v>1.4385083984993944E-2</v>
      </c>
      <c r="J19" s="3">
        <v>1.7439457241266824E-2</v>
      </c>
      <c r="K19" s="3">
        <v>1.7751167672111452E-2</v>
      </c>
      <c r="L19" s="3">
        <v>1.9302334066026029E-2</v>
      </c>
      <c r="M19" s="3">
        <v>1.8652328412065006E-2</v>
      </c>
      <c r="N19" s="3">
        <v>2.2725725299334882E-2</v>
      </c>
      <c r="O19" s="3">
        <v>1.9140423901663064E-2</v>
      </c>
      <c r="P19" s="3">
        <v>2.5457192690454405E-2</v>
      </c>
      <c r="Q19" s="3">
        <v>2.048045621830168E-2</v>
      </c>
      <c r="R19" s="3">
        <v>2.7759113026973644E-2</v>
      </c>
      <c r="S19" s="3">
        <v>2.259962150081939E-2</v>
      </c>
      <c r="T19" s="3">
        <v>2.907939710107179E-2</v>
      </c>
      <c r="U19" s="3">
        <v>2.5217342664606346E-2</v>
      </c>
      <c r="V19" s="3">
        <v>3.1302257703269831E-2</v>
      </c>
      <c r="W19" s="3">
        <v>2.6357885367248684E-2</v>
      </c>
      <c r="X19" s="3">
        <v>3.463615542369796E-2</v>
      </c>
      <c r="Y19" s="3">
        <v>2.8804233856917435E-2</v>
      </c>
      <c r="Z19" s="3">
        <v>3.8147907091145454E-2</v>
      </c>
      <c r="AA19" s="3">
        <v>3.9309724026127174E-2</v>
      </c>
      <c r="AB19" s="3">
        <v>4.4488798515799476E-2</v>
      </c>
      <c r="AC19" s="3">
        <v>4.792984619827844E-2</v>
      </c>
      <c r="AD19" s="3">
        <v>5.0088608205711052E-2</v>
      </c>
      <c r="AE19" s="3">
        <v>5.7913454609532261E-2</v>
      </c>
      <c r="AF19" s="3">
        <v>6.0888516304205165E-2</v>
      </c>
      <c r="AG19" s="3">
        <v>5.9967069472016528E-2</v>
      </c>
      <c r="AH19" s="3">
        <v>7.3548762409441124E-2</v>
      </c>
      <c r="AI19" s="3">
        <v>6.3265720475586096E-2</v>
      </c>
      <c r="AJ19" s="3">
        <v>9.4423095300345858E-2</v>
      </c>
      <c r="AK19" s="3">
        <v>0.12824715508668147</v>
      </c>
      <c r="AL19" s="3">
        <v>9.5599606762433398E-2</v>
      </c>
    </row>
    <row r="20" spans="1:38" x14ac:dyDescent="0.35">
      <c r="A20" s="7">
        <v>43101</v>
      </c>
      <c r="B20" s="7">
        <v>43190</v>
      </c>
      <c r="C20" t="s">
        <v>124</v>
      </c>
      <c r="D20" t="s">
        <v>125</v>
      </c>
      <c r="E20" s="4">
        <v>6</v>
      </c>
      <c r="F20" s="3">
        <v>1.4354710843880236E-2</v>
      </c>
      <c r="G20" s="3">
        <v>1.3514300466315894E-2</v>
      </c>
      <c r="H20" s="3">
        <v>1.7340015876603176E-2</v>
      </c>
      <c r="I20" s="3">
        <v>1.5287553075633288E-2</v>
      </c>
      <c r="J20" s="3">
        <v>1.8343677994122679E-2</v>
      </c>
      <c r="K20" s="3">
        <v>1.8711866595613344E-2</v>
      </c>
      <c r="L20" s="3">
        <v>2.0205108654712537E-2</v>
      </c>
      <c r="M20" s="3">
        <v>1.9600622392565027E-2</v>
      </c>
      <c r="N20" s="3">
        <v>2.3686311833625705E-2</v>
      </c>
      <c r="O20" s="3">
        <v>2.0132774067928759E-2</v>
      </c>
      <c r="P20" s="3">
        <v>2.6358899286446989E-2</v>
      </c>
      <c r="Q20" s="3">
        <v>2.1464201327189191E-2</v>
      </c>
      <c r="R20" s="3">
        <v>2.8697114376885581E-2</v>
      </c>
      <c r="S20" s="3">
        <v>2.3529621074183445E-2</v>
      </c>
      <c r="T20" s="3">
        <v>3.0015743625293943E-2</v>
      </c>
      <c r="U20" s="3">
        <v>2.6216862234903306E-2</v>
      </c>
      <c r="V20" s="3">
        <v>3.230073576320746E-2</v>
      </c>
      <c r="W20" s="3">
        <v>2.7262787163677034E-2</v>
      </c>
      <c r="X20" s="3">
        <v>3.561369834049085E-2</v>
      </c>
      <c r="Y20" s="3">
        <v>2.973475792981161E-2</v>
      </c>
      <c r="Z20" s="3">
        <v>3.9087418767790733E-2</v>
      </c>
      <c r="AA20" s="3">
        <v>4.0306843346533047E-2</v>
      </c>
      <c r="AB20" s="3">
        <v>4.5420502837275466E-2</v>
      </c>
      <c r="AC20" s="3">
        <v>4.8884595950778494E-2</v>
      </c>
      <c r="AD20" s="3">
        <v>5.1050407256270192E-2</v>
      </c>
      <c r="AE20" s="3">
        <v>5.8893066680813289E-2</v>
      </c>
      <c r="AF20" s="3">
        <v>6.1864382115662565E-2</v>
      </c>
      <c r="AG20" s="3">
        <v>6.0938529481590481E-2</v>
      </c>
      <c r="AH20" s="3">
        <v>7.449188301553189E-2</v>
      </c>
      <c r="AI20" s="3">
        <v>6.4234623648672856E-2</v>
      </c>
      <c r="AJ20" s="3">
        <v>9.5357824946687292E-2</v>
      </c>
      <c r="AK20" s="3">
        <v>0.1291501469799699</v>
      </c>
      <c r="AL20" s="3">
        <v>9.6550800991794569E-2</v>
      </c>
    </row>
    <row r="21" spans="1:38" x14ac:dyDescent="0.35">
      <c r="A21" s="7">
        <v>43101</v>
      </c>
      <c r="B21" s="7">
        <v>43190</v>
      </c>
      <c r="C21" t="s">
        <v>124</v>
      </c>
      <c r="D21" t="s">
        <v>125</v>
      </c>
      <c r="E21" s="4" t="s">
        <v>73</v>
      </c>
      <c r="F21" s="3">
        <v>1.5312982379720074E-2</v>
      </c>
      <c r="G21" s="3">
        <v>1.4470863826427659E-2</v>
      </c>
      <c r="H21" s="3">
        <v>1.8272189463267363E-2</v>
      </c>
      <c r="I21" s="3">
        <v>1.6251364017709529E-2</v>
      </c>
      <c r="J21" s="3">
        <v>1.9343484503988224E-2</v>
      </c>
      <c r="K21" s="3">
        <v>1.9691342019618512E-2</v>
      </c>
      <c r="L21" s="3">
        <v>2.1162612339023008E-2</v>
      </c>
      <c r="M21" s="3">
        <v>2.0555545551511262E-2</v>
      </c>
      <c r="N21" s="3">
        <v>2.4618632179344738E-2</v>
      </c>
      <c r="O21" s="3">
        <v>2.1106025837637675E-2</v>
      </c>
      <c r="P21" s="3">
        <v>2.7346096550348659E-2</v>
      </c>
      <c r="Q21" s="3">
        <v>2.2377473187230702E-2</v>
      </c>
      <c r="R21" s="3">
        <v>2.9660540987732849E-2</v>
      </c>
      <c r="S21" s="3">
        <v>2.4450464703823917E-2</v>
      </c>
      <c r="T21" s="3">
        <v>3.0969993380739844E-2</v>
      </c>
      <c r="U21" s="3">
        <v>2.7159888659726593E-2</v>
      </c>
      <c r="V21" s="3">
        <v>3.3258205706464358E-2</v>
      </c>
      <c r="W21" s="3">
        <v>2.8245864887336613E-2</v>
      </c>
      <c r="X21" s="3">
        <v>3.6565189098086058E-2</v>
      </c>
      <c r="Y21" s="3">
        <v>3.0693615381737826E-2</v>
      </c>
      <c r="Z21" s="3">
        <v>4.0085669834437107E-2</v>
      </c>
      <c r="AA21" s="3">
        <v>4.122605395002267E-2</v>
      </c>
      <c r="AB21" s="3">
        <v>4.6387327504087472E-2</v>
      </c>
      <c r="AC21" s="3">
        <v>4.9850499388342871E-2</v>
      </c>
      <c r="AD21" s="3">
        <v>5.199554172111405E-2</v>
      </c>
      <c r="AE21" s="3">
        <v>5.9813620383519554E-2</v>
      </c>
      <c r="AF21" s="3">
        <v>6.2833211364047278E-2</v>
      </c>
      <c r="AG21" s="3">
        <v>6.1856344163987477E-2</v>
      </c>
      <c r="AH21" s="3">
        <v>7.5407203055284769E-2</v>
      </c>
      <c r="AI21" s="3">
        <v>6.5160503509014353E-2</v>
      </c>
      <c r="AJ21" s="3">
        <v>9.6303598878923286E-2</v>
      </c>
      <c r="AK21" s="3">
        <v>0.13011849031913039</v>
      </c>
      <c r="AL21" s="3">
        <v>9.7468812547561789E-2</v>
      </c>
    </row>
    <row r="22" spans="1:38" x14ac:dyDescent="0.35">
      <c r="A22" s="7">
        <v>43101</v>
      </c>
      <c r="B22" s="7">
        <v>43190</v>
      </c>
      <c r="C22" t="s">
        <v>124</v>
      </c>
      <c r="D22" t="s">
        <v>125</v>
      </c>
      <c r="E22" s="4" t="s">
        <v>74</v>
      </c>
      <c r="F22" s="3">
        <v>1.6290655936053604E-2</v>
      </c>
      <c r="G22" s="3">
        <v>1.5415482453008581E-2</v>
      </c>
      <c r="H22" s="3">
        <v>1.9192327521774254E-2</v>
      </c>
      <c r="I22" s="3">
        <v>1.7167024517393371E-2</v>
      </c>
      <c r="J22" s="3">
        <v>2.0298200600403268E-2</v>
      </c>
      <c r="K22" s="3">
        <v>2.0669033421348501E-2</v>
      </c>
      <c r="L22" s="3">
        <v>2.2106092157626923E-2</v>
      </c>
      <c r="M22" s="3">
        <v>2.1545130551937467E-2</v>
      </c>
      <c r="N22" s="3">
        <v>2.5578105083387995E-2</v>
      </c>
      <c r="O22" s="3">
        <v>2.204120607577428E-2</v>
      </c>
      <c r="P22" s="3">
        <v>2.8272222742774852E-2</v>
      </c>
      <c r="Q22" s="3">
        <v>2.3288973979576768E-2</v>
      </c>
      <c r="R22" s="3">
        <v>3.0609713962831183E-2</v>
      </c>
      <c r="S22" s="3">
        <v>2.542336786006209E-2</v>
      </c>
      <c r="T22" s="3">
        <v>3.1900284765182828E-2</v>
      </c>
      <c r="U22" s="3">
        <v>2.8116043510631933E-2</v>
      </c>
      <c r="V22" s="3">
        <v>3.4186005067337315E-2</v>
      </c>
      <c r="W22" s="3">
        <v>2.9200134180994541E-2</v>
      </c>
      <c r="X22" s="3">
        <v>3.7472847689605307E-2</v>
      </c>
      <c r="Y22" s="3">
        <v>3.1598365149331155E-2</v>
      </c>
      <c r="Z22" s="3">
        <v>4.1011640450528096E-2</v>
      </c>
      <c r="AA22" s="3">
        <v>4.2220768312793533E-2</v>
      </c>
      <c r="AB22" s="3">
        <v>4.7295568211983774E-2</v>
      </c>
      <c r="AC22" s="3">
        <v>5.0817523142215132E-2</v>
      </c>
      <c r="AD22" s="3">
        <v>5.2934228027242791E-2</v>
      </c>
      <c r="AE22" s="3">
        <v>6.0742569693424418E-2</v>
      </c>
      <c r="AF22" s="3">
        <v>6.3746419203997554E-2</v>
      </c>
      <c r="AG22" s="3">
        <v>6.2804327105100019E-2</v>
      </c>
      <c r="AH22" s="3">
        <v>7.6403550330891065E-2</v>
      </c>
      <c r="AI22" s="3">
        <v>6.6092727841256096E-2</v>
      </c>
      <c r="AJ22" s="3">
        <v>9.7220330762728374E-2</v>
      </c>
      <c r="AK22" s="3">
        <v>0.1310672106212174</v>
      </c>
      <c r="AL22" s="3">
        <v>9.8425010059577878E-2</v>
      </c>
    </row>
    <row r="23" spans="1:38" x14ac:dyDescent="0.35">
      <c r="A23" s="7">
        <v>43101</v>
      </c>
      <c r="B23" s="7">
        <v>43190</v>
      </c>
      <c r="C23" t="s">
        <v>124</v>
      </c>
      <c r="D23" t="s">
        <v>125</v>
      </c>
      <c r="E23" s="4">
        <v>7</v>
      </c>
      <c r="F23" s="3">
        <v>1.7278276553716283E-2</v>
      </c>
      <c r="G23" s="3">
        <v>1.6329177705657585E-2</v>
      </c>
      <c r="H23" s="3">
        <v>2.0099318153345837E-2</v>
      </c>
      <c r="I23" s="3">
        <v>1.8083811526251506E-2</v>
      </c>
      <c r="J23" s="3">
        <v>2.1213419842575455E-2</v>
      </c>
      <c r="K23" s="3">
        <v>2.158380085956102E-2</v>
      </c>
      <c r="L23" s="3">
        <v>2.3092812186156275E-2</v>
      </c>
      <c r="M23" s="3">
        <v>2.2540381363158706E-2</v>
      </c>
      <c r="N23" s="3">
        <v>2.6541323345427748E-2</v>
      </c>
      <c r="O23" s="3">
        <v>2.2991421638006951E-2</v>
      </c>
      <c r="P23" s="3">
        <v>2.9236981442763748E-2</v>
      </c>
      <c r="Q23" s="3">
        <v>2.4234541478731421E-2</v>
      </c>
      <c r="R23" s="3">
        <v>3.1559390111168401E-2</v>
      </c>
      <c r="S23" s="3">
        <v>2.6346904198118623E-2</v>
      </c>
      <c r="T23" s="3">
        <v>3.2816080504292425E-2</v>
      </c>
      <c r="U23" s="3">
        <v>2.9027736685895592E-2</v>
      </c>
      <c r="V23" s="3">
        <v>3.5124858987900853E-2</v>
      </c>
      <c r="W23" s="3">
        <v>3.0144763825180405E-2</v>
      </c>
      <c r="X23" s="3">
        <v>3.8388336794213065E-2</v>
      </c>
      <c r="Y23" s="3">
        <v>3.259125705272968E-2</v>
      </c>
      <c r="Z23" s="3">
        <v>4.1977016347356205E-2</v>
      </c>
      <c r="AA23" s="3">
        <v>4.3209543585266665E-2</v>
      </c>
      <c r="AB23" s="3">
        <v>4.8258125568611837E-2</v>
      </c>
      <c r="AC23" s="3">
        <v>5.1742287354191972E-2</v>
      </c>
      <c r="AD23" s="3">
        <v>5.3887157903794752E-2</v>
      </c>
      <c r="AE23" s="3">
        <v>6.1662762776687488E-2</v>
      </c>
      <c r="AF23" s="3">
        <v>6.4712813964452512E-2</v>
      </c>
      <c r="AG23" s="3">
        <v>6.3782994599508799E-2</v>
      </c>
      <c r="AH23" s="3">
        <v>7.7382315806652655E-2</v>
      </c>
      <c r="AI23" s="3">
        <v>6.7077913935211592E-2</v>
      </c>
      <c r="AJ23" s="3">
        <v>9.8205983513070985E-2</v>
      </c>
      <c r="AK23" s="3">
        <v>0.13197013151438969</v>
      </c>
      <c r="AL23" s="3">
        <v>9.9385016335746867E-2</v>
      </c>
    </row>
    <row r="24" spans="1:38" x14ac:dyDescent="0.35">
      <c r="A24" s="7">
        <v>43101</v>
      </c>
      <c r="B24" s="7">
        <v>43190</v>
      </c>
      <c r="C24" t="s">
        <v>124</v>
      </c>
      <c r="D24" t="s">
        <v>125</v>
      </c>
      <c r="E24" s="4" t="s">
        <v>75</v>
      </c>
      <c r="F24" s="3">
        <v>1.818248827263521E-2</v>
      </c>
      <c r="G24" s="3">
        <v>1.7301753966505143E-2</v>
      </c>
      <c r="H24" s="3">
        <v>2.1026838639232933E-2</v>
      </c>
      <c r="I24" s="3">
        <v>1.9067557852125033E-2</v>
      </c>
      <c r="J24" s="3">
        <v>2.2201709327723484E-2</v>
      </c>
      <c r="K24" s="3">
        <v>2.2550622839863751E-2</v>
      </c>
      <c r="L24" s="3">
        <v>2.4066014601750962E-2</v>
      </c>
      <c r="M24" s="3">
        <v>2.3515759061131503E-2</v>
      </c>
      <c r="N24" s="3">
        <v>2.7527017636710616E-2</v>
      </c>
      <c r="O24" s="3">
        <v>2.39567489982212E-2</v>
      </c>
      <c r="P24" s="3">
        <v>3.0147315452805593E-2</v>
      </c>
      <c r="Q24" s="3">
        <v>2.5200116122030655E-2</v>
      </c>
      <c r="R24" s="3">
        <v>3.2524190394425521E-2</v>
      </c>
      <c r="S24" s="3">
        <v>2.7342902962852914E-2</v>
      </c>
      <c r="T24" s="3">
        <v>3.3756386656798407E-2</v>
      </c>
      <c r="U24" s="3">
        <v>3.0005559472231803E-2</v>
      </c>
      <c r="V24" s="3">
        <v>3.6047358524636863E-2</v>
      </c>
      <c r="W24" s="3">
        <v>3.1140598489951501E-2</v>
      </c>
      <c r="X24" s="3">
        <v>3.9328808699077421E-2</v>
      </c>
      <c r="Y24" s="3">
        <v>3.3560360891625424E-2</v>
      </c>
      <c r="Z24" s="3">
        <v>4.2974746221220002E-2</v>
      </c>
      <c r="AA24" s="3">
        <v>4.4143034001964808E-2</v>
      </c>
      <c r="AB24" s="3">
        <v>4.9196010653543364E-2</v>
      </c>
      <c r="AC24" s="3">
        <v>5.2649617469505111E-2</v>
      </c>
      <c r="AD24" s="3">
        <v>5.4819400436061254E-2</v>
      </c>
      <c r="AE24" s="3">
        <v>6.2639145127280957E-2</v>
      </c>
      <c r="AF24" s="3">
        <v>6.5675499657925518E-2</v>
      </c>
      <c r="AG24" s="3">
        <v>6.4723641932776493E-2</v>
      </c>
      <c r="AH24" s="3">
        <v>7.8313030512954712E-2</v>
      </c>
      <c r="AI24" s="3">
        <v>6.803977311247475E-2</v>
      </c>
      <c r="AJ24" s="3">
        <v>9.9160320959379489E-2</v>
      </c>
      <c r="AK24" s="3">
        <v>0.13292404775594543</v>
      </c>
      <c r="AL24" s="3">
        <v>0.10032571407201984</v>
      </c>
    </row>
    <row r="25" spans="1:38" x14ac:dyDescent="0.35">
      <c r="A25" s="7">
        <v>43101</v>
      </c>
      <c r="B25" s="7">
        <v>43190</v>
      </c>
      <c r="C25" t="s">
        <v>127</v>
      </c>
      <c r="D25" t="s">
        <v>125</v>
      </c>
      <c r="E25" s="4">
        <v>1</v>
      </c>
      <c r="F25" s="3">
        <v>2.3987235415080067E-2</v>
      </c>
      <c r="G25" s="3">
        <v>2.3522336342949562E-2</v>
      </c>
      <c r="H25" s="3">
        <v>2.6904631230141238E-2</v>
      </c>
      <c r="I25" s="3">
        <v>2.5059051771753754E-2</v>
      </c>
      <c r="J25" s="3">
        <v>2.8214931408311057E-2</v>
      </c>
      <c r="K25" s="3">
        <v>2.8265446267055655E-2</v>
      </c>
      <c r="L25" s="3">
        <v>2.9982197143763191E-2</v>
      </c>
      <c r="M25" s="3">
        <v>2.9375022539147158E-2</v>
      </c>
      <c r="N25" s="3">
        <v>3.3507892750587853E-2</v>
      </c>
      <c r="O25" s="3">
        <v>2.9706515013046782E-2</v>
      </c>
      <c r="P25" s="3">
        <v>3.6154611745470945E-2</v>
      </c>
      <c r="Q25" s="3">
        <v>3.1068234094442877E-2</v>
      </c>
      <c r="R25" s="3">
        <v>3.8456126253836605E-2</v>
      </c>
      <c r="S25" s="3">
        <v>3.314272616399698E-2</v>
      </c>
      <c r="T25" s="3">
        <v>3.9907674061615848E-2</v>
      </c>
      <c r="U25" s="3">
        <v>3.5823319048479053E-2</v>
      </c>
      <c r="V25" s="3">
        <v>4.204753562160251E-2</v>
      </c>
      <c r="W25" s="3">
        <v>3.6978029939151655E-2</v>
      </c>
      <c r="X25" s="3">
        <v>4.5194112106792327E-2</v>
      </c>
      <c r="Y25" s="3">
        <v>3.9541921398612769E-2</v>
      </c>
      <c r="Z25" s="3">
        <v>4.8720350031989594E-2</v>
      </c>
      <c r="AA25" s="3">
        <v>4.9938659601285303E-2</v>
      </c>
      <c r="AB25" s="3">
        <v>5.52208891354583E-2</v>
      </c>
      <c r="AC25" s="3">
        <v>5.8598276343003582E-2</v>
      </c>
      <c r="AD25" s="3">
        <v>6.0975244868088717E-2</v>
      </c>
      <c r="AE25" s="3">
        <v>6.863030761393521E-2</v>
      </c>
      <c r="AF25" s="3">
        <v>7.1530260528803763E-2</v>
      </c>
      <c r="AG25" s="3">
        <v>7.0821994417673784E-2</v>
      </c>
      <c r="AH25" s="3">
        <v>8.4201092314036607E-2</v>
      </c>
      <c r="AI25" s="3">
        <v>7.3923580014799817E-2</v>
      </c>
      <c r="AJ25" s="3">
        <v>0.10518899962977327</v>
      </c>
      <c r="AK25" s="3">
        <v>0.13888203667397347</v>
      </c>
      <c r="AL25" s="3">
        <v>0.10638283042429544</v>
      </c>
    </row>
    <row r="26" spans="1:38" x14ac:dyDescent="0.35">
      <c r="A26" s="7">
        <v>43101</v>
      </c>
      <c r="B26" s="7">
        <v>43190</v>
      </c>
      <c r="C26" t="s">
        <v>127</v>
      </c>
      <c r="D26" t="s">
        <v>125</v>
      </c>
      <c r="E26" s="4" t="s">
        <v>64</v>
      </c>
      <c r="F26" s="3">
        <v>2.4955504628306674E-2</v>
      </c>
      <c r="G26" s="3">
        <v>2.444448177337075E-2</v>
      </c>
      <c r="H26" s="3">
        <v>2.7850626606074732E-2</v>
      </c>
      <c r="I26" s="3">
        <v>2.5968925101185338E-2</v>
      </c>
      <c r="J26" s="3">
        <v>2.9133283155749985E-2</v>
      </c>
      <c r="K26" s="3">
        <v>2.9223062002444337E-2</v>
      </c>
      <c r="L26" s="3">
        <v>3.0934115932132966E-2</v>
      </c>
      <c r="M26" s="3">
        <v>3.0280819977680506E-2</v>
      </c>
      <c r="N26" s="3">
        <v>3.4450059642861693E-2</v>
      </c>
      <c r="O26" s="3">
        <v>3.0642785468758395E-2</v>
      </c>
      <c r="P26" s="3">
        <v>3.7118841964526535E-2</v>
      </c>
      <c r="Q26" s="3">
        <v>3.1979868013520547E-2</v>
      </c>
      <c r="R26" s="3">
        <v>3.943933659506163E-2</v>
      </c>
      <c r="S26" s="3">
        <v>3.4073364823084352E-2</v>
      </c>
      <c r="T26" s="3">
        <v>4.0881617977735499E-2</v>
      </c>
      <c r="U26" s="3">
        <v>3.6738906253639451E-2</v>
      </c>
      <c r="V26" s="3">
        <v>4.3018330733574292E-2</v>
      </c>
      <c r="W26" s="3">
        <v>3.7924668227140766E-2</v>
      </c>
      <c r="X26" s="3">
        <v>4.6173292504344779E-2</v>
      </c>
      <c r="Y26" s="3">
        <v>4.0464646138943565E-2</v>
      </c>
      <c r="Z26" s="3">
        <v>4.966396683370107E-2</v>
      </c>
      <c r="AA26" s="3">
        <v>5.0893391600233456E-2</v>
      </c>
      <c r="AB26" s="3">
        <v>5.6139843977245196E-2</v>
      </c>
      <c r="AC26" s="3">
        <v>5.9548496431847793E-2</v>
      </c>
      <c r="AD26" s="3">
        <v>6.1929948312430663E-2</v>
      </c>
      <c r="AE26" s="3">
        <v>6.9537761203292317E-2</v>
      </c>
      <c r="AF26" s="3">
        <v>7.2498060155195498E-2</v>
      </c>
      <c r="AG26" s="3">
        <v>7.1743308851667145E-2</v>
      </c>
      <c r="AH26" s="3">
        <v>8.515983672157254E-2</v>
      </c>
      <c r="AI26" s="3">
        <v>7.4836736383455005E-2</v>
      </c>
      <c r="AJ26" s="3">
        <v>0.10611874012266376</v>
      </c>
      <c r="AK26" s="3">
        <v>0.1398205734558888</v>
      </c>
      <c r="AL26" s="3">
        <v>0.10728480850509567</v>
      </c>
    </row>
    <row r="27" spans="1:38" x14ac:dyDescent="0.35">
      <c r="A27" s="7">
        <v>43101</v>
      </c>
      <c r="B27" s="7">
        <v>43190</v>
      </c>
      <c r="C27" t="s">
        <v>127</v>
      </c>
      <c r="D27" t="s">
        <v>125</v>
      </c>
      <c r="E27" s="4">
        <v>2</v>
      </c>
      <c r="F27" s="3">
        <v>2.5897021899625214E-2</v>
      </c>
      <c r="G27" s="3">
        <v>2.5368915274916439E-2</v>
      </c>
      <c r="H27" s="3">
        <v>2.8848451892030356E-2</v>
      </c>
      <c r="I27" s="3">
        <v>2.6955691162124075E-2</v>
      </c>
      <c r="J27" s="3">
        <v>3.0060131064313003E-2</v>
      </c>
      <c r="K27" s="3">
        <v>3.0198106227038335E-2</v>
      </c>
      <c r="L27" s="3">
        <v>3.1845044629501121E-2</v>
      </c>
      <c r="M27" s="3">
        <v>3.1234643248477845E-2</v>
      </c>
      <c r="N27" s="3">
        <v>3.5382324199331079E-2</v>
      </c>
      <c r="O27" s="3">
        <v>3.1594684077558832E-2</v>
      </c>
      <c r="P27" s="3">
        <v>3.8040547019358752E-2</v>
      </c>
      <c r="Q27" s="3">
        <v>3.2919219200209515E-2</v>
      </c>
      <c r="R27" s="3">
        <v>4.0371166603959771E-2</v>
      </c>
      <c r="S27" s="3">
        <v>3.5041012010300826E-2</v>
      </c>
      <c r="T27" s="3">
        <v>4.183147969235404E-2</v>
      </c>
      <c r="U27" s="3">
        <v>3.7687198648127536E-2</v>
      </c>
      <c r="V27" s="3">
        <v>4.3993338675699427E-2</v>
      </c>
      <c r="W27" s="3">
        <v>3.889088008317966E-2</v>
      </c>
      <c r="X27" s="3">
        <v>4.7140754596639786E-2</v>
      </c>
      <c r="Y27" s="3">
        <v>4.1458963417643241E-2</v>
      </c>
      <c r="Z27" s="3">
        <v>5.0599887843882987E-2</v>
      </c>
      <c r="AA27" s="3">
        <v>5.1867198078455509E-2</v>
      </c>
      <c r="AB27" s="3">
        <v>5.7078492929563476E-2</v>
      </c>
      <c r="AC27" s="3">
        <v>6.0451398081860633E-2</v>
      </c>
      <c r="AD27" s="3">
        <v>6.2845761448320339E-2</v>
      </c>
      <c r="AE27" s="3">
        <v>7.0442675029635429E-2</v>
      </c>
      <c r="AF27" s="3">
        <v>7.3471262341356133E-2</v>
      </c>
      <c r="AG27" s="3">
        <v>7.2721406261892219E-2</v>
      </c>
      <c r="AH27" s="3">
        <v>8.6088969605302601E-2</v>
      </c>
      <c r="AI27" s="3">
        <v>7.5827014311840926E-2</v>
      </c>
      <c r="AJ27" s="3">
        <v>0.10705082647783992</v>
      </c>
      <c r="AK27" s="3">
        <v>0.14076338686442322</v>
      </c>
      <c r="AL27" s="3">
        <v>0.10818762445336724</v>
      </c>
    </row>
    <row r="28" spans="1:38" x14ac:dyDescent="0.35">
      <c r="A28" s="7">
        <v>43101</v>
      </c>
      <c r="B28" s="7">
        <v>43190</v>
      </c>
      <c r="C28" t="s">
        <v>127</v>
      </c>
      <c r="D28" t="s">
        <v>125</v>
      </c>
      <c r="E28" s="4" t="s">
        <v>65</v>
      </c>
      <c r="F28" s="3">
        <v>2.689258804360263E-2</v>
      </c>
      <c r="G28" s="3">
        <v>2.6329308788466756E-2</v>
      </c>
      <c r="H28" s="3">
        <v>2.9819656371274407E-2</v>
      </c>
      <c r="I28" s="3">
        <v>2.7893208213903412E-2</v>
      </c>
      <c r="J28" s="3">
        <v>3.1013264636733276E-2</v>
      </c>
      <c r="K28" s="3">
        <v>3.1135830795126874E-2</v>
      </c>
      <c r="L28" s="3">
        <v>3.2774662475232565E-2</v>
      </c>
      <c r="M28" s="3">
        <v>3.2179747392975015E-2</v>
      </c>
      <c r="N28" s="3">
        <v>3.6293207543458286E-2</v>
      </c>
      <c r="O28" s="3">
        <v>3.2544866915647203E-2</v>
      </c>
      <c r="P28" s="3">
        <v>3.9028482383182128E-2</v>
      </c>
      <c r="Q28" s="3">
        <v>3.3902780731733959E-2</v>
      </c>
      <c r="R28" s="3">
        <v>4.1290724980076222E-2</v>
      </c>
      <c r="S28" s="3">
        <v>3.5959929011024787E-2</v>
      </c>
      <c r="T28" s="3">
        <v>4.2744417994947589E-2</v>
      </c>
      <c r="U28" s="3">
        <v>3.8652317576269621E-2</v>
      </c>
      <c r="V28" s="3">
        <v>4.491348024859057E-2</v>
      </c>
      <c r="W28" s="3">
        <v>3.985025179167466E-2</v>
      </c>
      <c r="X28" s="3">
        <v>4.8122262773781385E-2</v>
      </c>
      <c r="Y28" s="3">
        <v>4.2373228437165705E-2</v>
      </c>
      <c r="Z28" s="3">
        <v>5.1590145397651652E-2</v>
      </c>
      <c r="AA28" s="3">
        <v>5.282068683129517E-2</v>
      </c>
      <c r="AB28" s="3">
        <v>5.8042504808221866E-2</v>
      </c>
      <c r="AC28" s="3">
        <v>6.1366638261812718E-2</v>
      </c>
      <c r="AD28" s="3">
        <v>6.3762272908770123E-2</v>
      </c>
      <c r="AE28" s="3">
        <v>7.1423160064546076E-2</v>
      </c>
      <c r="AF28" s="3">
        <v>7.4429679229339921E-2</v>
      </c>
      <c r="AG28" s="3">
        <v>7.3661021251319486E-2</v>
      </c>
      <c r="AH28" s="3">
        <v>8.7006290793609942E-2</v>
      </c>
      <c r="AI28" s="3">
        <v>7.6762463089604771E-2</v>
      </c>
      <c r="AJ28" s="3">
        <v>0.10799967860014292</v>
      </c>
      <c r="AK28" s="3">
        <v>0.1416933785039842</v>
      </c>
      <c r="AL28" s="3">
        <v>0.10917059404382648</v>
      </c>
    </row>
    <row r="29" spans="1:38" x14ac:dyDescent="0.35">
      <c r="A29" s="7">
        <v>43101</v>
      </c>
      <c r="B29" s="7">
        <v>43190</v>
      </c>
      <c r="C29" t="s">
        <v>127</v>
      </c>
      <c r="D29" t="s">
        <v>125</v>
      </c>
      <c r="E29" s="4" t="s">
        <v>66</v>
      </c>
      <c r="F29" s="3">
        <v>2.7816431623965198E-2</v>
      </c>
      <c r="G29" s="3">
        <v>2.7279758919457921E-2</v>
      </c>
      <c r="H29" s="3">
        <v>3.0808105309173158E-2</v>
      </c>
      <c r="I29" s="3">
        <v>2.8867113852875985E-2</v>
      </c>
      <c r="J29" s="3">
        <v>3.198528788400562E-2</v>
      </c>
      <c r="K29" s="3">
        <v>3.2083926756475457E-2</v>
      </c>
      <c r="L29" s="3">
        <v>3.3760408681570014E-2</v>
      </c>
      <c r="M29" s="3">
        <v>3.313934511733152E-2</v>
      </c>
      <c r="N29" s="3">
        <v>3.7274630476066412E-2</v>
      </c>
      <c r="O29" s="3">
        <v>3.3495680412953484E-2</v>
      </c>
      <c r="P29" s="3">
        <v>3.9990447680038121E-2</v>
      </c>
      <c r="Q29" s="3">
        <v>3.4867473360407804E-2</v>
      </c>
      <c r="R29" s="3">
        <v>4.2253792917843314E-2</v>
      </c>
      <c r="S29" s="3">
        <v>3.6932087503310361E-2</v>
      </c>
      <c r="T29" s="3">
        <v>4.3668036280152658E-2</v>
      </c>
      <c r="U29" s="3">
        <v>3.9594488698087418E-2</v>
      </c>
      <c r="V29" s="3">
        <v>4.5858979945907138E-2</v>
      </c>
      <c r="W29" s="3">
        <v>4.0841963462791439E-2</v>
      </c>
      <c r="X29" s="3">
        <v>4.9025110373458441E-2</v>
      </c>
      <c r="Y29" s="3">
        <v>4.3349523078769728E-2</v>
      </c>
      <c r="Z29" s="3">
        <v>5.2543861718213042E-2</v>
      </c>
      <c r="AA29" s="3">
        <v>5.3733705693309472E-2</v>
      </c>
      <c r="AB29" s="3">
        <v>5.8989763352759905E-2</v>
      </c>
      <c r="AC29" s="3">
        <v>6.2327036642431687E-2</v>
      </c>
      <c r="AD29" s="3">
        <v>6.4690749612420911E-2</v>
      </c>
      <c r="AE29" s="3">
        <v>7.2419860058073882E-2</v>
      </c>
      <c r="AF29" s="3">
        <v>7.5365926051764176E-2</v>
      </c>
      <c r="AG29" s="3">
        <v>7.4587901413566957E-2</v>
      </c>
      <c r="AH29" s="3">
        <v>8.7992861093754621E-2</v>
      </c>
      <c r="AI29" s="3">
        <v>7.7738964897950097E-2</v>
      </c>
      <c r="AJ29" s="3">
        <v>0.10892708483544281</v>
      </c>
      <c r="AK29" s="3">
        <v>0.14269048553650632</v>
      </c>
      <c r="AL29" s="3">
        <v>0.11008402769059558</v>
      </c>
    </row>
    <row r="30" spans="1:38" x14ac:dyDescent="0.35">
      <c r="A30" s="7">
        <v>43101</v>
      </c>
      <c r="B30" s="7">
        <v>43190</v>
      </c>
      <c r="C30" t="s">
        <v>127</v>
      </c>
      <c r="D30" t="s">
        <v>125</v>
      </c>
      <c r="E30" s="4">
        <v>3</v>
      </c>
      <c r="F30" s="3">
        <v>2.8809313229369592E-2</v>
      </c>
      <c r="G30" s="3">
        <v>2.8205970811349713E-2</v>
      </c>
      <c r="H30" s="3">
        <v>3.1799404111945873E-2</v>
      </c>
      <c r="I30" s="3">
        <v>2.9780618839001901E-2</v>
      </c>
      <c r="J30" s="3">
        <v>3.2927313185709302E-2</v>
      </c>
      <c r="K30" s="3">
        <v>3.305855171984963E-2</v>
      </c>
      <c r="L30" s="3">
        <v>3.4707387777530491E-2</v>
      </c>
      <c r="M30" s="3">
        <v>3.4118831932959115E-2</v>
      </c>
      <c r="N30" s="3">
        <v>3.819713920879525E-2</v>
      </c>
      <c r="O30" s="3">
        <v>3.4479170774394739E-2</v>
      </c>
      <c r="P30" s="3">
        <v>4.0981297683726242E-2</v>
      </c>
      <c r="Q30" s="3">
        <v>3.5781588451177515E-2</v>
      </c>
      <c r="R30" s="3">
        <v>4.3192268792738499E-2</v>
      </c>
      <c r="S30" s="3">
        <v>3.7930679296247286E-2</v>
      </c>
      <c r="T30" s="3">
        <v>4.4601194914300653E-2</v>
      </c>
      <c r="U30" s="3">
        <v>4.049763379652771E-2</v>
      </c>
      <c r="V30" s="3">
        <v>4.6767134065234195E-2</v>
      </c>
      <c r="W30" s="3">
        <v>4.176229785278987E-2</v>
      </c>
      <c r="X30" s="3">
        <v>4.9956300324280598E-2</v>
      </c>
      <c r="Y30" s="3">
        <v>4.429224629278198E-2</v>
      </c>
      <c r="Z30" s="3">
        <v>5.3504517540770236E-2</v>
      </c>
      <c r="AA30" s="3">
        <v>5.473032040789113E-2</v>
      </c>
      <c r="AB30" s="3">
        <v>5.9903407085099336E-2</v>
      </c>
      <c r="AC30" s="3">
        <v>6.3289714971796501E-2</v>
      </c>
      <c r="AD30" s="3">
        <v>6.5671491768077572E-2</v>
      </c>
      <c r="AE30" s="3">
        <v>7.3325299562678428E-2</v>
      </c>
      <c r="AF30" s="3">
        <v>7.6270462377958911E-2</v>
      </c>
      <c r="AG30" s="3">
        <v>7.550701855166983E-2</v>
      </c>
      <c r="AH30" s="3">
        <v>8.8920201824883388E-2</v>
      </c>
      <c r="AI30" s="3">
        <v>7.8656346334527172E-2</v>
      </c>
      <c r="AJ30" s="3">
        <v>0.10983415501933932</v>
      </c>
      <c r="AK30" s="3">
        <v>0.14363667660339871</v>
      </c>
      <c r="AL30" s="3">
        <v>0.11098752626621516</v>
      </c>
    </row>
    <row r="31" spans="1:38" x14ac:dyDescent="0.35">
      <c r="A31" s="7">
        <v>43101</v>
      </c>
      <c r="B31" s="7">
        <v>43190</v>
      </c>
      <c r="C31" t="s">
        <v>127</v>
      </c>
      <c r="D31" t="s">
        <v>125</v>
      </c>
      <c r="E31" s="4" t="s">
        <v>67</v>
      </c>
      <c r="F31" s="3">
        <v>2.9758338673687733E-2</v>
      </c>
      <c r="G31" s="3">
        <v>2.911406686037922E-2</v>
      </c>
      <c r="H31" s="3">
        <v>3.2734961535117332E-2</v>
      </c>
      <c r="I31" s="3">
        <v>3.0716483633118977E-2</v>
      </c>
      <c r="J31" s="3">
        <v>3.3846367426793311E-2</v>
      </c>
      <c r="K31" s="3">
        <v>3.401048637147927E-2</v>
      </c>
      <c r="L31" s="3">
        <v>3.5665024302281877E-2</v>
      </c>
      <c r="M31" s="3">
        <v>3.5085829953676567E-2</v>
      </c>
      <c r="N31" s="3">
        <v>3.9100322924584062E-2</v>
      </c>
      <c r="O31" s="3">
        <v>3.5446438544002562E-2</v>
      </c>
      <c r="P31" s="3">
        <v>4.1887358319701071E-2</v>
      </c>
      <c r="Q31" s="3">
        <v>3.6705992518516542E-2</v>
      </c>
      <c r="R31" s="3">
        <v>4.4104972754014864E-2</v>
      </c>
      <c r="S31" s="3">
        <v>3.889079613635419E-2</v>
      </c>
      <c r="T31" s="3">
        <v>4.551730636008014E-2</v>
      </c>
      <c r="U31" s="3">
        <v>4.1481023873773615E-2</v>
      </c>
      <c r="V31" s="3">
        <v>4.7733842563750843E-2</v>
      </c>
      <c r="W31" s="3">
        <v>4.266993852793706E-2</v>
      </c>
      <c r="X31" s="3">
        <v>5.0875780282546468E-2</v>
      </c>
      <c r="Y31" s="3">
        <v>4.5260285664062858E-2</v>
      </c>
      <c r="Z31" s="3">
        <v>5.4447037965201672E-2</v>
      </c>
      <c r="AA31" s="3">
        <v>5.5681929848966048E-2</v>
      </c>
      <c r="AB31" s="3">
        <v>6.0820791014653326E-2</v>
      </c>
      <c r="AC31" s="3">
        <v>6.4225848263291696E-2</v>
      </c>
      <c r="AD31" s="3">
        <v>6.6575165230735006E-2</v>
      </c>
      <c r="AE31" s="3">
        <v>7.4305686528439108E-2</v>
      </c>
      <c r="AF31" s="3">
        <v>7.7233725413743876E-2</v>
      </c>
      <c r="AG31" s="3">
        <v>7.6482815954358518E-2</v>
      </c>
      <c r="AH31" s="3">
        <v>8.9849924185783414E-2</v>
      </c>
      <c r="AI31" s="3">
        <v>7.9643603818231323E-2</v>
      </c>
      <c r="AJ31" s="3">
        <v>0.11079284637867448</v>
      </c>
      <c r="AK31" s="3">
        <v>0.14463408093916622</v>
      </c>
      <c r="AL31" s="3">
        <v>0.11195296391268561</v>
      </c>
    </row>
    <row r="32" spans="1:38" x14ac:dyDescent="0.35">
      <c r="A32" s="7">
        <v>43101</v>
      </c>
      <c r="B32" s="7">
        <v>43190</v>
      </c>
      <c r="C32" t="s">
        <v>127</v>
      </c>
      <c r="D32" t="s">
        <v>125</v>
      </c>
      <c r="E32" s="4" t="s">
        <v>68</v>
      </c>
      <c r="F32" s="3">
        <v>3.0739197622021777E-2</v>
      </c>
      <c r="G32" s="3">
        <v>3.0040112383998872E-2</v>
      </c>
      <c r="H32" s="3">
        <v>3.3642241261176209E-2</v>
      </c>
      <c r="I32" s="3">
        <v>3.1708017045777727E-2</v>
      </c>
      <c r="J32" s="3">
        <v>3.4757571708418505E-2</v>
      </c>
      <c r="K32" s="3">
        <v>3.4966037413180703E-2</v>
      </c>
      <c r="L32" s="3">
        <v>3.665330704473331E-2</v>
      </c>
      <c r="M32" s="3">
        <v>3.6027658446906204E-2</v>
      </c>
      <c r="N32" s="3">
        <v>4.0007721087298886E-2</v>
      </c>
      <c r="O32" s="3">
        <v>3.6405401536441367E-2</v>
      </c>
      <c r="P32" s="3">
        <v>4.2876462331655485E-2</v>
      </c>
      <c r="Q32" s="3">
        <v>3.7671343263786905E-2</v>
      </c>
      <c r="R32" s="3">
        <v>4.5034383018163426E-2</v>
      </c>
      <c r="S32" s="3">
        <v>3.9820873196983936E-2</v>
      </c>
      <c r="T32" s="3">
        <v>4.6433727451292761E-2</v>
      </c>
      <c r="U32" s="3">
        <v>4.2477800013649862E-2</v>
      </c>
      <c r="V32" s="3">
        <v>4.8709102113335692E-2</v>
      </c>
      <c r="W32" s="3">
        <v>4.3657989214654483E-2</v>
      </c>
      <c r="X32" s="3">
        <v>5.1801267945788959E-2</v>
      </c>
      <c r="Y32" s="3">
        <v>4.6207699194427798E-2</v>
      </c>
      <c r="Z32" s="3">
        <v>5.539031245037454E-2</v>
      </c>
      <c r="AA32" s="3">
        <v>5.6653090535508349E-2</v>
      </c>
      <c r="AB32" s="3">
        <v>6.1781201174315112E-2</v>
      </c>
      <c r="AC32" s="3">
        <v>6.5188469893734446E-2</v>
      </c>
      <c r="AD32" s="3">
        <v>6.7480376542508602E-2</v>
      </c>
      <c r="AE32" s="3">
        <v>7.5223518133722272E-2</v>
      </c>
      <c r="AF32" s="3">
        <v>7.8186289388047003E-2</v>
      </c>
      <c r="AG32" s="3">
        <v>7.7406298040132632E-2</v>
      </c>
      <c r="AH32" s="3">
        <v>9.0754335980998135E-2</v>
      </c>
      <c r="AI32" s="3">
        <v>8.0604606311731983E-2</v>
      </c>
      <c r="AJ32" s="3">
        <v>0.11177346034366117</v>
      </c>
      <c r="AK32" s="3">
        <v>0.145582909636502</v>
      </c>
      <c r="AL32" s="3">
        <v>0.11290085140852593</v>
      </c>
    </row>
    <row r="33" spans="1:38" x14ac:dyDescent="0.35">
      <c r="A33" s="7">
        <v>43101</v>
      </c>
      <c r="B33" s="7">
        <v>43190</v>
      </c>
      <c r="C33" t="s">
        <v>127</v>
      </c>
      <c r="D33" t="s">
        <v>125</v>
      </c>
      <c r="E33" s="4">
        <v>4</v>
      </c>
      <c r="F33" s="3">
        <v>3.1687111852765119E-2</v>
      </c>
      <c r="G33" s="3">
        <v>3.0955135834473624E-2</v>
      </c>
      <c r="H33" s="3">
        <v>3.4574657158047514E-2</v>
      </c>
      <c r="I33" s="3">
        <v>3.264948859593711E-2</v>
      </c>
      <c r="J33" s="3">
        <v>3.5728649950114238E-2</v>
      </c>
      <c r="K33" s="3">
        <v>3.5933984380575962E-2</v>
      </c>
      <c r="L33" s="3">
        <v>3.7600776368188246E-2</v>
      </c>
      <c r="M33" s="3">
        <v>3.6930131542778522E-2</v>
      </c>
      <c r="N33" s="3">
        <v>4.0946966069131611E-2</v>
      </c>
      <c r="O33" s="3">
        <v>3.7338873967426633E-2</v>
      </c>
      <c r="P33" s="3">
        <v>4.3856967046642346E-2</v>
      </c>
      <c r="Q33" s="3">
        <v>3.8664872848888504E-2</v>
      </c>
      <c r="R33" s="3">
        <v>4.5977525764767102E-2</v>
      </c>
      <c r="S33" s="3">
        <v>4.0791025093767294E-2</v>
      </c>
      <c r="T33" s="3">
        <v>4.7378022305578263E-2</v>
      </c>
      <c r="U33" s="3">
        <v>4.3468649631014294E-2</v>
      </c>
      <c r="V33" s="3">
        <v>4.9666048141618874E-2</v>
      </c>
      <c r="W33" s="3">
        <v>4.4580033371126336E-2</v>
      </c>
      <c r="X33" s="3">
        <v>5.2741895793428757E-2</v>
      </c>
      <c r="Y33" s="3">
        <v>4.7140618258473627E-2</v>
      </c>
      <c r="Z33" s="3">
        <v>5.6390188726632123E-2</v>
      </c>
      <c r="AA33" s="3">
        <v>5.7575139555686147E-2</v>
      </c>
      <c r="AB33" s="3">
        <v>6.2705172164359751E-2</v>
      </c>
      <c r="AC33" s="3">
        <v>6.6171971954915601E-2</v>
      </c>
      <c r="AD33" s="3">
        <v>6.8385210637260108E-2</v>
      </c>
      <c r="AE33" s="3">
        <v>7.6193441864314981E-2</v>
      </c>
      <c r="AF33" s="3">
        <v>7.9117816364555241E-2</v>
      </c>
      <c r="AG33" s="3">
        <v>7.8348939251239008E-2</v>
      </c>
      <c r="AH33" s="3">
        <v>9.1749052053499314E-2</v>
      </c>
      <c r="AI33" s="3">
        <v>8.157193873236937E-2</v>
      </c>
      <c r="AJ33" s="3">
        <v>0.11271542279930774</v>
      </c>
      <c r="AK33" s="3">
        <v>0.14656655400287086</v>
      </c>
      <c r="AL33" s="3">
        <v>0.11381786190012677</v>
      </c>
    </row>
    <row r="34" spans="1:38" x14ac:dyDescent="0.35">
      <c r="A34" s="7">
        <v>43101</v>
      </c>
      <c r="B34" s="7">
        <v>43190</v>
      </c>
      <c r="C34" t="s">
        <v>127</v>
      </c>
      <c r="D34" t="s">
        <v>125</v>
      </c>
      <c r="E34" s="4" t="s">
        <v>69</v>
      </c>
      <c r="F34" s="3">
        <v>3.266334066424207E-2</v>
      </c>
      <c r="G34" s="3">
        <v>3.1856784187710131E-2</v>
      </c>
      <c r="H34" s="3">
        <v>3.5516670482588143E-2</v>
      </c>
      <c r="I34" s="3">
        <v>3.3613877354440144E-2</v>
      </c>
      <c r="J34" s="3">
        <v>3.6665005216227523E-2</v>
      </c>
      <c r="K34" s="3">
        <v>3.689698684478343E-2</v>
      </c>
      <c r="L34" s="3">
        <v>3.8517567647322296E-2</v>
      </c>
      <c r="M34" s="3">
        <v>3.791389821299445E-2</v>
      </c>
      <c r="N34" s="3">
        <v>4.190264094680117E-2</v>
      </c>
      <c r="O34" s="3">
        <v>3.8285534809126984E-2</v>
      </c>
      <c r="P34" s="3">
        <v>4.4782291759152264E-2</v>
      </c>
      <c r="Q34" s="3">
        <v>3.9628695589264143E-2</v>
      </c>
      <c r="R34" s="3">
        <v>4.691445965152484E-2</v>
      </c>
      <c r="S34" s="3">
        <v>4.1763060110870456E-2</v>
      </c>
      <c r="T34" s="3">
        <v>4.8316843693128622E-2</v>
      </c>
      <c r="U34" s="3">
        <v>4.4445309033417466E-2</v>
      </c>
      <c r="V34" s="3">
        <v>5.0583538133656125E-2</v>
      </c>
      <c r="W34" s="3">
        <v>4.5500495259273382E-2</v>
      </c>
      <c r="X34" s="3">
        <v>5.3730557773519358E-2</v>
      </c>
      <c r="Y34" s="3">
        <v>4.8049873203161494E-2</v>
      </c>
      <c r="Z34" s="3">
        <v>5.7380516132835013E-2</v>
      </c>
      <c r="AA34" s="3">
        <v>5.8536616039588887E-2</v>
      </c>
      <c r="AB34" s="3">
        <v>6.3674492333929994E-2</v>
      </c>
      <c r="AC34" s="3">
        <v>6.7144902683848123E-2</v>
      </c>
      <c r="AD34" s="3">
        <v>6.9289604606180166E-2</v>
      </c>
      <c r="AE34" s="3">
        <v>7.718096016562824E-2</v>
      </c>
      <c r="AF34" s="3">
        <v>8.0053919066883E-2</v>
      </c>
      <c r="AG34" s="3">
        <v>7.9257482062810913E-2</v>
      </c>
      <c r="AH34" s="3">
        <v>9.2699819231343877E-2</v>
      </c>
      <c r="AI34" s="3">
        <v>8.25627765454887E-2</v>
      </c>
      <c r="AJ34" s="3">
        <v>0.11370780016976628</v>
      </c>
      <c r="AK34" s="3">
        <v>0.14751313615786119</v>
      </c>
      <c r="AL34" s="3">
        <v>0.11473276764506546</v>
      </c>
    </row>
    <row r="35" spans="1:38" x14ac:dyDescent="0.35">
      <c r="A35" s="7">
        <v>43101</v>
      </c>
      <c r="B35" s="7">
        <v>43190</v>
      </c>
      <c r="C35" t="s">
        <v>127</v>
      </c>
      <c r="D35" t="s">
        <v>125</v>
      </c>
      <c r="E35" s="4" t="s">
        <v>70</v>
      </c>
      <c r="F35" s="3">
        <v>3.3615006950827517E-2</v>
      </c>
      <c r="G35" s="3">
        <v>3.2762917695688953E-2</v>
      </c>
      <c r="H35" s="3">
        <v>3.6502258168549954E-2</v>
      </c>
      <c r="I35" s="3">
        <v>3.4532143139689067E-2</v>
      </c>
      <c r="J35" s="3">
        <v>3.7610253000537969E-2</v>
      </c>
      <c r="K35" s="3">
        <v>3.7871243633954575E-2</v>
      </c>
      <c r="L35" s="3">
        <v>3.9506458227018357E-2</v>
      </c>
      <c r="M35" s="3">
        <v>3.8822139340595883E-2</v>
      </c>
      <c r="N35" s="3">
        <v>4.2879240678301116E-2</v>
      </c>
      <c r="O35" s="3">
        <v>3.9241603607676742E-2</v>
      </c>
      <c r="P35" s="3">
        <v>4.5699213581187004E-2</v>
      </c>
      <c r="Q35" s="3">
        <v>4.0624472251490892E-2</v>
      </c>
      <c r="R35" s="3">
        <v>4.7870656963362825E-2</v>
      </c>
      <c r="S35" s="3">
        <v>4.2729596604833865E-2</v>
      </c>
      <c r="T35" s="3">
        <v>4.9228818340475294E-2</v>
      </c>
      <c r="U35" s="3">
        <v>4.535246821018224E-2</v>
      </c>
      <c r="V35" s="3">
        <v>5.1513458477405225E-2</v>
      </c>
      <c r="W35" s="3">
        <v>4.6496463931347889E-2</v>
      </c>
      <c r="X35" s="3">
        <v>5.4710259660029049E-2</v>
      </c>
      <c r="Y35" s="3">
        <v>4.9007331566039355E-2</v>
      </c>
      <c r="Z35" s="3">
        <v>5.829873154372793E-2</v>
      </c>
      <c r="AA35" s="3">
        <v>5.946778808059016E-2</v>
      </c>
      <c r="AB35" s="3">
        <v>6.460944775868252E-2</v>
      </c>
      <c r="AC35" s="3">
        <v>6.8068521925419873E-2</v>
      </c>
      <c r="AD35" s="3">
        <v>7.0195598965229256E-2</v>
      </c>
      <c r="AE35" s="3">
        <v>7.8159910045503073E-2</v>
      </c>
      <c r="AF35" s="3">
        <v>8.1012610411531932E-2</v>
      </c>
      <c r="AG35" s="3">
        <v>8.0181077966933217E-2</v>
      </c>
      <c r="AH35" s="3">
        <v>9.3688238977401223E-2</v>
      </c>
      <c r="AI35" s="3">
        <v>8.347815920848603E-2</v>
      </c>
      <c r="AJ35" s="3">
        <v>0.11461490997768822</v>
      </c>
      <c r="AK35" s="3">
        <v>0.14843690456744629</v>
      </c>
      <c r="AL35" s="3">
        <v>0.11571679418624389</v>
      </c>
    </row>
    <row r="36" spans="1:38" x14ac:dyDescent="0.35">
      <c r="A36" s="7">
        <v>43101</v>
      </c>
      <c r="B36" s="7">
        <v>43190</v>
      </c>
      <c r="C36" t="s">
        <v>127</v>
      </c>
      <c r="D36" t="s">
        <v>125</v>
      </c>
      <c r="E36" s="4">
        <v>5</v>
      </c>
      <c r="F36" s="3">
        <v>3.4537034616341951E-2</v>
      </c>
      <c r="G36" s="3">
        <v>3.3701871493965599E-2</v>
      </c>
      <c r="H36" s="3">
        <v>3.7445141600718851E-2</v>
      </c>
      <c r="I36" s="3">
        <v>3.5501354570931676E-2</v>
      </c>
      <c r="J36" s="3">
        <v>3.8587162076532108E-2</v>
      </c>
      <c r="K36" s="3">
        <v>3.8857435763598305E-2</v>
      </c>
      <c r="L36" s="3">
        <v>4.0430411032710389E-2</v>
      </c>
      <c r="M36" s="3">
        <v>3.9758382469180051E-2</v>
      </c>
      <c r="N36" s="3">
        <v>4.3798630295579261E-2</v>
      </c>
      <c r="O36" s="3">
        <v>4.0204003559376603E-2</v>
      </c>
      <c r="P36" s="3">
        <v>4.6607872187442723E-2</v>
      </c>
      <c r="Q36" s="3">
        <v>4.1617434133182266E-2</v>
      </c>
      <c r="R36" s="3">
        <v>4.8787960327398794E-2</v>
      </c>
      <c r="S36" s="3">
        <v>4.3703405383414301E-2</v>
      </c>
      <c r="T36" s="3">
        <v>5.0149752994239301E-2</v>
      </c>
      <c r="U36" s="3">
        <v>4.6294855162885611E-2</v>
      </c>
      <c r="V36" s="3">
        <v>5.2445158938770949E-2</v>
      </c>
      <c r="W36" s="3">
        <v>4.7435172399565143E-2</v>
      </c>
      <c r="X36" s="3">
        <v>5.5687938236702893E-2</v>
      </c>
      <c r="Y36" s="3">
        <v>4.9914191192636459E-2</v>
      </c>
      <c r="Z36" s="3">
        <v>5.9274350429703734E-2</v>
      </c>
      <c r="AA36" s="3">
        <v>6.0416623636127195E-2</v>
      </c>
      <c r="AB36" s="3">
        <v>6.5529849427629183E-2</v>
      </c>
      <c r="AC36" s="3">
        <v>6.9045960511612783E-2</v>
      </c>
      <c r="AD36" s="3">
        <v>7.1128988861040549E-2</v>
      </c>
      <c r="AE36" s="3">
        <v>7.9095845061382758E-2</v>
      </c>
      <c r="AF36" s="3">
        <v>8.1952002646676111E-2</v>
      </c>
      <c r="AG36" s="3">
        <v>8.1096016217194394E-2</v>
      </c>
      <c r="AH36" s="3">
        <v>9.4637865264380838E-2</v>
      </c>
      <c r="AI36" s="3">
        <v>8.4439136470290402E-2</v>
      </c>
      <c r="AJ36" s="3">
        <v>0.11555517391392323</v>
      </c>
      <c r="AK36" s="3">
        <v>0.14937465627533181</v>
      </c>
      <c r="AL36" s="3">
        <v>0.11663023727481434</v>
      </c>
    </row>
    <row r="37" spans="1:38" x14ac:dyDescent="0.35">
      <c r="A37" s="7">
        <v>43101</v>
      </c>
      <c r="B37" s="7">
        <v>43190</v>
      </c>
      <c r="C37" t="s">
        <v>127</v>
      </c>
      <c r="D37" t="s">
        <v>125</v>
      </c>
      <c r="E37" s="4" t="s">
        <v>71</v>
      </c>
      <c r="F37" s="3">
        <v>3.545224753299351E-2</v>
      </c>
      <c r="G37" s="3">
        <v>3.4654426749807149E-2</v>
      </c>
      <c r="H37" s="3">
        <v>3.8363432166752955E-2</v>
      </c>
      <c r="I37" s="3">
        <v>3.6483817499054612E-2</v>
      </c>
      <c r="J37" s="3">
        <v>3.9515522119146912E-2</v>
      </c>
      <c r="K37" s="3">
        <v>3.9823752741559956E-2</v>
      </c>
      <c r="L37" s="3">
        <v>4.1378703526991807E-2</v>
      </c>
      <c r="M37" s="3">
        <v>4.0729505019661452E-2</v>
      </c>
      <c r="N37" s="3">
        <v>4.4743765763705465E-2</v>
      </c>
      <c r="O37" s="3">
        <v>4.1147549646481915E-2</v>
      </c>
      <c r="P37" s="3">
        <v>4.7550369849464022E-2</v>
      </c>
      <c r="Q37" s="3">
        <v>4.2553807159928722E-2</v>
      </c>
      <c r="R37" s="3">
        <v>4.9760856877947637E-2</v>
      </c>
      <c r="S37" s="3">
        <v>4.4632661459234696E-2</v>
      </c>
      <c r="T37" s="3">
        <v>5.1146085451574459E-2</v>
      </c>
      <c r="U37" s="3">
        <v>4.7256183992917526E-2</v>
      </c>
      <c r="V37" s="3">
        <v>5.3377722287246611E-2</v>
      </c>
      <c r="W37" s="3">
        <v>4.8363475537645861E-2</v>
      </c>
      <c r="X37" s="3">
        <v>5.6639852635564363E-2</v>
      </c>
      <c r="Y37" s="3">
        <v>5.0890286602368898E-2</v>
      </c>
      <c r="Z37" s="3">
        <v>6.0238787352116498E-2</v>
      </c>
      <c r="AA37" s="3">
        <v>6.1342734437073866E-2</v>
      </c>
      <c r="AB37" s="3">
        <v>6.6497644430090957E-2</v>
      </c>
      <c r="AC37" s="3">
        <v>6.9991828499182507E-2</v>
      </c>
      <c r="AD37" s="3">
        <v>7.2106986994260963E-2</v>
      </c>
      <c r="AE37" s="3">
        <v>7.9996109513219116E-2</v>
      </c>
      <c r="AF37" s="3">
        <v>8.2944347119404849E-2</v>
      </c>
      <c r="AG37" s="3">
        <v>8.2024576265395138E-2</v>
      </c>
      <c r="AH37" s="3">
        <v>9.5586131170948857E-2</v>
      </c>
      <c r="AI37" s="3">
        <v>8.5356007964590058E-2</v>
      </c>
      <c r="AJ37" s="3">
        <v>0.11649176413878909</v>
      </c>
      <c r="AK37" s="3">
        <v>0.15033627909692013</v>
      </c>
      <c r="AL37" s="3">
        <v>0.11762032111917292</v>
      </c>
    </row>
    <row r="38" spans="1:38" x14ac:dyDescent="0.35">
      <c r="A38" s="7">
        <v>43101</v>
      </c>
      <c r="B38" s="7">
        <v>43190</v>
      </c>
      <c r="C38" t="s">
        <v>127</v>
      </c>
      <c r="D38" t="s">
        <v>125</v>
      </c>
      <c r="E38" s="4" t="s">
        <v>72</v>
      </c>
      <c r="F38" s="3">
        <v>3.6450044671522949E-2</v>
      </c>
      <c r="G38" s="3">
        <v>3.5597382233771228E-2</v>
      </c>
      <c r="H38" s="3">
        <v>3.9342643582357915E-2</v>
      </c>
      <c r="I38" s="3">
        <v>3.7385083984993947E-2</v>
      </c>
      <c r="J38" s="3">
        <v>4.0439457241266824E-2</v>
      </c>
      <c r="K38" s="3">
        <v>4.0751167672111455E-2</v>
      </c>
      <c r="L38" s="3">
        <v>4.2302334066026029E-2</v>
      </c>
      <c r="M38" s="3">
        <v>4.1652328412065009E-2</v>
      </c>
      <c r="N38" s="3">
        <v>4.5725725299334885E-2</v>
      </c>
      <c r="O38" s="3">
        <v>4.214042390166306E-2</v>
      </c>
      <c r="P38" s="3">
        <v>4.8457192690454405E-2</v>
      </c>
      <c r="Q38" s="3">
        <v>4.3480456218301683E-2</v>
      </c>
      <c r="R38" s="3">
        <v>5.075911302697364E-2</v>
      </c>
      <c r="S38" s="3">
        <v>4.5599621500819393E-2</v>
      </c>
      <c r="T38" s="3">
        <v>5.2079397101071789E-2</v>
      </c>
      <c r="U38" s="3">
        <v>4.8217342664606345E-2</v>
      </c>
      <c r="V38" s="3">
        <v>5.4302257703269831E-2</v>
      </c>
      <c r="W38" s="3">
        <v>4.935788536724868E-2</v>
      </c>
      <c r="X38" s="3">
        <v>5.763615542369796E-2</v>
      </c>
      <c r="Y38" s="3">
        <v>5.1804233856917431E-2</v>
      </c>
      <c r="Z38" s="3">
        <v>6.1147907091145454E-2</v>
      </c>
      <c r="AA38" s="3">
        <v>6.2309724026127174E-2</v>
      </c>
      <c r="AB38" s="3">
        <v>6.7488798515799475E-2</v>
      </c>
      <c r="AC38" s="3">
        <v>7.092984619827844E-2</v>
      </c>
      <c r="AD38" s="3">
        <v>7.3088608205711059E-2</v>
      </c>
      <c r="AE38" s="3">
        <v>8.0913454609532254E-2</v>
      </c>
      <c r="AF38" s="3">
        <v>8.3888516304205157E-2</v>
      </c>
      <c r="AG38" s="3">
        <v>8.2967069472016527E-2</v>
      </c>
      <c r="AH38" s="3">
        <v>9.654876240944113E-2</v>
      </c>
      <c r="AI38" s="3">
        <v>8.6265720475586088E-2</v>
      </c>
      <c r="AJ38" s="3">
        <v>0.11742309530034586</v>
      </c>
      <c r="AK38" s="3">
        <v>0.15124715508668146</v>
      </c>
      <c r="AL38" s="3">
        <v>0.11859960676243339</v>
      </c>
    </row>
    <row r="39" spans="1:38" x14ac:dyDescent="0.35">
      <c r="A39" s="7">
        <v>43101</v>
      </c>
      <c r="B39" s="7">
        <v>43190</v>
      </c>
      <c r="C39" t="s">
        <v>127</v>
      </c>
      <c r="D39" t="s">
        <v>125</v>
      </c>
      <c r="E39" s="4">
        <v>6</v>
      </c>
      <c r="F39" s="3">
        <v>3.7354710843880236E-2</v>
      </c>
      <c r="G39" s="3">
        <v>3.6514300466315895E-2</v>
      </c>
      <c r="H39" s="3">
        <v>4.0340015876603172E-2</v>
      </c>
      <c r="I39" s="3">
        <v>3.8287553075633286E-2</v>
      </c>
      <c r="J39" s="3">
        <v>4.1343677994122682E-2</v>
      </c>
      <c r="K39" s="3">
        <v>4.1711866595613344E-2</v>
      </c>
      <c r="L39" s="3">
        <v>4.320510865471254E-2</v>
      </c>
      <c r="M39" s="3">
        <v>4.2600622392565027E-2</v>
      </c>
      <c r="N39" s="3">
        <v>4.6686311833625704E-2</v>
      </c>
      <c r="O39" s="3">
        <v>4.3132774067928759E-2</v>
      </c>
      <c r="P39" s="3">
        <v>4.9358899286446989E-2</v>
      </c>
      <c r="Q39" s="3">
        <v>4.4464201327189187E-2</v>
      </c>
      <c r="R39" s="3">
        <v>5.1697114376885581E-2</v>
      </c>
      <c r="S39" s="3">
        <v>4.6529621074183444E-2</v>
      </c>
      <c r="T39" s="3">
        <v>5.3015743625293946E-2</v>
      </c>
      <c r="U39" s="3">
        <v>4.9216862234903305E-2</v>
      </c>
      <c r="V39" s="3">
        <v>5.5300735763207459E-2</v>
      </c>
      <c r="W39" s="3">
        <v>5.0262787163677033E-2</v>
      </c>
      <c r="X39" s="3">
        <v>5.861369834049085E-2</v>
      </c>
      <c r="Y39" s="3">
        <v>5.273475792981161E-2</v>
      </c>
      <c r="Z39" s="3">
        <v>6.2087418767790732E-2</v>
      </c>
      <c r="AA39" s="3">
        <v>6.3306843346533054E-2</v>
      </c>
      <c r="AB39" s="3">
        <v>6.8420502837275465E-2</v>
      </c>
      <c r="AC39" s="3">
        <v>7.1884595950778493E-2</v>
      </c>
      <c r="AD39" s="3">
        <v>7.4050407256270184E-2</v>
      </c>
      <c r="AE39" s="3">
        <v>8.1893066680813281E-2</v>
      </c>
      <c r="AF39" s="3">
        <v>8.4864382115662565E-2</v>
      </c>
      <c r="AG39" s="3">
        <v>8.3938529481590474E-2</v>
      </c>
      <c r="AH39" s="3">
        <v>9.7491883015531883E-2</v>
      </c>
      <c r="AI39" s="3">
        <v>8.7234623648672849E-2</v>
      </c>
      <c r="AJ39" s="3">
        <v>0.11835782494668728</v>
      </c>
      <c r="AK39" s="3">
        <v>0.1521501469799699</v>
      </c>
      <c r="AL39" s="3">
        <v>0.11955080099179458</v>
      </c>
    </row>
    <row r="40" spans="1:38" x14ac:dyDescent="0.35">
      <c r="A40" s="7">
        <v>43101</v>
      </c>
      <c r="B40" s="7">
        <v>43190</v>
      </c>
      <c r="C40" t="s">
        <v>127</v>
      </c>
      <c r="D40" t="s">
        <v>125</v>
      </c>
      <c r="E40" s="4" t="s">
        <v>73</v>
      </c>
      <c r="F40" s="3">
        <v>3.831298237972007E-2</v>
      </c>
      <c r="G40" s="3">
        <v>3.7470863826427656E-2</v>
      </c>
      <c r="H40" s="3">
        <v>4.1272189463267363E-2</v>
      </c>
      <c r="I40" s="3">
        <v>3.9251364017709525E-2</v>
      </c>
      <c r="J40" s="3">
        <v>4.2343484503988227E-2</v>
      </c>
      <c r="K40" s="3">
        <v>4.2691342019618508E-2</v>
      </c>
      <c r="L40" s="3">
        <v>4.4162612339023008E-2</v>
      </c>
      <c r="M40" s="3">
        <v>4.3555545551511261E-2</v>
      </c>
      <c r="N40" s="3">
        <v>4.7618632179344741E-2</v>
      </c>
      <c r="O40" s="3">
        <v>4.4106025837637675E-2</v>
      </c>
      <c r="P40" s="3">
        <v>5.0346096550348662E-2</v>
      </c>
      <c r="Q40" s="3">
        <v>4.5377473187230705E-2</v>
      </c>
      <c r="R40" s="3">
        <v>5.2660540987732846E-2</v>
      </c>
      <c r="S40" s="3">
        <v>4.7450464703823914E-2</v>
      </c>
      <c r="T40" s="3">
        <v>5.3969993380739843E-2</v>
      </c>
      <c r="U40" s="3">
        <v>5.0159888659726592E-2</v>
      </c>
      <c r="V40" s="3">
        <v>5.6258205706464358E-2</v>
      </c>
      <c r="W40" s="3">
        <v>5.1245864887336609E-2</v>
      </c>
      <c r="X40" s="3">
        <v>5.9565189098086058E-2</v>
      </c>
      <c r="Y40" s="3">
        <v>5.3693615381737822E-2</v>
      </c>
      <c r="Z40" s="3">
        <v>6.3085669834437114E-2</v>
      </c>
      <c r="AA40" s="3">
        <v>6.4226053950022677E-2</v>
      </c>
      <c r="AB40" s="3">
        <v>6.9387327504087465E-2</v>
      </c>
      <c r="AC40" s="3">
        <v>7.2850499388342871E-2</v>
      </c>
      <c r="AD40" s="3">
        <v>7.4995541721114056E-2</v>
      </c>
      <c r="AE40" s="3">
        <v>8.2813620383519554E-2</v>
      </c>
      <c r="AF40" s="3">
        <v>8.5833211364047285E-2</v>
      </c>
      <c r="AG40" s="3">
        <v>8.4856344163987477E-2</v>
      </c>
      <c r="AH40" s="3">
        <v>9.8407203055284775E-2</v>
      </c>
      <c r="AI40" s="3">
        <v>8.816050350901436E-2</v>
      </c>
      <c r="AJ40" s="3">
        <v>0.11930359887892328</v>
      </c>
      <c r="AK40" s="3">
        <v>0.15311849031913038</v>
      </c>
      <c r="AL40" s="3">
        <v>0.12046881254756178</v>
      </c>
    </row>
    <row r="41" spans="1:38" x14ac:dyDescent="0.35">
      <c r="A41" s="7">
        <v>43101</v>
      </c>
      <c r="B41" s="7">
        <v>43190</v>
      </c>
      <c r="C41" t="s">
        <v>127</v>
      </c>
      <c r="D41" t="s">
        <v>125</v>
      </c>
      <c r="E41" s="4" t="s">
        <v>74</v>
      </c>
      <c r="F41" s="3">
        <v>3.9290655936053603E-2</v>
      </c>
      <c r="G41" s="3">
        <v>3.8415482453008583E-2</v>
      </c>
      <c r="H41" s="3">
        <v>4.219232752177425E-2</v>
      </c>
      <c r="I41" s="3">
        <v>4.0167024517393374E-2</v>
      </c>
      <c r="J41" s="3">
        <v>4.3298200600403264E-2</v>
      </c>
      <c r="K41" s="3">
        <v>4.3669033421348501E-2</v>
      </c>
      <c r="L41" s="3">
        <v>4.5106092157626926E-2</v>
      </c>
      <c r="M41" s="3">
        <v>4.454513055193747E-2</v>
      </c>
      <c r="N41" s="3">
        <v>4.8578105083387994E-2</v>
      </c>
      <c r="O41" s="3">
        <v>4.5041206075774276E-2</v>
      </c>
      <c r="P41" s="3">
        <v>5.1272222742774848E-2</v>
      </c>
      <c r="Q41" s="3">
        <v>4.6288973979576764E-2</v>
      </c>
      <c r="R41" s="3">
        <v>5.3609713962831179E-2</v>
      </c>
      <c r="S41" s="3">
        <v>4.8423367860062086E-2</v>
      </c>
      <c r="T41" s="3">
        <v>5.4900284765182827E-2</v>
      </c>
      <c r="U41" s="3">
        <v>5.1116043510631932E-2</v>
      </c>
      <c r="V41" s="3">
        <v>5.7186005067337314E-2</v>
      </c>
      <c r="W41" s="3">
        <v>5.2200134180994541E-2</v>
      </c>
      <c r="X41" s="3">
        <v>6.0472847689605307E-2</v>
      </c>
      <c r="Y41" s="3">
        <v>5.4598365149331154E-2</v>
      </c>
      <c r="Z41" s="3">
        <v>6.4011640450528096E-2</v>
      </c>
      <c r="AA41" s="3">
        <v>6.5220768312793526E-2</v>
      </c>
      <c r="AB41" s="3">
        <v>7.0295568211983767E-2</v>
      </c>
      <c r="AC41" s="3">
        <v>7.3817523142215125E-2</v>
      </c>
      <c r="AD41" s="3">
        <v>7.5934228027242784E-2</v>
      </c>
      <c r="AE41" s="3">
        <v>8.3742569693424418E-2</v>
      </c>
      <c r="AF41" s="3">
        <v>8.674641920399756E-2</v>
      </c>
      <c r="AG41" s="3">
        <v>8.5804327105100026E-2</v>
      </c>
      <c r="AH41" s="3">
        <v>9.9403550330891072E-2</v>
      </c>
      <c r="AI41" s="3">
        <v>8.9092727841256103E-2</v>
      </c>
      <c r="AJ41" s="3">
        <v>0.12022033076272837</v>
      </c>
      <c r="AK41" s="3">
        <v>0.15406721062121739</v>
      </c>
      <c r="AL41" s="3">
        <v>0.12142501005957787</v>
      </c>
    </row>
    <row r="42" spans="1:38" x14ac:dyDescent="0.35">
      <c r="A42" s="7">
        <v>43101</v>
      </c>
      <c r="B42" s="7">
        <v>43190</v>
      </c>
      <c r="C42" t="s">
        <v>127</v>
      </c>
      <c r="D42" t="s">
        <v>125</v>
      </c>
      <c r="E42" s="4">
        <v>7</v>
      </c>
      <c r="F42" s="3">
        <v>4.0278276553716283E-2</v>
      </c>
      <c r="G42" s="3">
        <v>3.9329177705657581E-2</v>
      </c>
      <c r="H42" s="3">
        <v>4.3099318153345834E-2</v>
      </c>
      <c r="I42" s="3">
        <v>4.1083811526251506E-2</v>
      </c>
      <c r="J42" s="3">
        <v>4.4213419842575458E-2</v>
      </c>
      <c r="K42" s="3">
        <v>4.4583800859561019E-2</v>
      </c>
      <c r="L42" s="3">
        <v>4.6092812186156275E-2</v>
      </c>
      <c r="M42" s="3">
        <v>4.5540381363158702E-2</v>
      </c>
      <c r="N42" s="3">
        <v>4.9541323345427747E-2</v>
      </c>
      <c r="O42" s="3">
        <v>4.599142163800695E-2</v>
      </c>
      <c r="P42" s="3">
        <v>5.2236981442763744E-2</v>
      </c>
      <c r="Q42" s="3">
        <v>4.7234541478731421E-2</v>
      </c>
      <c r="R42" s="3">
        <v>5.45593901111684E-2</v>
      </c>
      <c r="S42" s="3">
        <v>4.9346904198118623E-2</v>
      </c>
      <c r="T42" s="3">
        <v>5.5816080504292424E-2</v>
      </c>
      <c r="U42" s="3">
        <v>5.2027736685895595E-2</v>
      </c>
      <c r="V42" s="3">
        <v>5.8124858987900853E-2</v>
      </c>
      <c r="W42" s="3">
        <v>5.3144763825180408E-2</v>
      </c>
      <c r="X42" s="3">
        <v>6.1388336794213065E-2</v>
      </c>
      <c r="Y42" s="3">
        <v>5.559125705272968E-2</v>
      </c>
      <c r="Z42" s="3">
        <v>6.4977016347356198E-2</v>
      </c>
      <c r="AA42" s="3">
        <v>6.6209543585266664E-2</v>
      </c>
      <c r="AB42" s="3">
        <v>7.125812556861183E-2</v>
      </c>
      <c r="AC42" s="3">
        <v>7.4742287354191972E-2</v>
      </c>
      <c r="AD42" s="3">
        <v>7.6887157903794745E-2</v>
      </c>
      <c r="AE42" s="3">
        <v>8.4662762776687495E-2</v>
      </c>
      <c r="AF42" s="3">
        <v>8.7712813964452518E-2</v>
      </c>
      <c r="AG42" s="3">
        <v>8.6782994599508806E-2</v>
      </c>
      <c r="AH42" s="3">
        <v>0.10038231580665266</v>
      </c>
      <c r="AI42" s="3">
        <v>9.0077913935211584E-2</v>
      </c>
      <c r="AJ42" s="3">
        <v>0.12120598351307099</v>
      </c>
      <c r="AK42" s="3">
        <v>0.15497013151438968</v>
      </c>
      <c r="AL42" s="3">
        <v>0.12238501633574686</v>
      </c>
    </row>
    <row r="43" spans="1:38" x14ac:dyDescent="0.35">
      <c r="A43" s="7">
        <v>43101</v>
      </c>
      <c r="B43" s="7">
        <v>43190</v>
      </c>
      <c r="C43" t="s">
        <v>127</v>
      </c>
      <c r="D43" t="s">
        <v>125</v>
      </c>
      <c r="E43" s="4" t="s">
        <v>75</v>
      </c>
      <c r="F43" s="3">
        <v>4.1182488272635209E-2</v>
      </c>
      <c r="G43" s="3">
        <v>4.0301753966505142E-2</v>
      </c>
      <c r="H43" s="3">
        <v>4.4026838639232929E-2</v>
      </c>
      <c r="I43" s="3">
        <v>4.2067557852125029E-2</v>
      </c>
      <c r="J43" s="3">
        <v>4.520170932772348E-2</v>
      </c>
      <c r="K43" s="3">
        <v>4.5550622839863747E-2</v>
      </c>
      <c r="L43" s="3">
        <v>4.7066014601750958E-2</v>
      </c>
      <c r="M43" s="3">
        <v>4.6515759061131506E-2</v>
      </c>
      <c r="N43" s="3">
        <v>5.0527017636710615E-2</v>
      </c>
      <c r="O43" s="3">
        <v>4.69567489982212E-2</v>
      </c>
      <c r="P43" s="3">
        <v>5.3147315452805592E-2</v>
      </c>
      <c r="Q43" s="3">
        <v>4.8200116122030651E-2</v>
      </c>
      <c r="R43" s="3">
        <v>5.5524190394425521E-2</v>
      </c>
      <c r="S43" s="3">
        <v>5.0342902962852917E-2</v>
      </c>
      <c r="T43" s="3">
        <v>5.6756386656798406E-2</v>
      </c>
      <c r="U43" s="3">
        <v>5.3005559472231803E-2</v>
      </c>
      <c r="V43" s="3">
        <v>5.9047358524636863E-2</v>
      </c>
      <c r="W43" s="3">
        <v>5.4140598489951501E-2</v>
      </c>
      <c r="X43" s="3">
        <v>6.232880869907742E-2</v>
      </c>
      <c r="Y43" s="3">
        <v>5.6560360891625423E-2</v>
      </c>
      <c r="Z43" s="3">
        <v>6.5974746221220001E-2</v>
      </c>
      <c r="AA43" s="3">
        <v>6.7143034001964808E-2</v>
      </c>
      <c r="AB43" s="3">
        <v>7.2196010653543363E-2</v>
      </c>
      <c r="AC43" s="3">
        <v>7.5649617469505104E-2</v>
      </c>
      <c r="AD43" s="3">
        <v>7.7819400436061253E-2</v>
      </c>
      <c r="AE43" s="3">
        <v>8.5639145127280963E-2</v>
      </c>
      <c r="AF43" s="3">
        <v>8.8675499657925511E-2</v>
      </c>
      <c r="AG43" s="3">
        <v>8.7723641932776486E-2</v>
      </c>
      <c r="AH43" s="3">
        <v>0.1013130305129547</v>
      </c>
      <c r="AI43" s="3">
        <v>9.1039773112474742E-2</v>
      </c>
      <c r="AJ43" s="3">
        <v>0.12216032095937948</v>
      </c>
      <c r="AK43" s="3">
        <v>0.15592404775594543</v>
      </c>
      <c r="AL43" s="3">
        <v>0.12332571407201984</v>
      </c>
    </row>
    <row r="44" spans="1:38" x14ac:dyDescent="0.35">
      <c r="A44" s="7">
        <v>43101</v>
      </c>
      <c r="B44" s="7">
        <v>43190</v>
      </c>
      <c r="C44" t="s">
        <v>126</v>
      </c>
      <c r="D44" t="s">
        <v>125</v>
      </c>
      <c r="E44" s="4">
        <v>1</v>
      </c>
      <c r="F44" s="3">
        <v>2.4987235415080068E-2</v>
      </c>
      <c r="G44" s="3">
        <v>2.4522336342949563E-2</v>
      </c>
      <c r="H44" s="3">
        <v>2.7904631230141239E-2</v>
      </c>
      <c r="I44" s="3">
        <v>2.6059051771753751E-2</v>
      </c>
      <c r="J44" s="3">
        <v>2.9214931408311058E-2</v>
      </c>
      <c r="K44" s="3">
        <v>2.9265446267055656E-2</v>
      </c>
      <c r="L44" s="3">
        <v>3.0982197143763188E-2</v>
      </c>
      <c r="M44" s="3">
        <v>3.0375022539147159E-2</v>
      </c>
      <c r="N44" s="3">
        <v>3.4507892750587854E-2</v>
      </c>
      <c r="O44" s="3">
        <v>3.0706515013046779E-2</v>
      </c>
      <c r="P44" s="3">
        <v>3.7154611745470946E-2</v>
      </c>
      <c r="Q44" s="3">
        <v>3.2068234094442878E-2</v>
      </c>
      <c r="R44" s="3">
        <v>3.9456126253836606E-2</v>
      </c>
      <c r="S44" s="3">
        <v>3.4142726163996981E-2</v>
      </c>
      <c r="T44" s="3">
        <v>4.0907674061615849E-2</v>
      </c>
      <c r="U44" s="3">
        <v>3.6823319048479054E-2</v>
      </c>
      <c r="V44" s="3">
        <v>4.304753562160251E-2</v>
      </c>
      <c r="W44" s="3">
        <v>3.7978029939151656E-2</v>
      </c>
      <c r="X44" s="3">
        <v>4.6194112106792327E-2</v>
      </c>
      <c r="Y44" s="3">
        <v>4.0541921398612769E-2</v>
      </c>
      <c r="Z44" s="3">
        <v>4.9720350031989595E-2</v>
      </c>
      <c r="AA44" s="3">
        <v>5.0938659601285304E-2</v>
      </c>
      <c r="AB44" s="3">
        <v>5.62208891354583E-2</v>
      </c>
      <c r="AC44" s="3">
        <v>5.9598276343003583E-2</v>
      </c>
      <c r="AD44" s="3">
        <v>6.1975244868088718E-2</v>
      </c>
      <c r="AE44" s="3">
        <v>6.9630307613935211E-2</v>
      </c>
      <c r="AF44" s="3">
        <v>7.2530260528803764E-2</v>
      </c>
      <c r="AG44" s="3">
        <v>7.1821994417673785E-2</v>
      </c>
      <c r="AH44" s="3">
        <v>8.5201092314036608E-2</v>
      </c>
      <c r="AI44" s="3">
        <v>7.4923580014799818E-2</v>
      </c>
      <c r="AJ44" s="3">
        <v>0.10618899962977327</v>
      </c>
      <c r="AK44" s="3">
        <v>0.13988203667397348</v>
      </c>
      <c r="AL44" s="3">
        <v>0.10738283042429544</v>
      </c>
    </row>
    <row r="45" spans="1:38" x14ac:dyDescent="0.35">
      <c r="A45" s="7">
        <v>43101</v>
      </c>
      <c r="B45" s="7">
        <v>43190</v>
      </c>
      <c r="C45" t="s">
        <v>126</v>
      </c>
      <c r="D45" t="s">
        <v>125</v>
      </c>
      <c r="E45" s="4" t="s">
        <v>64</v>
      </c>
      <c r="F45" s="3">
        <v>2.5955504628306671E-2</v>
      </c>
      <c r="G45" s="3">
        <v>2.5444481773370751E-2</v>
      </c>
      <c r="H45" s="3">
        <v>2.8850626606074733E-2</v>
      </c>
      <c r="I45" s="3">
        <v>2.6968925101185339E-2</v>
      </c>
      <c r="J45" s="3">
        <v>3.0133283155749986E-2</v>
      </c>
      <c r="K45" s="3">
        <v>3.0223062002444338E-2</v>
      </c>
      <c r="L45" s="3">
        <v>3.1934115932132967E-2</v>
      </c>
      <c r="M45" s="3">
        <v>3.1280819977680507E-2</v>
      </c>
      <c r="N45" s="3">
        <v>3.5450059642861693E-2</v>
      </c>
      <c r="O45" s="3">
        <v>3.1642785468758393E-2</v>
      </c>
      <c r="P45" s="3">
        <v>3.8118841964526536E-2</v>
      </c>
      <c r="Q45" s="3">
        <v>3.2979868013520541E-2</v>
      </c>
      <c r="R45" s="3">
        <v>4.0439336595061631E-2</v>
      </c>
      <c r="S45" s="3">
        <v>3.5073364823084353E-2</v>
      </c>
      <c r="T45" s="3">
        <v>4.18816179777355E-2</v>
      </c>
      <c r="U45" s="3">
        <v>3.7738906253639445E-2</v>
      </c>
      <c r="V45" s="3">
        <v>4.4018330733574293E-2</v>
      </c>
      <c r="W45" s="3">
        <v>3.892466822714076E-2</v>
      </c>
      <c r="X45" s="3">
        <v>4.717329250434478E-2</v>
      </c>
      <c r="Y45" s="3">
        <v>4.1464646138943566E-2</v>
      </c>
      <c r="Z45" s="3">
        <v>5.0663966833701071E-2</v>
      </c>
      <c r="AA45" s="3">
        <v>5.1893391600233457E-2</v>
      </c>
      <c r="AB45" s="3">
        <v>5.7139843977245197E-2</v>
      </c>
      <c r="AC45" s="3">
        <v>6.0548496431847794E-2</v>
      </c>
      <c r="AD45" s="3">
        <v>6.2929948312430664E-2</v>
      </c>
      <c r="AE45" s="3">
        <v>7.0537761203292318E-2</v>
      </c>
      <c r="AF45" s="3">
        <v>7.3498060155195499E-2</v>
      </c>
      <c r="AG45" s="3">
        <v>7.2743308851667146E-2</v>
      </c>
      <c r="AH45" s="3">
        <v>8.6159836721572541E-2</v>
      </c>
      <c r="AI45" s="3">
        <v>7.5836736383455006E-2</v>
      </c>
      <c r="AJ45" s="3">
        <v>0.10711874012266376</v>
      </c>
      <c r="AK45" s="3">
        <v>0.1408205734558888</v>
      </c>
      <c r="AL45" s="3">
        <v>0.10828480850509567</v>
      </c>
    </row>
    <row r="46" spans="1:38" x14ac:dyDescent="0.35">
      <c r="A46" s="7">
        <v>43101</v>
      </c>
      <c r="B46" s="7">
        <v>43190</v>
      </c>
      <c r="C46" t="s">
        <v>126</v>
      </c>
      <c r="D46" t="s">
        <v>125</v>
      </c>
      <c r="E46" s="4">
        <v>2</v>
      </c>
      <c r="F46" s="3">
        <v>2.6897021899625215E-2</v>
      </c>
      <c r="G46" s="3">
        <v>2.6368915274916437E-2</v>
      </c>
      <c r="H46" s="3">
        <v>2.9848451892030357E-2</v>
      </c>
      <c r="I46" s="3">
        <v>2.7955691162124076E-2</v>
      </c>
      <c r="J46" s="3">
        <v>3.1060131064313004E-2</v>
      </c>
      <c r="K46" s="3">
        <v>3.1198106227038336E-2</v>
      </c>
      <c r="L46" s="3">
        <v>3.2845044629501122E-2</v>
      </c>
      <c r="M46" s="3">
        <v>3.2234643248477843E-2</v>
      </c>
      <c r="N46" s="3">
        <v>3.638232419933108E-2</v>
      </c>
      <c r="O46" s="3">
        <v>3.2594684077558833E-2</v>
      </c>
      <c r="P46" s="3">
        <v>3.9040547019358746E-2</v>
      </c>
      <c r="Q46" s="3">
        <v>3.3919219200209516E-2</v>
      </c>
      <c r="R46" s="3">
        <v>4.1371166603959772E-2</v>
      </c>
      <c r="S46" s="3">
        <v>3.6041012010300827E-2</v>
      </c>
      <c r="T46" s="3">
        <v>4.2831479692354041E-2</v>
      </c>
      <c r="U46" s="3">
        <v>3.8687198648127537E-2</v>
      </c>
      <c r="V46" s="3">
        <v>4.4993338675699428E-2</v>
      </c>
      <c r="W46" s="3">
        <v>3.9890880083179661E-2</v>
      </c>
      <c r="X46" s="3">
        <v>4.8140754596639787E-2</v>
      </c>
      <c r="Y46" s="3">
        <v>4.2458963417643242E-2</v>
      </c>
      <c r="Z46" s="3">
        <v>5.1599887843882988E-2</v>
      </c>
      <c r="AA46" s="3">
        <v>5.286719807845551E-2</v>
      </c>
      <c r="AB46" s="3">
        <v>5.8078492929563477E-2</v>
      </c>
      <c r="AC46" s="3">
        <v>6.1451398081860634E-2</v>
      </c>
      <c r="AD46" s="3">
        <v>6.384576144832034E-2</v>
      </c>
      <c r="AE46" s="3">
        <v>7.144267502963543E-2</v>
      </c>
      <c r="AF46" s="3">
        <v>7.4471262341356134E-2</v>
      </c>
      <c r="AG46" s="3">
        <v>7.3721406261892219E-2</v>
      </c>
      <c r="AH46" s="3">
        <v>8.7088969605302602E-2</v>
      </c>
      <c r="AI46" s="3">
        <v>7.6827014311840927E-2</v>
      </c>
      <c r="AJ46" s="3">
        <v>0.10805082647783992</v>
      </c>
      <c r="AK46" s="3">
        <v>0.14176338686442322</v>
      </c>
      <c r="AL46" s="3">
        <v>0.10918762445336724</v>
      </c>
    </row>
    <row r="47" spans="1:38" x14ac:dyDescent="0.35">
      <c r="A47" s="7">
        <v>43101</v>
      </c>
      <c r="B47" s="7">
        <v>43190</v>
      </c>
      <c r="C47" t="s">
        <v>126</v>
      </c>
      <c r="D47" t="s">
        <v>125</v>
      </c>
      <c r="E47" s="4" t="s">
        <v>65</v>
      </c>
      <c r="F47" s="3">
        <v>2.7892588043602628E-2</v>
      </c>
      <c r="G47" s="3">
        <v>2.7329308788466757E-2</v>
      </c>
      <c r="H47" s="3">
        <v>3.0819656371274408E-2</v>
      </c>
      <c r="I47" s="3">
        <v>2.8893208213903409E-2</v>
      </c>
      <c r="J47" s="3">
        <v>3.2013264636733277E-2</v>
      </c>
      <c r="K47" s="3">
        <v>3.2135830795126871E-2</v>
      </c>
      <c r="L47" s="3">
        <v>3.3774662475232566E-2</v>
      </c>
      <c r="M47" s="3">
        <v>3.3179747392975009E-2</v>
      </c>
      <c r="N47" s="3">
        <v>3.7293207543458287E-2</v>
      </c>
      <c r="O47" s="3">
        <v>3.3544866915647203E-2</v>
      </c>
      <c r="P47" s="3">
        <v>4.0028482383182129E-2</v>
      </c>
      <c r="Q47" s="3">
        <v>3.4902780731733959E-2</v>
      </c>
      <c r="R47" s="3">
        <v>4.2290724980076223E-2</v>
      </c>
      <c r="S47" s="3">
        <v>3.6959929011024781E-2</v>
      </c>
      <c r="T47" s="3">
        <v>4.374441799494759E-2</v>
      </c>
      <c r="U47" s="3">
        <v>3.9652317576269622E-2</v>
      </c>
      <c r="V47" s="3">
        <v>4.5913480248590571E-2</v>
      </c>
      <c r="W47" s="3">
        <v>4.085025179167466E-2</v>
      </c>
      <c r="X47" s="3">
        <v>4.9122262773781386E-2</v>
      </c>
      <c r="Y47" s="3">
        <v>4.3373228437165706E-2</v>
      </c>
      <c r="Z47" s="3">
        <v>5.2590145397651653E-2</v>
      </c>
      <c r="AA47" s="3">
        <v>5.3820686831295171E-2</v>
      </c>
      <c r="AB47" s="3">
        <v>5.9042504808221867E-2</v>
      </c>
      <c r="AC47" s="3">
        <v>6.2366638261812719E-2</v>
      </c>
      <c r="AD47" s="3">
        <v>6.4762272908770124E-2</v>
      </c>
      <c r="AE47" s="3">
        <v>7.2423160064546077E-2</v>
      </c>
      <c r="AF47" s="3">
        <v>7.5429679229339922E-2</v>
      </c>
      <c r="AG47" s="3">
        <v>7.4661021251319487E-2</v>
      </c>
      <c r="AH47" s="3">
        <v>8.8006290793609943E-2</v>
      </c>
      <c r="AI47" s="3">
        <v>7.7762463089604772E-2</v>
      </c>
      <c r="AJ47" s="3">
        <v>0.10899967860014292</v>
      </c>
      <c r="AK47" s="3">
        <v>0.1426933785039842</v>
      </c>
      <c r="AL47" s="3">
        <v>0.11017059404382648</v>
      </c>
    </row>
    <row r="48" spans="1:38" x14ac:dyDescent="0.35">
      <c r="A48" s="7">
        <v>43101</v>
      </c>
      <c r="B48" s="7">
        <v>43190</v>
      </c>
      <c r="C48" t="s">
        <v>126</v>
      </c>
      <c r="D48" t="s">
        <v>125</v>
      </c>
      <c r="E48" s="4" t="s">
        <v>66</v>
      </c>
      <c r="F48" s="3">
        <v>2.8816431623965195E-2</v>
      </c>
      <c r="G48" s="3">
        <v>2.8279758919457922E-2</v>
      </c>
      <c r="H48" s="3">
        <v>3.1808105309173162E-2</v>
      </c>
      <c r="I48" s="3">
        <v>2.9867113852875982E-2</v>
      </c>
      <c r="J48" s="3">
        <v>3.2985287884005621E-2</v>
      </c>
      <c r="K48" s="3">
        <v>3.3083926756475458E-2</v>
      </c>
      <c r="L48" s="3">
        <v>3.4760408681570015E-2</v>
      </c>
      <c r="M48" s="3">
        <v>3.4139345117331521E-2</v>
      </c>
      <c r="N48" s="3">
        <v>3.8274630476066412E-2</v>
      </c>
      <c r="O48" s="3">
        <v>3.4495680412953485E-2</v>
      </c>
      <c r="P48" s="3">
        <v>4.0990447680038122E-2</v>
      </c>
      <c r="Q48" s="3">
        <v>3.5867473360407805E-2</v>
      </c>
      <c r="R48" s="3">
        <v>4.3253792917843314E-2</v>
      </c>
      <c r="S48" s="3">
        <v>3.7932087503310355E-2</v>
      </c>
      <c r="T48" s="3">
        <v>4.4668036280152659E-2</v>
      </c>
      <c r="U48" s="3">
        <v>4.0594488698087419E-2</v>
      </c>
      <c r="V48" s="3">
        <v>4.6858979945907139E-2</v>
      </c>
      <c r="W48" s="3">
        <v>4.184196346279144E-2</v>
      </c>
      <c r="X48" s="3">
        <v>5.0025110373458442E-2</v>
      </c>
      <c r="Y48" s="3">
        <v>4.4349523078769729E-2</v>
      </c>
      <c r="Z48" s="3">
        <v>5.3543861718213043E-2</v>
      </c>
      <c r="AA48" s="3">
        <v>5.4733705693309473E-2</v>
      </c>
      <c r="AB48" s="3">
        <v>5.9989763352759906E-2</v>
      </c>
      <c r="AC48" s="3">
        <v>6.3327036642431694E-2</v>
      </c>
      <c r="AD48" s="3">
        <v>6.5690749612420912E-2</v>
      </c>
      <c r="AE48" s="3">
        <v>7.3419860058073882E-2</v>
      </c>
      <c r="AF48" s="3">
        <v>7.6365926051764177E-2</v>
      </c>
      <c r="AG48" s="3">
        <v>7.5587901413566957E-2</v>
      </c>
      <c r="AH48" s="3">
        <v>8.8992861093754622E-2</v>
      </c>
      <c r="AI48" s="3">
        <v>7.8738964897950098E-2</v>
      </c>
      <c r="AJ48" s="3">
        <v>0.10992708483544281</v>
      </c>
      <c r="AK48" s="3">
        <v>0.14369048553650632</v>
      </c>
      <c r="AL48" s="3">
        <v>0.11108402769059558</v>
      </c>
    </row>
    <row r="49" spans="1:38" x14ac:dyDescent="0.35">
      <c r="A49" s="7">
        <v>43101</v>
      </c>
      <c r="B49" s="7">
        <v>43190</v>
      </c>
      <c r="C49" t="s">
        <v>126</v>
      </c>
      <c r="D49" t="s">
        <v>125</v>
      </c>
      <c r="E49" s="4">
        <v>3</v>
      </c>
      <c r="F49" s="3">
        <v>2.9809313229369593E-2</v>
      </c>
      <c r="G49" s="3">
        <v>2.9205970811349711E-2</v>
      </c>
      <c r="H49" s="3">
        <v>3.2799404111945873E-2</v>
      </c>
      <c r="I49" s="3">
        <v>3.0780618839001902E-2</v>
      </c>
      <c r="J49" s="3">
        <v>3.3927313185709303E-2</v>
      </c>
      <c r="K49" s="3">
        <v>3.4058551719849631E-2</v>
      </c>
      <c r="L49" s="3">
        <v>3.5707387777530492E-2</v>
      </c>
      <c r="M49" s="3">
        <v>3.5118831932959116E-2</v>
      </c>
      <c r="N49" s="3">
        <v>3.9197139208795251E-2</v>
      </c>
      <c r="O49" s="3">
        <v>3.547917077439474E-2</v>
      </c>
      <c r="P49" s="3">
        <v>4.1981297683726243E-2</v>
      </c>
      <c r="Q49" s="3">
        <v>3.6781588451177516E-2</v>
      </c>
      <c r="R49" s="3">
        <v>4.41922687927385E-2</v>
      </c>
      <c r="S49" s="3">
        <v>3.8930679296247286E-2</v>
      </c>
      <c r="T49" s="3">
        <v>4.5601194914300654E-2</v>
      </c>
      <c r="U49" s="3">
        <v>4.1497633796527711E-2</v>
      </c>
      <c r="V49" s="3">
        <v>4.7767134065234196E-2</v>
      </c>
      <c r="W49" s="3">
        <v>4.2762297852789871E-2</v>
      </c>
      <c r="X49" s="3">
        <v>5.0956300324280598E-2</v>
      </c>
      <c r="Y49" s="3">
        <v>4.529224629278198E-2</v>
      </c>
      <c r="Z49" s="3">
        <v>5.4504517540770236E-2</v>
      </c>
      <c r="AA49" s="3">
        <v>5.573032040789113E-2</v>
      </c>
      <c r="AB49" s="3">
        <v>6.0903407085099337E-2</v>
      </c>
      <c r="AC49" s="3">
        <v>6.4289714971796502E-2</v>
      </c>
      <c r="AD49" s="3">
        <v>6.6671491768077573E-2</v>
      </c>
      <c r="AE49" s="3">
        <v>7.4325299562678429E-2</v>
      </c>
      <c r="AF49" s="3">
        <v>7.7270462377958912E-2</v>
      </c>
      <c r="AG49" s="3">
        <v>7.6507018551669831E-2</v>
      </c>
      <c r="AH49" s="3">
        <v>8.9920201824883389E-2</v>
      </c>
      <c r="AI49" s="3">
        <v>7.9656346334527173E-2</v>
      </c>
      <c r="AJ49" s="3">
        <v>0.11083415501933933</v>
      </c>
      <c r="AK49" s="3">
        <v>0.14463667660339871</v>
      </c>
      <c r="AL49" s="3">
        <v>0.11198752626621516</v>
      </c>
    </row>
    <row r="50" spans="1:38" x14ac:dyDescent="0.35">
      <c r="A50" s="7">
        <v>43101</v>
      </c>
      <c r="B50" s="7">
        <v>43190</v>
      </c>
      <c r="C50" t="s">
        <v>126</v>
      </c>
      <c r="D50" t="s">
        <v>125</v>
      </c>
      <c r="E50" s="4" t="s">
        <v>67</v>
      </c>
      <c r="F50" s="3">
        <v>3.0758338673687734E-2</v>
      </c>
      <c r="G50" s="3">
        <v>3.0114066860379218E-2</v>
      </c>
      <c r="H50" s="3">
        <v>3.3734961535117333E-2</v>
      </c>
      <c r="I50" s="3">
        <v>3.1716483633118978E-2</v>
      </c>
      <c r="J50" s="3">
        <v>3.4846367426793312E-2</v>
      </c>
      <c r="K50" s="3">
        <v>3.5010486371479271E-2</v>
      </c>
      <c r="L50" s="3">
        <v>3.6665024302281878E-2</v>
      </c>
      <c r="M50" s="3">
        <v>3.6085829953676568E-2</v>
      </c>
      <c r="N50" s="3">
        <v>4.0100322924584063E-2</v>
      </c>
      <c r="O50" s="3">
        <v>3.6446438544002563E-2</v>
      </c>
      <c r="P50" s="3">
        <v>4.2887358319701072E-2</v>
      </c>
      <c r="Q50" s="3">
        <v>3.7705992518516543E-2</v>
      </c>
      <c r="R50" s="3">
        <v>4.5104972754014865E-2</v>
      </c>
      <c r="S50" s="3">
        <v>3.9890796136354191E-2</v>
      </c>
      <c r="T50" s="3">
        <v>4.6517306360080141E-2</v>
      </c>
      <c r="U50" s="3">
        <v>4.2481023873773616E-2</v>
      </c>
      <c r="V50" s="3">
        <v>4.8733842563750844E-2</v>
      </c>
      <c r="W50" s="3">
        <v>4.3669938527937061E-2</v>
      </c>
      <c r="X50" s="3">
        <v>5.1875780282546469E-2</v>
      </c>
      <c r="Y50" s="3">
        <v>4.6260285664062858E-2</v>
      </c>
      <c r="Z50" s="3">
        <v>5.5447037965201673E-2</v>
      </c>
      <c r="AA50" s="3">
        <v>5.6681929848966049E-2</v>
      </c>
      <c r="AB50" s="3">
        <v>6.1820791014653327E-2</v>
      </c>
      <c r="AC50" s="3">
        <v>6.5225848263291697E-2</v>
      </c>
      <c r="AD50" s="3">
        <v>6.7575165230735007E-2</v>
      </c>
      <c r="AE50" s="3">
        <v>7.5305686528439109E-2</v>
      </c>
      <c r="AF50" s="3">
        <v>7.8233725413743876E-2</v>
      </c>
      <c r="AG50" s="3">
        <v>7.7482815954358519E-2</v>
      </c>
      <c r="AH50" s="3">
        <v>9.0849924185783415E-2</v>
      </c>
      <c r="AI50" s="3">
        <v>8.0643603818231324E-2</v>
      </c>
      <c r="AJ50" s="3">
        <v>0.11179284637867448</v>
      </c>
      <c r="AK50" s="3">
        <v>0.14563408093916622</v>
      </c>
      <c r="AL50" s="3">
        <v>0.11295296391268561</v>
      </c>
    </row>
    <row r="51" spans="1:38" x14ac:dyDescent="0.35">
      <c r="A51" s="7">
        <v>43101</v>
      </c>
      <c r="B51" s="7">
        <v>43190</v>
      </c>
      <c r="C51" t="s">
        <v>126</v>
      </c>
      <c r="D51" t="s">
        <v>125</v>
      </c>
      <c r="E51" s="4" t="s">
        <v>68</v>
      </c>
      <c r="F51" s="3">
        <v>3.1739197622021778E-2</v>
      </c>
      <c r="G51" s="3">
        <v>3.1040112383998873E-2</v>
      </c>
      <c r="H51" s="3">
        <v>3.464224126117621E-2</v>
      </c>
      <c r="I51" s="3">
        <v>3.2708017045777728E-2</v>
      </c>
      <c r="J51" s="3">
        <v>3.5757571708418506E-2</v>
      </c>
      <c r="K51" s="3">
        <v>3.5966037413180704E-2</v>
      </c>
      <c r="L51" s="3">
        <v>3.7653307044733311E-2</v>
      </c>
      <c r="M51" s="3">
        <v>3.7027658446906205E-2</v>
      </c>
      <c r="N51" s="3">
        <v>4.1007721087298887E-2</v>
      </c>
      <c r="O51" s="3">
        <v>3.7405401536441368E-2</v>
      </c>
      <c r="P51" s="3">
        <v>4.3876462331655486E-2</v>
      </c>
      <c r="Q51" s="3">
        <v>3.8671343263786906E-2</v>
      </c>
      <c r="R51" s="3">
        <v>4.6034383018163427E-2</v>
      </c>
      <c r="S51" s="3">
        <v>4.0820873196983937E-2</v>
      </c>
      <c r="T51" s="3">
        <v>4.7433727451292762E-2</v>
      </c>
      <c r="U51" s="3">
        <v>4.3477800013649863E-2</v>
      </c>
      <c r="V51" s="3">
        <v>4.9709102113335693E-2</v>
      </c>
      <c r="W51" s="3">
        <v>4.4657989214654484E-2</v>
      </c>
      <c r="X51" s="3">
        <v>5.280126794578896E-2</v>
      </c>
      <c r="Y51" s="3">
        <v>4.7207699194427799E-2</v>
      </c>
      <c r="Z51" s="3">
        <v>5.6390312450374541E-2</v>
      </c>
      <c r="AA51" s="3">
        <v>5.765309053550835E-2</v>
      </c>
      <c r="AB51" s="3">
        <v>6.2781201174315113E-2</v>
      </c>
      <c r="AC51" s="3">
        <v>6.6188469893734447E-2</v>
      </c>
      <c r="AD51" s="3">
        <v>6.8480376542508603E-2</v>
      </c>
      <c r="AE51" s="3">
        <v>7.6223518133722273E-2</v>
      </c>
      <c r="AF51" s="3">
        <v>7.9186289388047004E-2</v>
      </c>
      <c r="AG51" s="3">
        <v>7.8406298040132633E-2</v>
      </c>
      <c r="AH51" s="3">
        <v>9.1754335980998136E-2</v>
      </c>
      <c r="AI51" s="3">
        <v>8.1604606311731984E-2</v>
      </c>
      <c r="AJ51" s="3">
        <v>0.11277346034366117</v>
      </c>
      <c r="AK51" s="3">
        <v>0.146582909636502</v>
      </c>
      <c r="AL51" s="3">
        <v>0.11390085140852593</v>
      </c>
    </row>
    <row r="52" spans="1:38" x14ac:dyDescent="0.35">
      <c r="A52" s="7">
        <v>43101</v>
      </c>
      <c r="B52" s="7">
        <v>43190</v>
      </c>
      <c r="C52" t="s">
        <v>126</v>
      </c>
      <c r="D52" t="s">
        <v>125</v>
      </c>
      <c r="E52" s="4">
        <v>4</v>
      </c>
      <c r="F52" s="3">
        <v>3.268711185276512E-2</v>
      </c>
      <c r="G52" s="3">
        <v>3.1955135834473625E-2</v>
      </c>
      <c r="H52" s="3">
        <v>3.5574657158047515E-2</v>
      </c>
      <c r="I52" s="3">
        <v>3.364948859593711E-2</v>
      </c>
      <c r="J52" s="3">
        <v>3.6728649950114239E-2</v>
      </c>
      <c r="K52" s="3">
        <v>3.6933984380575963E-2</v>
      </c>
      <c r="L52" s="3">
        <v>3.8600776368188247E-2</v>
      </c>
      <c r="M52" s="3">
        <v>3.7930131542778522E-2</v>
      </c>
      <c r="N52" s="3">
        <v>4.1946966069131612E-2</v>
      </c>
      <c r="O52" s="3">
        <v>3.8338873967426634E-2</v>
      </c>
      <c r="P52" s="3">
        <v>4.4856967046642347E-2</v>
      </c>
      <c r="Q52" s="3">
        <v>3.9664872848888505E-2</v>
      </c>
      <c r="R52" s="3">
        <v>4.6977525764767103E-2</v>
      </c>
      <c r="S52" s="3">
        <v>4.1791025093767295E-2</v>
      </c>
      <c r="T52" s="3">
        <v>4.8378022305578264E-2</v>
      </c>
      <c r="U52" s="3">
        <v>4.4468649631014295E-2</v>
      </c>
      <c r="V52" s="3">
        <v>5.0666048141618875E-2</v>
      </c>
      <c r="W52" s="3">
        <v>4.5580033371126337E-2</v>
      </c>
      <c r="X52" s="3">
        <v>5.3741895793428758E-2</v>
      </c>
      <c r="Y52" s="3">
        <v>4.8140618258473628E-2</v>
      </c>
      <c r="Z52" s="3">
        <v>5.7390188726632124E-2</v>
      </c>
      <c r="AA52" s="3">
        <v>5.8575139555686148E-2</v>
      </c>
      <c r="AB52" s="3">
        <v>6.3705172164359752E-2</v>
      </c>
      <c r="AC52" s="3">
        <v>6.7171971954915602E-2</v>
      </c>
      <c r="AD52" s="3">
        <v>6.9385210637260109E-2</v>
      </c>
      <c r="AE52" s="3">
        <v>7.7193441864314982E-2</v>
      </c>
      <c r="AF52" s="3">
        <v>8.0117816364555242E-2</v>
      </c>
      <c r="AG52" s="3">
        <v>7.9348939251239009E-2</v>
      </c>
      <c r="AH52" s="3">
        <v>9.2749052053499315E-2</v>
      </c>
      <c r="AI52" s="3">
        <v>8.2571938732369371E-2</v>
      </c>
      <c r="AJ52" s="3">
        <v>0.11371542279930774</v>
      </c>
      <c r="AK52" s="3">
        <v>0.14756655400287086</v>
      </c>
      <c r="AL52" s="3">
        <v>0.11481786190012677</v>
      </c>
    </row>
    <row r="53" spans="1:38" x14ac:dyDescent="0.35">
      <c r="A53" s="7">
        <v>43101</v>
      </c>
      <c r="B53" s="7">
        <v>43190</v>
      </c>
      <c r="C53" t="s">
        <v>126</v>
      </c>
      <c r="D53" t="s">
        <v>125</v>
      </c>
      <c r="E53" s="4" t="s">
        <v>69</v>
      </c>
      <c r="F53" s="3">
        <v>3.3663340664242071E-2</v>
      </c>
      <c r="G53" s="3">
        <v>3.2856784187710132E-2</v>
      </c>
      <c r="H53" s="3">
        <v>3.6516670482588144E-2</v>
      </c>
      <c r="I53" s="3">
        <v>3.4613877354440145E-2</v>
      </c>
      <c r="J53" s="3">
        <v>3.7665005216227523E-2</v>
      </c>
      <c r="K53" s="3">
        <v>3.7896986844783431E-2</v>
      </c>
      <c r="L53" s="3">
        <v>3.9517567647322296E-2</v>
      </c>
      <c r="M53" s="3">
        <v>3.8913898212994444E-2</v>
      </c>
      <c r="N53" s="3">
        <v>4.2902640946801171E-2</v>
      </c>
      <c r="O53" s="3">
        <v>3.9285534809126985E-2</v>
      </c>
      <c r="P53" s="3">
        <v>4.5782291759152265E-2</v>
      </c>
      <c r="Q53" s="3">
        <v>4.0628695589264144E-2</v>
      </c>
      <c r="R53" s="3">
        <v>4.7914459651524841E-2</v>
      </c>
      <c r="S53" s="3">
        <v>4.2763060110870457E-2</v>
      </c>
      <c r="T53" s="3">
        <v>4.9316843693128623E-2</v>
      </c>
      <c r="U53" s="3">
        <v>4.5445309033417466E-2</v>
      </c>
      <c r="V53" s="3">
        <v>5.1583538133656126E-2</v>
      </c>
      <c r="W53" s="3">
        <v>4.6500495259273383E-2</v>
      </c>
      <c r="X53" s="3">
        <v>5.4730557773519359E-2</v>
      </c>
      <c r="Y53" s="3">
        <v>4.9049873203161495E-2</v>
      </c>
      <c r="Z53" s="3">
        <v>5.8380516132835014E-2</v>
      </c>
      <c r="AA53" s="3">
        <v>5.9536616039588888E-2</v>
      </c>
      <c r="AB53" s="3">
        <v>6.4674492333929995E-2</v>
      </c>
      <c r="AC53" s="3">
        <v>6.8144902683848124E-2</v>
      </c>
      <c r="AD53" s="3">
        <v>7.0289604606180167E-2</v>
      </c>
      <c r="AE53" s="3">
        <v>7.8180960165628241E-2</v>
      </c>
      <c r="AF53" s="3">
        <v>8.1053919066883001E-2</v>
      </c>
      <c r="AG53" s="3">
        <v>8.0257482062810914E-2</v>
      </c>
      <c r="AH53" s="3">
        <v>9.3699819231343878E-2</v>
      </c>
      <c r="AI53" s="3">
        <v>8.3562776545488701E-2</v>
      </c>
      <c r="AJ53" s="3">
        <v>0.11470780016976628</v>
      </c>
      <c r="AK53" s="3">
        <v>0.14851313615786119</v>
      </c>
      <c r="AL53" s="3">
        <v>0.11573276764506546</v>
      </c>
    </row>
    <row r="54" spans="1:38" x14ac:dyDescent="0.35">
      <c r="A54" s="7">
        <v>43101</v>
      </c>
      <c r="B54" s="7">
        <v>43190</v>
      </c>
      <c r="C54" t="s">
        <v>126</v>
      </c>
      <c r="D54" t="s">
        <v>125</v>
      </c>
      <c r="E54" s="4" t="s">
        <v>70</v>
      </c>
      <c r="F54" s="3">
        <v>3.4615006950827518E-2</v>
      </c>
      <c r="G54" s="3">
        <v>3.3762917695688954E-2</v>
      </c>
      <c r="H54" s="3">
        <v>3.7502258168549955E-2</v>
      </c>
      <c r="I54" s="3">
        <v>3.5532143139689068E-2</v>
      </c>
      <c r="J54" s="3">
        <v>3.861025300053797E-2</v>
      </c>
      <c r="K54" s="3">
        <v>3.8871243633954569E-2</v>
      </c>
      <c r="L54" s="3">
        <v>4.0506458227018358E-2</v>
      </c>
      <c r="M54" s="3">
        <v>3.9822139340595884E-2</v>
      </c>
      <c r="N54" s="3">
        <v>4.3879240678301117E-2</v>
      </c>
      <c r="O54" s="3">
        <v>4.0241603607676743E-2</v>
      </c>
      <c r="P54" s="3">
        <v>4.6699213581187005E-2</v>
      </c>
      <c r="Q54" s="3">
        <v>4.1624472251490893E-2</v>
      </c>
      <c r="R54" s="3">
        <v>4.8870656963362825E-2</v>
      </c>
      <c r="S54" s="3">
        <v>4.3729596604833866E-2</v>
      </c>
      <c r="T54" s="3">
        <v>5.0228818340475295E-2</v>
      </c>
      <c r="U54" s="3">
        <v>4.6352468210182241E-2</v>
      </c>
      <c r="V54" s="3">
        <v>5.2513458477405225E-2</v>
      </c>
      <c r="W54" s="3">
        <v>4.749646393134789E-2</v>
      </c>
      <c r="X54" s="3">
        <v>5.571025966002905E-2</v>
      </c>
      <c r="Y54" s="3">
        <v>5.0007331566039356E-2</v>
      </c>
      <c r="Z54" s="3">
        <v>5.9298731543727931E-2</v>
      </c>
      <c r="AA54" s="3">
        <v>6.0467788080590161E-2</v>
      </c>
      <c r="AB54" s="3">
        <v>6.5609447758682521E-2</v>
      </c>
      <c r="AC54" s="3">
        <v>6.9068521925419873E-2</v>
      </c>
      <c r="AD54" s="3">
        <v>7.1195598965229256E-2</v>
      </c>
      <c r="AE54" s="3">
        <v>7.9159910045503074E-2</v>
      </c>
      <c r="AF54" s="3">
        <v>8.2012610411531933E-2</v>
      </c>
      <c r="AG54" s="3">
        <v>8.1181077966933218E-2</v>
      </c>
      <c r="AH54" s="3">
        <v>9.4688238977401223E-2</v>
      </c>
      <c r="AI54" s="3">
        <v>8.4478159208486031E-2</v>
      </c>
      <c r="AJ54" s="3">
        <v>0.11561490997768822</v>
      </c>
      <c r="AK54" s="3">
        <v>0.14943690456744629</v>
      </c>
      <c r="AL54" s="3">
        <v>0.11671679418624389</v>
      </c>
    </row>
    <row r="55" spans="1:38" x14ac:dyDescent="0.35">
      <c r="A55" s="7">
        <v>43101</v>
      </c>
      <c r="B55" s="7">
        <v>43190</v>
      </c>
      <c r="C55" t="s">
        <v>126</v>
      </c>
      <c r="D55" t="s">
        <v>125</v>
      </c>
      <c r="E55" s="4">
        <v>5</v>
      </c>
      <c r="F55" s="3">
        <v>3.5537034616341945E-2</v>
      </c>
      <c r="G55" s="3">
        <v>3.47018714939656E-2</v>
      </c>
      <c r="H55" s="3">
        <v>3.8445141600718852E-2</v>
      </c>
      <c r="I55" s="3">
        <v>3.6501354570931677E-2</v>
      </c>
      <c r="J55" s="3">
        <v>3.9587162076532109E-2</v>
      </c>
      <c r="K55" s="3">
        <v>3.9857435763598306E-2</v>
      </c>
      <c r="L55" s="3">
        <v>4.143041103271039E-2</v>
      </c>
      <c r="M55" s="3">
        <v>4.0758382469180052E-2</v>
      </c>
      <c r="N55" s="3">
        <v>4.4798630295579261E-2</v>
      </c>
      <c r="O55" s="3">
        <v>4.1204003559376604E-2</v>
      </c>
      <c r="P55" s="3">
        <v>4.7607872187442724E-2</v>
      </c>
      <c r="Q55" s="3">
        <v>4.2617434133182266E-2</v>
      </c>
      <c r="R55" s="3">
        <v>4.9787960327398795E-2</v>
      </c>
      <c r="S55" s="3">
        <v>4.4703405383414302E-2</v>
      </c>
      <c r="T55" s="3">
        <v>5.1149752994239302E-2</v>
      </c>
      <c r="U55" s="3">
        <v>4.7294855162885611E-2</v>
      </c>
      <c r="V55" s="3">
        <v>5.3445158938770949E-2</v>
      </c>
      <c r="W55" s="3">
        <v>4.8435172399565143E-2</v>
      </c>
      <c r="X55" s="3">
        <v>5.6687938236702894E-2</v>
      </c>
      <c r="Y55" s="3">
        <v>5.091419119263646E-2</v>
      </c>
      <c r="Z55" s="3">
        <v>6.0274350429703735E-2</v>
      </c>
      <c r="AA55" s="3">
        <v>6.1416623636127196E-2</v>
      </c>
      <c r="AB55" s="3">
        <v>6.6529849427629184E-2</v>
      </c>
      <c r="AC55" s="3">
        <v>7.0045960511612784E-2</v>
      </c>
      <c r="AD55" s="3">
        <v>7.2128988861040549E-2</v>
      </c>
      <c r="AE55" s="3">
        <v>8.0095845061382759E-2</v>
      </c>
      <c r="AF55" s="3">
        <v>8.2952002646676112E-2</v>
      </c>
      <c r="AG55" s="3">
        <v>8.2096016217194395E-2</v>
      </c>
      <c r="AH55" s="3">
        <v>9.5637865264380839E-2</v>
      </c>
      <c r="AI55" s="3">
        <v>8.5439136470290403E-2</v>
      </c>
      <c r="AJ55" s="3">
        <v>0.11655517391392323</v>
      </c>
      <c r="AK55" s="3">
        <v>0.15037465627533181</v>
      </c>
      <c r="AL55" s="3">
        <v>0.11763023727481434</v>
      </c>
    </row>
    <row r="56" spans="1:38" x14ac:dyDescent="0.35">
      <c r="A56" s="7">
        <v>43101</v>
      </c>
      <c r="B56" s="7">
        <v>43190</v>
      </c>
      <c r="C56" t="s">
        <v>126</v>
      </c>
      <c r="D56" t="s">
        <v>125</v>
      </c>
      <c r="E56" s="4" t="s">
        <v>71</v>
      </c>
      <c r="F56" s="3">
        <v>3.6452247532993511E-2</v>
      </c>
      <c r="G56" s="3">
        <v>3.565442674980715E-2</v>
      </c>
      <c r="H56" s="3">
        <v>3.9363432166752955E-2</v>
      </c>
      <c r="I56" s="3">
        <v>3.7483817499054613E-2</v>
      </c>
      <c r="J56" s="3">
        <v>4.0515522119146913E-2</v>
      </c>
      <c r="K56" s="3">
        <v>4.0823752741559957E-2</v>
      </c>
      <c r="L56" s="3">
        <v>4.2378703526991808E-2</v>
      </c>
      <c r="M56" s="3">
        <v>4.1729505019661453E-2</v>
      </c>
      <c r="N56" s="3">
        <v>4.5743765763705466E-2</v>
      </c>
      <c r="O56" s="3">
        <v>4.2147549646481916E-2</v>
      </c>
      <c r="P56" s="3">
        <v>4.8550369849464023E-2</v>
      </c>
      <c r="Q56" s="3">
        <v>4.3553807159928723E-2</v>
      </c>
      <c r="R56" s="3">
        <v>5.0760856877947638E-2</v>
      </c>
      <c r="S56" s="3">
        <v>4.5632661459234697E-2</v>
      </c>
      <c r="T56" s="3">
        <v>5.214608545157446E-2</v>
      </c>
      <c r="U56" s="3">
        <v>4.8256183992917527E-2</v>
      </c>
      <c r="V56" s="3">
        <v>5.4377722287246612E-2</v>
      </c>
      <c r="W56" s="3">
        <v>4.9363475537645862E-2</v>
      </c>
      <c r="X56" s="3">
        <v>5.7639852635564363E-2</v>
      </c>
      <c r="Y56" s="3">
        <v>5.1890286602368899E-2</v>
      </c>
      <c r="Z56" s="3">
        <v>6.1238787352116499E-2</v>
      </c>
      <c r="AA56" s="3">
        <v>6.2342734437073867E-2</v>
      </c>
      <c r="AB56" s="3">
        <v>6.7497644430090958E-2</v>
      </c>
      <c r="AC56" s="3">
        <v>7.0991828499182508E-2</v>
      </c>
      <c r="AD56" s="3">
        <v>7.3106986994260964E-2</v>
      </c>
      <c r="AE56" s="3">
        <v>8.0996109513219117E-2</v>
      </c>
      <c r="AF56" s="3">
        <v>8.394434711940485E-2</v>
      </c>
      <c r="AG56" s="3">
        <v>8.3024576265395139E-2</v>
      </c>
      <c r="AH56" s="3">
        <v>9.6586131170948858E-2</v>
      </c>
      <c r="AI56" s="3">
        <v>8.6356007964590059E-2</v>
      </c>
      <c r="AJ56" s="3">
        <v>0.11749176413878909</v>
      </c>
      <c r="AK56" s="3">
        <v>0.15133627909692013</v>
      </c>
      <c r="AL56" s="3">
        <v>0.11862032111917292</v>
      </c>
    </row>
    <row r="57" spans="1:38" x14ac:dyDescent="0.35">
      <c r="A57" s="7">
        <v>43101</v>
      </c>
      <c r="B57" s="7">
        <v>43190</v>
      </c>
      <c r="C57" t="s">
        <v>126</v>
      </c>
      <c r="D57" t="s">
        <v>125</v>
      </c>
      <c r="E57" s="4" t="s">
        <v>72</v>
      </c>
      <c r="F57" s="3">
        <v>3.745004467152295E-2</v>
      </c>
      <c r="G57" s="3">
        <v>3.6597382233771229E-2</v>
      </c>
      <c r="H57" s="3">
        <v>4.0342643582357916E-2</v>
      </c>
      <c r="I57" s="3">
        <v>3.8385083984993948E-2</v>
      </c>
      <c r="J57" s="3">
        <v>4.1439457241266825E-2</v>
      </c>
      <c r="K57" s="3">
        <v>4.1751167672111456E-2</v>
      </c>
      <c r="L57" s="3">
        <v>4.330233406602603E-2</v>
      </c>
      <c r="M57" s="3">
        <v>4.265232841206501E-2</v>
      </c>
      <c r="N57" s="3">
        <v>4.6725725299334886E-2</v>
      </c>
      <c r="O57" s="3">
        <v>4.3140423901663061E-2</v>
      </c>
      <c r="P57" s="3">
        <v>4.9457192690454406E-2</v>
      </c>
      <c r="Q57" s="3">
        <v>4.4480456218301684E-2</v>
      </c>
      <c r="R57" s="3">
        <v>5.1759113026973641E-2</v>
      </c>
      <c r="S57" s="3">
        <v>4.6599621500819394E-2</v>
      </c>
      <c r="T57" s="3">
        <v>5.307939710107179E-2</v>
      </c>
      <c r="U57" s="3">
        <v>4.9217342664606346E-2</v>
      </c>
      <c r="V57" s="3">
        <v>5.5302257703269832E-2</v>
      </c>
      <c r="W57" s="3">
        <v>5.0357885367248681E-2</v>
      </c>
      <c r="X57" s="3">
        <v>5.8636155423697961E-2</v>
      </c>
      <c r="Y57" s="3">
        <v>5.2804233856917432E-2</v>
      </c>
      <c r="Z57" s="3">
        <v>6.2147907091145455E-2</v>
      </c>
      <c r="AA57" s="3">
        <v>6.3309724026127168E-2</v>
      </c>
      <c r="AB57" s="3">
        <v>6.8488798515799476E-2</v>
      </c>
      <c r="AC57" s="3">
        <v>7.1929846198278441E-2</v>
      </c>
      <c r="AD57" s="3">
        <v>7.408860820571106E-2</v>
      </c>
      <c r="AE57" s="3">
        <v>8.1913454609532255E-2</v>
      </c>
      <c r="AF57" s="3">
        <v>8.4888516304205158E-2</v>
      </c>
      <c r="AG57" s="3">
        <v>8.3967069472016528E-2</v>
      </c>
      <c r="AH57" s="3">
        <v>9.7548762409441131E-2</v>
      </c>
      <c r="AI57" s="3">
        <v>8.7265720475586089E-2</v>
      </c>
      <c r="AJ57" s="3">
        <v>0.11842309530034587</v>
      </c>
      <c r="AK57" s="3">
        <v>0.15224715508668146</v>
      </c>
      <c r="AL57" s="3">
        <v>0.11959960676243339</v>
      </c>
    </row>
    <row r="58" spans="1:38" x14ac:dyDescent="0.35">
      <c r="A58" s="7">
        <v>43101</v>
      </c>
      <c r="B58" s="7">
        <v>43190</v>
      </c>
      <c r="C58" t="s">
        <v>126</v>
      </c>
      <c r="D58" t="s">
        <v>125</v>
      </c>
      <c r="E58" s="4">
        <v>6</v>
      </c>
      <c r="F58" s="3">
        <v>3.8354710843880237E-2</v>
      </c>
      <c r="G58" s="3">
        <v>3.7514300466315889E-2</v>
      </c>
      <c r="H58" s="3">
        <v>4.1340015876603173E-2</v>
      </c>
      <c r="I58" s="3">
        <v>3.9287553075633287E-2</v>
      </c>
      <c r="J58" s="3">
        <v>4.2343677994122683E-2</v>
      </c>
      <c r="K58" s="3">
        <v>4.2711866595613344E-2</v>
      </c>
      <c r="L58" s="3">
        <v>4.4205108654712541E-2</v>
      </c>
      <c r="M58" s="3">
        <v>4.3600622392565028E-2</v>
      </c>
      <c r="N58" s="3">
        <v>4.7686311833625705E-2</v>
      </c>
      <c r="O58" s="3">
        <v>4.4132774067928759E-2</v>
      </c>
      <c r="P58" s="3">
        <v>5.035889928644699E-2</v>
      </c>
      <c r="Q58" s="3">
        <v>4.5464201327189188E-2</v>
      </c>
      <c r="R58" s="3">
        <v>5.2697114376885582E-2</v>
      </c>
      <c r="S58" s="3">
        <v>4.7529621074183445E-2</v>
      </c>
      <c r="T58" s="3">
        <v>5.4015743625293947E-2</v>
      </c>
      <c r="U58" s="3">
        <v>5.0216862234903306E-2</v>
      </c>
      <c r="V58" s="3">
        <v>5.630073576320746E-2</v>
      </c>
      <c r="W58" s="3">
        <v>5.1262787163677034E-2</v>
      </c>
      <c r="X58" s="3">
        <v>5.961369834049085E-2</v>
      </c>
      <c r="Y58" s="3">
        <v>5.3734757929811611E-2</v>
      </c>
      <c r="Z58" s="3">
        <v>6.3087418767790726E-2</v>
      </c>
      <c r="AA58" s="3">
        <v>6.4306843346533055E-2</v>
      </c>
      <c r="AB58" s="3">
        <v>6.9420502837275466E-2</v>
      </c>
      <c r="AC58" s="3">
        <v>7.2884595950778494E-2</v>
      </c>
      <c r="AD58" s="3">
        <v>7.5050407256270185E-2</v>
      </c>
      <c r="AE58" s="3">
        <v>8.2893066680813282E-2</v>
      </c>
      <c r="AF58" s="3">
        <v>8.5864382115662552E-2</v>
      </c>
      <c r="AG58" s="3">
        <v>8.4938529481590475E-2</v>
      </c>
      <c r="AH58" s="3">
        <v>9.8491883015531884E-2</v>
      </c>
      <c r="AI58" s="3">
        <v>8.823462364867285E-2</v>
      </c>
      <c r="AJ58" s="3">
        <v>0.11935782494668729</v>
      </c>
      <c r="AK58" s="3">
        <v>0.1531501469799699</v>
      </c>
      <c r="AL58" s="3">
        <v>0.12055080099179458</v>
      </c>
    </row>
    <row r="59" spans="1:38" x14ac:dyDescent="0.35">
      <c r="A59" s="7">
        <v>43101</v>
      </c>
      <c r="B59" s="7">
        <v>43190</v>
      </c>
      <c r="C59" t="s">
        <v>126</v>
      </c>
      <c r="D59" t="s">
        <v>125</v>
      </c>
      <c r="E59" s="4" t="s">
        <v>73</v>
      </c>
      <c r="F59" s="3">
        <v>3.9312982379720071E-2</v>
      </c>
      <c r="G59" s="3">
        <v>3.8470863826427656E-2</v>
      </c>
      <c r="H59" s="3">
        <v>4.2272189463267364E-2</v>
      </c>
      <c r="I59" s="3">
        <v>4.0251364017709526E-2</v>
      </c>
      <c r="J59" s="3">
        <v>4.3343484503988228E-2</v>
      </c>
      <c r="K59" s="3">
        <v>4.3691342019618509E-2</v>
      </c>
      <c r="L59" s="3">
        <v>4.5162612339023009E-2</v>
      </c>
      <c r="M59" s="3">
        <v>4.4555545551511262E-2</v>
      </c>
      <c r="N59" s="3">
        <v>4.8618632179344742E-2</v>
      </c>
      <c r="O59" s="3">
        <v>4.5106025837637675E-2</v>
      </c>
      <c r="P59" s="3">
        <v>5.1346096550348663E-2</v>
      </c>
      <c r="Q59" s="3">
        <v>4.6377473187230706E-2</v>
      </c>
      <c r="R59" s="3">
        <v>5.3660540987732847E-2</v>
      </c>
      <c r="S59" s="3">
        <v>4.8450464703823914E-2</v>
      </c>
      <c r="T59" s="3">
        <v>5.4969993380739844E-2</v>
      </c>
      <c r="U59" s="3">
        <v>5.1159888659726593E-2</v>
      </c>
      <c r="V59" s="3">
        <v>5.7258205706464359E-2</v>
      </c>
      <c r="W59" s="3">
        <v>5.224586488733661E-2</v>
      </c>
      <c r="X59" s="3">
        <v>6.0565189098086059E-2</v>
      </c>
      <c r="Y59" s="3">
        <v>5.4693615381737823E-2</v>
      </c>
      <c r="Z59" s="3">
        <v>6.4085669834437115E-2</v>
      </c>
      <c r="AA59" s="3">
        <v>6.5226053950022678E-2</v>
      </c>
      <c r="AB59" s="3">
        <v>7.0387327504087466E-2</v>
      </c>
      <c r="AC59" s="3">
        <v>7.3850499388342872E-2</v>
      </c>
      <c r="AD59" s="3">
        <v>7.5995541721114057E-2</v>
      </c>
      <c r="AE59" s="3">
        <v>8.3813620383519555E-2</v>
      </c>
      <c r="AF59" s="3">
        <v>8.6833211364047286E-2</v>
      </c>
      <c r="AG59" s="3">
        <v>8.5856344163987464E-2</v>
      </c>
      <c r="AH59" s="3">
        <v>9.9407203055284776E-2</v>
      </c>
      <c r="AI59" s="3">
        <v>8.9160503509014361E-2</v>
      </c>
      <c r="AJ59" s="3">
        <v>0.12030359887892328</v>
      </c>
      <c r="AK59" s="3">
        <v>0.15411849031913039</v>
      </c>
      <c r="AL59" s="3">
        <v>0.12146881254756178</v>
      </c>
    </row>
    <row r="60" spans="1:38" x14ac:dyDescent="0.35">
      <c r="A60" s="7">
        <v>43101</v>
      </c>
      <c r="B60" s="7">
        <v>43190</v>
      </c>
      <c r="C60" t="s">
        <v>126</v>
      </c>
      <c r="D60" t="s">
        <v>125</v>
      </c>
      <c r="E60" s="4" t="s">
        <v>74</v>
      </c>
      <c r="F60" s="3">
        <v>4.0290655936053604E-2</v>
      </c>
      <c r="G60" s="3">
        <v>3.9415482453008577E-2</v>
      </c>
      <c r="H60" s="3">
        <v>4.3192327521774251E-2</v>
      </c>
      <c r="I60" s="3">
        <v>4.1167024517393375E-2</v>
      </c>
      <c r="J60" s="3">
        <v>4.4298200600403265E-2</v>
      </c>
      <c r="K60" s="3">
        <v>4.4669033421348502E-2</v>
      </c>
      <c r="L60" s="3">
        <v>4.6106092157626927E-2</v>
      </c>
      <c r="M60" s="3">
        <v>4.5545130551937471E-2</v>
      </c>
      <c r="N60" s="3">
        <v>4.9578105083387995E-2</v>
      </c>
      <c r="O60" s="3">
        <v>4.6041206075774277E-2</v>
      </c>
      <c r="P60" s="3">
        <v>5.2272222742774849E-2</v>
      </c>
      <c r="Q60" s="3">
        <v>4.7288973979576765E-2</v>
      </c>
      <c r="R60" s="3">
        <v>5.460971396283118E-2</v>
      </c>
      <c r="S60" s="3">
        <v>4.9423367860062087E-2</v>
      </c>
      <c r="T60" s="3">
        <v>5.5900284765182828E-2</v>
      </c>
      <c r="U60" s="3">
        <v>5.2116043510631933E-2</v>
      </c>
      <c r="V60" s="3">
        <v>5.8186005067337315E-2</v>
      </c>
      <c r="W60" s="3">
        <v>5.3200134180994542E-2</v>
      </c>
      <c r="X60" s="3">
        <v>6.1472847689605307E-2</v>
      </c>
      <c r="Y60" s="3">
        <v>5.5598365149331155E-2</v>
      </c>
      <c r="Z60" s="3">
        <v>6.5011640450528096E-2</v>
      </c>
      <c r="AA60" s="3">
        <v>6.6220768312793526E-2</v>
      </c>
      <c r="AB60" s="3">
        <v>7.1295568211983767E-2</v>
      </c>
      <c r="AC60" s="3">
        <v>7.4817523142215125E-2</v>
      </c>
      <c r="AD60" s="3">
        <v>7.6934228027242785E-2</v>
      </c>
      <c r="AE60" s="3">
        <v>8.4742569693424419E-2</v>
      </c>
      <c r="AF60" s="3">
        <v>8.7746419203997561E-2</v>
      </c>
      <c r="AG60" s="3">
        <v>8.6804327105100026E-2</v>
      </c>
      <c r="AH60" s="3">
        <v>0.10040355033089107</v>
      </c>
      <c r="AI60" s="3">
        <v>9.0092727841256104E-2</v>
      </c>
      <c r="AJ60" s="3">
        <v>0.12122033076272837</v>
      </c>
      <c r="AK60" s="3">
        <v>0.15506721062121739</v>
      </c>
      <c r="AL60" s="3">
        <v>0.12242501005957787</v>
      </c>
    </row>
    <row r="61" spans="1:38" x14ac:dyDescent="0.35">
      <c r="A61" s="7">
        <v>43101</v>
      </c>
      <c r="B61" s="7">
        <v>43190</v>
      </c>
      <c r="C61" t="s">
        <v>126</v>
      </c>
      <c r="D61" t="s">
        <v>125</v>
      </c>
      <c r="E61" s="4">
        <v>7</v>
      </c>
      <c r="F61" s="3">
        <v>4.1278276553716284E-2</v>
      </c>
      <c r="G61" s="3">
        <v>4.0329177705657582E-2</v>
      </c>
      <c r="H61" s="3">
        <v>4.4099318153345834E-2</v>
      </c>
      <c r="I61" s="3">
        <v>4.2083811526251506E-2</v>
      </c>
      <c r="J61" s="3">
        <v>4.5213419842575459E-2</v>
      </c>
      <c r="K61" s="3">
        <v>4.558380085956102E-2</v>
      </c>
      <c r="L61" s="3">
        <v>4.7092812186156276E-2</v>
      </c>
      <c r="M61" s="3">
        <v>4.6540381363158703E-2</v>
      </c>
      <c r="N61" s="3">
        <v>5.0541323345427748E-2</v>
      </c>
      <c r="O61" s="3">
        <v>4.6991421638006951E-2</v>
      </c>
      <c r="P61" s="3">
        <v>5.3236981442763745E-2</v>
      </c>
      <c r="Q61" s="3">
        <v>4.8234541478731421E-2</v>
      </c>
      <c r="R61" s="3">
        <v>5.5559390111168401E-2</v>
      </c>
      <c r="S61" s="3">
        <v>5.0346904198118624E-2</v>
      </c>
      <c r="T61" s="3">
        <v>5.6816080504292425E-2</v>
      </c>
      <c r="U61" s="3">
        <v>5.3027736685895596E-2</v>
      </c>
      <c r="V61" s="3">
        <v>5.9124858987900854E-2</v>
      </c>
      <c r="W61" s="3">
        <v>5.4144763825180409E-2</v>
      </c>
      <c r="X61" s="3">
        <v>6.2388336794213066E-2</v>
      </c>
      <c r="Y61" s="3">
        <v>5.6591257052729681E-2</v>
      </c>
      <c r="Z61" s="3">
        <v>6.5977016347356199E-2</v>
      </c>
      <c r="AA61" s="3">
        <v>6.7209543585266665E-2</v>
      </c>
      <c r="AB61" s="3">
        <v>7.2258125568611831E-2</v>
      </c>
      <c r="AC61" s="3">
        <v>7.5742287354191973E-2</v>
      </c>
      <c r="AD61" s="3">
        <v>7.7887157903794746E-2</v>
      </c>
      <c r="AE61" s="3">
        <v>8.5662762776687496E-2</v>
      </c>
      <c r="AF61" s="3">
        <v>8.8712813964452519E-2</v>
      </c>
      <c r="AG61" s="3">
        <v>8.7782994599508807E-2</v>
      </c>
      <c r="AH61" s="3">
        <v>0.10138231580665266</v>
      </c>
      <c r="AI61" s="3">
        <v>9.1077913935211585E-2</v>
      </c>
      <c r="AJ61" s="3">
        <v>0.12220598351307099</v>
      </c>
      <c r="AK61" s="3">
        <v>0.15597013151438968</v>
      </c>
      <c r="AL61" s="3">
        <v>0.12338501633574686</v>
      </c>
    </row>
    <row r="62" spans="1:38" x14ac:dyDescent="0.35">
      <c r="A62" s="7">
        <v>43101</v>
      </c>
      <c r="B62" s="7">
        <v>43190</v>
      </c>
      <c r="C62" t="s">
        <v>126</v>
      </c>
      <c r="D62" t="s">
        <v>125</v>
      </c>
      <c r="E62" s="4" t="s">
        <v>75</v>
      </c>
      <c r="F62" s="3">
        <v>4.218248827263521E-2</v>
      </c>
      <c r="G62" s="3">
        <v>4.1301753966505143E-2</v>
      </c>
      <c r="H62" s="3">
        <v>4.502683863923293E-2</v>
      </c>
      <c r="I62" s="3">
        <v>4.306755785212503E-2</v>
      </c>
      <c r="J62" s="3">
        <v>4.6201709327723481E-2</v>
      </c>
      <c r="K62" s="3">
        <v>4.6550622839863748E-2</v>
      </c>
      <c r="L62" s="3">
        <v>4.8066014601750959E-2</v>
      </c>
      <c r="M62" s="3">
        <v>4.7515759061131507E-2</v>
      </c>
      <c r="N62" s="3">
        <v>5.1527017636710616E-2</v>
      </c>
      <c r="O62" s="3">
        <v>4.7956748998221201E-2</v>
      </c>
      <c r="P62" s="3">
        <v>5.4147315452805593E-2</v>
      </c>
      <c r="Q62" s="3">
        <v>4.9200116122030652E-2</v>
      </c>
      <c r="R62" s="3">
        <v>5.6524190394425522E-2</v>
      </c>
      <c r="S62" s="3">
        <v>5.1342902962852918E-2</v>
      </c>
      <c r="T62" s="3">
        <v>5.7756386656798407E-2</v>
      </c>
      <c r="U62" s="3">
        <v>5.4005559472231804E-2</v>
      </c>
      <c r="V62" s="3">
        <v>6.0047358524636864E-2</v>
      </c>
      <c r="W62" s="3">
        <v>5.5140598489951502E-2</v>
      </c>
      <c r="X62" s="3">
        <v>6.3328808699077421E-2</v>
      </c>
      <c r="Y62" s="3">
        <v>5.7560360891625424E-2</v>
      </c>
      <c r="Z62" s="3">
        <v>6.6974746221220002E-2</v>
      </c>
      <c r="AA62" s="3">
        <v>6.8143034001964808E-2</v>
      </c>
      <c r="AB62" s="3">
        <v>7.3196010653543364E-2</v>
      </c>
      <c r="AC62" s="3">
        <v>7.6649617469505105E-2</v>
      </c>
      <c r="AD62" s="3">
        <v>7.8819400436061254E-2</v>
      </c>
      <c r="AE62" s="3">
        <v>8.6639145127280964E-2</v>
      </c>
      <c r="AF62" s="3">
        <v>8.9675499657925511E-2</v>
      </c>
      <c r="AG62" s="3">
        <v>8.8723641932776487E-2</v>
      </c>
      <c r="AH62" s="3">
        <v>0.10231303051295471</v>
      </c>
      <c r="AI62" s="3">
        <v>9.2039773112474743E-2</v>
      </c>
      <c r="AJ62" s="3">
        <v>0.12316032095937948</v>
      </c>
      <c r="AK62" s="3">
        <v>0.15692404775594543</v>
      </c>
      <c r="AL62" s="3">
        <v>0.12432571407201984</v>
      </c>
    </row>
    <row r="63" spans="1:38" x14ac:dyDescent="0.35">
      <c r="A63" s="7">
        <v>43101</v>
      </c>
      <c r="B63" s="7">
        <v>43190</v>
      </c>
      <c r="C63" t="s">
        <v>128</v>
      </c>
      <c r="D63" t="s">
        <v>125</v>
      </c>
      <c r="E63" s="4">
        <v>1</v>
      </c>
      <c r="F63" s="3">
        <v>2.5987235415080065E-2</v>
      </c>
      <c r="G63" s="3">
        <v>2.5522336342949561E-2</v>
      </c>
      <c r="H63" s="3">
        <v>2.8904631230141239E-2</v>
      </c>
      <c r="I63" s="3">
        <v>2.7059051771753752E-2</v>
      </c>
      <c r="J63" s="3">
        <v>3.0214931408311059E-2</v>
      </c>
      <c r="K63" s="3">
        <v>3.0265446267055657E-2</v>
      </c>
      <c r="L63" s="3">
        <v>3.1982197143763186E-2</v>
      </c>
      <c r="M63" s="3">
        <v>3.137502253914716E-2</v>
      </c>
      <c r="N63" s="3">
        <v>3.5507892750587855E-2</v>
      </c>
      <c r="O63" s="3">
        <v>3.1706515013046777E-2</v>
      </c>
      <c r="P63" s="3">
        <v>3.8154611745470947E-2</v>
      </c>
      <c r="Q63" s="3">
        <v>3.3068234094442879E-2</v>
      </c>
      <c r="R63" s="3">
        <v>4.0456126253836606E-2</v>
      </c>
      <c r="S63" s="3">
        <v>3.5142726163996982E-2</v>
      </c>
      <c r="T63" s="3">
        <v>4.190767406161585E-2</v>
      </c>
      <c r="U63" s="3">
        <v>3.7823319048479055E-2</v>
      </c>
      <c r="V63" s="3">
        <v>4.4047535621602511E-2</v>
      </c>
      <c r="W63" s="3">
        <v>3.8978029939151657E-2</v>
      </c>
      <c r="X63" s="3">
        <v>4.7194112106792328E-2</v>
      </c>
      <c r="Y63" s="3">
        <v>4.154192139861277E-2</v>
      </c>
      <c r="Z63" s="3">
        <v>5.0720350031989596E-2</v>
      </c>
      <c r="AA63" s="3">
        <v>5.1938659601285304E-2</v>
      </c>
      <c r="AB63" s="3">
        <v>5.7220889135458301E-2</v>
      </c>
      <c r="AC63" s="3">
        <v>6.0598276343003583E-2</v>
      </c>
      <c r="AD63" s="3">
        <v>6.2975244868088726E-2</v>
      </c>
      <c r="AE63" s="3">
        <v>7.0630307613935212E-2</v>
      </c>
      <c r="AF63" s="3">
        <v>7.3530260528803765E-2</v>
      </c>
      <c r="AG63" s="3">
        <v>7.2821994417673785E-2</v>
      </c>
      <c r="AH63" s="3">
        <v>8.6201092314036609E-2</v>
      </c>
      <c r="AI63" s="3">
        <v>7.5923580014799819E-2</v>
      </c>
      <c r="AJ63" s="3">
        <v>0.10718899962977327</v>
      </c>
      <c r="AK63" s="3">
        <v>0.14088203667397348</v>
      </c>
      <c r="AL63" s="3">
        <v>0.10838283042429545</v>
      </c>
    </row>
    <row r="64" spans="1:38" x14ac:dyDescent="0.35">
      <c r="A64" s="7">
        <v>43101</v>
      </c>
      <c r="B64" s="7">
        <v>43190</v>
      </c>
      <c r="C64" t="s">
        <v>128</v>
      </c>
      <c r="D64" t="s">
        <v>125</v>
      </c>
      <c r="E64" s="4" t="s">
        <v>64</v>
      </c>
      <c r="F64" s="3">
        <v>2.6955504628306672E-2</v>
      </c>
      <c r="G64" s="3">
        <v>2.6444481773370748E-2</v>
      </c>
      <c r="H64" s="3">
        <v>2.985062660607473E-2</v>
      </c>
      <c r="I64" s="3">
        <v>2.7968925101185337E-2</v>
      </c>
      <c r="J64" s="3">
        <v>3.1133283155749987E-2</v>
      </c>
      <c r="K64" s="3">
        <v>3.1223062002444339E-2</v>
      </c>
      <c r="L64" s="3">
        <v>3.2934115932132968E-2</v>
      </c>
      <c r="M64" s="3">
        <v>3.2280819977680508E-2</v>
      </c>
      <c r="N64" s="3">
        <v>3.6450059642861694E-2</v>
      </c>
      <c r="O64" s="3">
        <v>3.2642785468758394E-2</v>
      </c>
      <c r="P64" s="3">
        <v>3.9118841964526536E-2</v>
      </c>
      <c r="Q64" s="3">
        <v>3.3979868013520542E-2</v>
      </c>
      <c r="R64" s="3">
        <v>4.1439336595061632E-2</v>
      </c>
      <c r="S64" s="3">
        <v>3.6073364823084354E-2</v>
      </c>
      <c r="T64" s="3">
        <v>4.2881617977735501E-2</v>
      </c>
      <c r="U64" s="3">
        <v>3.8738906253639446E-2</v>
      </c>
      <c r="V64" s="3">
        <v>4.5018330733574294E-2</v>
      </c>
      <c r="W64" s="3">
        <v>3.9924668227140761E-2</v>
      </c>
      <c r="X64" s="3">
        <v>4.8173292504344781E-2</v>
      </c>
      <c r="Y64" s="3">
        <v>4.2464646138943567E-2</v>
      </c>
      <c r="Z64" s="3">
        <v>5.1663966833701072E-2</v>
      </c>
      <c r="AA64" s="3">
        <v>5.2893391600233458E-2</v>
      </c>
      <c r="AB64" s="3">
        <v>5.8139843977245198E-2</v>
      </c>
      <c r="AC64" s="3">
        <v>6.1548496431847795E-2</v>
      </c>
      <c r="AD64" s="3">
        <v>6.3929948312430665E-2</v>
      </c>
      <c r="AE64" s="3">
        <v>7.1537761203292319E-2</v>
      </c>
      <c r="AF64" s="3">
        <v>7.44980601551955E-2</v>
      </c>
      <c r="AG64" s="3">
        <v>7.3743308851667147E-2</v>
      </c>
      <c r="AH64" s="3">
        <v>8.7159836721572542E-2</v>
      </c>
      <c r="AI64" s="3">
        <v>7.6836736383455007E-2</v>
      </c>
      <c r="AJ64" s="3">
        <v>0.10811874012266376</v>
      </c>
      <c r="AK64" s="3">
        <v>0.1418205734558888</v>
      </c>
      <c r="AL64" s="3">
        <v>0.10928480850509567</v>
      </c>
    </row>
    <row r="65" spans="1:38" x14ac:dyDescent="0.35">
      <c r="A65" s="7">
        <v>43101</v>
      </c>
      <c r="B65" s="7">
        <v>43190</v>
      </c>
      <c r="C65" t="s">
        <v>128</v>
      </c>
      <c r="D65" t="s">
        <v>125</v>
      </c>
      <c r="E65" s="4">
        <v>2</v>
      </c>
      <c r="F65" s="3">
        <v>2.7897021899625216E-2</v>
      </c>
      <c r="G65" s="3">
        <v>2.7368915274916437E-2</v>
      </c>
      <c r="H65" s="3">
        <v>3.0848451892030358E-2</v>
      </c>
      <c r="I65" s="3">
        <v>2.8955691162124077E-2</v>
      </c>
      <c r="J65" s="3">
        <v>3.2060131064313005E-2</v>
      </c>
      <c r="K65" s="3">
        <v>3.2198106227038337E-2</v>
      </c>
      <c r="L65" s="3">
        <v>3.3845044629501123E-2</v>
      </c>
      <c r="M65" s="3">
        <v>3.3234643248477844E-2</v>
      </c>
      <c r="N65" s="3">
        <v>3.7382324199331081E-2</v>
      </c>
      <c r="O65" s="3">
        <v>3.3594684077558834E-2</v>
      </c>
      <c r="P65" s="3">
        <v>4.0040547019358746E-2</v>
      </c>
      <c r="Q65" s="3">
        <v>3.4919219200209517E-2</v>
      </c>
      <c r="R65" s="3">
        <v>4.2371166603959773E-2</v>
      </c>
      <c r="S65" s="3">
        <v>3.7041012010300828E-2</v>
      </c>
      <c r="T65" s="3">
        <v>4.3831479692354042E-2</v>
      </c>
      <c r="U65" s="3">
        <v>3.9687198648127538E-2</v>
      </c>
      <c r="V65" s="3">
        <v>4.5993338675699429E-2</v>
      </c>
      <c r="W65" s="3">
        <v>4.0890880083179662E-2</v>
      </c>
      <c r="X65" s="3">
        <v>4.9140754596639788E-2</v>
      </c>
      <c r="Y65" s="3">
        <v>4.3458963417643243E-2</v>
      </c>
      <c r="Z65" s="3">
        <v>5.2599887843882989E-2</v>
      </c>
      <c r="AA65" s="3">
        <v>5.3867198078455511E-2</v>
      </c>
      <c r="AB65" s="3">
        <v>5.9078492929563478E-2</v>
      </c>
      <c r="AC65" s="3">
        <v>6.2451398081860635E-2</v>
      </c>
      <c r="AD65" s="3">
        <v>6.4845761448320341E-2</v>
      </c>
      <c r="AE65" s="3">
        <v>7.2442675029635431E-2</v>
      </c>
      <c r="AF65" s="3">
        <v>7.5471262341356135E-2</v>
      </c>
      <c r="AG65" s="3">
        <v>7.472140626189222E-2</v>
      </c>
      <c r="AH65" s="3">
        <v>8.8088969605302603E-2</v>
      </c>
      <c r="AI65" s="3">
        <v>7.7827014311840928E-2</v>
      </c>
      <c r="AJ65" s="3">
        <v>0.10905082647783992</v>
      </c>
      <c r="AK65" s="3">
        <v>0.14276338686442322</v>
      </c>
      <c r="AL65" s="3">
        <v>0.11018762445336724</v>
      </c>
    </row>
    <row r="66" spans="1:38" x14ac:dyDescent="0.35">
      <c r="A66" s="7">
        <v>43101</v>
      </c>
      <c r="B66" s="7">
        <v>43190</v>
      </c>
      <c r="C66" t="s">
        <v>128</v>
      </c>
      <c r="D66" t="s">
        <v>125</v>
      </c>
      <c r="E66" s="4" t="s">
        <v>65</v>
      </c>
      <c r="F66" s="3">
        <v>2.8892588043602629E-2</v>
      </c>
      <c r="G66" s="3">
        <v>2.8329308788466755E-2</v>
      </c>
      <c r="H66" s="3">
        <v>3.1819656371274409E-2</v>
      </c>
      <c r="I66" s="3">
        <v>2.989320821390341E-2</v>
      </c>
      <c r="J66" s="3">
        <v>3.3013264636733278E-2</v>
      </c>
      <c r="K66" s="3">
        <v>3.3135830795126872E-2</v>
      </c>
      <c r="L66" s="3">
        <v>3.4774662475232566E-2</v>
      </c>
      <c r="M66" s="3">
        <v>3.417974739297501E-2</v>
      </c>
      <c r="N66" s="3">
        <v>3.8293207543458288E-2</v>
      </c>
      <c r="O66" s="3">
        <v>3.4544866915647204E-2</v>
      </c>
      <c r="P66" s="3">
        <v>4.102848238318213E-2</v>
      </c>
      <c r="Q66" s="3">
        <v>3.590278073173396E-2</v>
      </c>
      <c r="R66" s="3">
        <v>4.3290724980076224E-2</v>
      </c>
      <c r="S66" s="3">
        <v>3.7959929011024782E-2</v>
      </c>
      <c r="T66" s="3">
        <v>4.4744417994947591E-2</v>
      </c>
      <c r="U66" s="3">
        <v>4.0652317576269623E-2</v>
      </c>
      <c r="V66" s="3">
        <v>4.6913480248590572E-2</v>
      </c>
      <c r="W66" s="3">
        <v>4.1850251791674661E-2</v>
      </c>
      <c r="X66" s="3">
        <v>5.0122262773781387E-2</v>
      </c>
      <c r="Y66" s="3">
        <v>4.4373228437165707E-2</v>
      </c>
      <c r="Z66" s="3">
        <v>5.3590145397651653E-2</v>
      </c>
      <c r="AA66" s="3">
        <v>5.4820686831295172E-2</v>
      </c>
      <c r="AB66" s="3">
        <v>6.0042504808221868E-2</v>
      </c>
      <c r="AC66" s="3">
        <v>6.3366638261812713E-2</v>
      </c>
      <c r="AD66" s="3">
        <v>6.5762272908770125E-2</v>
      </c>
      <c r="AE66" s="3">
        <v>7.3423160064546078E-2</v>
      </c>
      <c r="AF66" s="3">
        <v>7.6429679229339922E-2</v>
      </c>
      <c r="AG66" s="3">
        <v>7.5661021251319488E-2</v>
      </c>
      <c r="AH66" s="3">
        <v>8.9006290793609943E-2</v>
      </c>
      <c r="AI66" s="3">
        <v>7.8762463089604773E-2</v>
      </c>
      <c r="AJ66" s="3">
        <v>0.10999967860014292</v>
      </c>
      <c r="AK66" s="3">
        <v>0.1436933785039842</v>
      </c>
      <c r="AL66" s="3">
        <v>0.11117059404382648</v>
      </c>
    </row>
    <row r="67" spans="1:38" x14ac:dyDescent="0.35">
      <c r="A67" s="7">
        <v>43101</v>
      </c>
      <c r="B67" s="7">
        <v>43190</v>
      </c>
      <c r="C67" t="s">
        <v>128</v>
      </c>
      <c r="D67" t="s">
        <v>125</v>
      </c>
      <c r="E67" s="4" t="s">
        <v>66</v>
      </c>
      <c r="F67" s="3">
        <v>2.9816431623965196E-2</v>
      </c>
      <c r="G67" s="3">
        <v>2.9279758919457922E-2</v>
      </c>
      <c r="H67" s="3">
        <v>3.2808105309173163E-2</v>
      </c>
      <c r="I67" s="3">
        <v>3.0867113852875983E-2</v>
      </c>
      <c r="J67" s="3">
        <v>3.3985287884005622E-2</v>
      </c>
      <c r="K67" s="3">
        <v>3.4083926756475459E-2</v>
      </c>
      <c r="L67" s="3">
        <v>3.5760408681570016E-2</v>
      </c>
      <c r="M67" s="3">
        <v>3.5139345117331522E-2</v>
      </c>
      <c r="N67" s="3">
        <v>3.9274630476066413E-2</v>
      </c>
      <c r="O67" s="3">
        <v>3.5495680412953486E-2</v>
      </c>
      <c r="P67" s="3">
        <v>4.1990447680038123E-2</v>
      </c>
      <c r="Q67" s="3">
        <v>3.6867473360407806E-2</v>
      </c>
      <c r="R67" s="3">
        <v>4.4253792917843315E-2</v>
      </c>
      <c r="S67" s="3">
        <v>3.8932087503310356E-2</v>
      </c>
      <c r="T67" s="3">
        <v>4.566803628015266E-2</v>
      </c>
      <c r="U67" s="3">
        <v>4.159448869808742E-2</v>
      </c>
      <c r="V67" s="3">
        <v>4.785897994590714E-2</v>
      </c>
      <c r="W67" s="3">
        <v>4.2841963462791441E-2</v>
      </c>
      <c r="X67" s="3">
        <v>5.1025110373458443E-2</v>
      </c>
      <c r="Y67" s="3">
        <v>4.534952307876973E-2</v>
      </c>
      <c r="Z67" s="3">
        <v>5.4543861718213044E-2</v>
      </c>
      <c r="AA67" s="3">
        <v>5.5733705693309474E-2</v>
      </c>
      <c r="AB67" s="3">
        <v>6.0989763352759907E-2</v>
      </c>
      <c r="AC67" s="3">
        <v>6.4327036642431695E-2</v>
      </c>
      <c r="AD67" s="3">
        <v>6.6690749612420913E-2</v>
      </c>
      <c r="AE67" s="3">
        <v>7.4419860058073883E-2</v>
      </c>
      <c r="AF67" s="3">
        <v>7.7365926051764178E-2</v>
      </c>
      <c r="AG67" s="3">
        <v>7.6587901413566958E-2</v>
      </c>
      <c r="AH67" s="3">
        <v>8.9992861093754623E-2</v>
      </c>
      <c r="AI67" s="3">
        <v>7.9738964897950099E-2</v>
      </c>
      <c r="AJ67" s="3">
        <v>0.11092708483544281</v>
      </c>
      <c r="AK67" s="3">
        <v>0.14469048553650632</v>
      </c>
      <c r="AL67" s="3">
        <v>0.11208402769059558</v>
      </c>
    </row>
    <row r="68" spans="1:38" x14ac:dyDescent="0.35">
      <c r="A68" s="7">
        <v>43101</v>
      </c>
      <c r="B68" s="7">
        <v>43190</v>
      </c>
      <c r="C68" t="s">
        <v>128</v>
      </c>
      <c r="D68" t="s">
        <v>125</v>
      </c>
      <c r="E68" s="4">
        <v>3</v>
      </c>
      <c r="F68" s="3">
        <v>3.0809313229369591E-2</v>
      </c>
      <c r="G68" s="3">
        <v>3.0205970811349712E-2</v>
      </c>
      <c r="H68" s="3">
        <v>3.3799404111945874E-2</v>
      </c>
      <c r="I68" s="3">
        <v>3.1780618839001906E-2</v>
      </c>
      <c r="J68" s="3">
        <v>3.4927313185709304E-2</v>
      </c>
      <c r="K68" s="3">
        <v>3.5058551719849632E-2</v>
      </c>
      <c r="L68" s="3">
        <v>3.6707387777530492E-2</v>
      </c>
      <c r="M68" s="3">
        <v>3.6118831932959117E-2</v>
      </c>
      <c r="N68" s="3">
        <v>4.0197139208795252E-2</v>
      </c>
      <c r="O68" s="3">
        <v>3.6479170774394741E-2</v>
      </c>
      <c r="P68" s="3">
        <v>4.2981297683726244E-2</v>
      </c>
      <c r="Q68" s="3">
        <v>3.7781588451177517E-2</v>
      </c>
      <c r="R68" s="3">
        <v>4.5192268792738501E-2</v>
      </c>
      <c r="S68" s="3">
        <v>3.9930679296247287E-2</v>
      </c>
      <c r="T68" s="3">
        <v>4.6601194914300655E-2</v>
      </c>
      <c r="U68" s="3">
        <v>4.2497633796527712E-2</v>
      </c>
      <c r="V68" s="3">
        <v>4.8767134065234197E-2</v>
      </c>
      <c r="W68" s="3">
        <v>4.3762297852789872E-2</v>
      </c>
      <c r="X68" s="3">
        <v>5.1956300324280599E-2</v>
      </c>
      <c r="Y68" s="3">
        <v>4.6292246292781981E-2</v>
      </c>
      <c r="Z68" s="3">
        <v>5.5504517540770237E-2</v>
      </c>
      <c r="AA68" s="3">
        <v>5.6730320407891131E-2</v>
      </c>
      <c r="AB68" s="3">
        <v>6.1903407085099338E-2</v>
      </c>
      <c r="AC68" s="3">
        <v>6.5289714971796503E-2</v>
      </c>
      <c r="AD68" s="3">
        <v>6.7671491768077574E-2</v>
      </c>
      <c r="AE68" s="3">
        <v>7.532529956267843E-2</v>
      </c>
      <c r="AF68" s="3">
        <v>7.8270462377958913E-2</v>
      </c>
      <c r="AG68" s="3">
        <v>7.7507018551669832E-2</v>
      </c>
      <c r="AH68" s="3">
        <v>9.092020182488339E-2</v>
      </c>
      <c r="AI68" s="3">
        <v>8.0656346334527174E-2</v>
      </c>
      <c r="AJ68" s="3">
        <v>0.11183415501933933</v>
      </c>
      <c r="AK68" s="3">
        <v>0.14563667660339871</v>
      </c>
      <c r="AL68" s="3">
        <v>0.11298752626621517</v>
      </c>
    </row>
    <row r="69" spans="1:38" x14ac:dyDescent="0.35">
      <c r="A69" s="7">
        <v>43101</v>
      </c>
      <c r="B69" s="7">
        <v>43190</v>
      </c>
      <c r="C69" t="s">
        <v>128</v>
      </c>
      <c r="D69" t="s">
        <v>125</v>
      </c>
      <c r="E69" s="4" t="s">
        <v>67</v>
      </c>
      <c r="F69" s="3">
        <v>3.1758338673687735E-2</v>
      </c>
      <c r="G69" s="3">
        <v>3.1114066860379219E-2</v>
      </c>
      <c r="H69" s="3">
        <v>3.4734961535117334E-2</v>
      </c>
      <c r="I69" s="3">
        <v>3.2716483633118978E-2</v>
      </c>
      <c r="J69" s="3">
        <v>3.5846367426793313E-2</v>
      </c>
      <c r="K69" s="3">
        <v>3.6010486371479272E-2</v>
      </c>
      <c r="L69" s="3">
        <v>3.7665024302281878E-2</v>
      </c>
      <c r="M69" s="3">
        <v>3.7085829953676569E-2</v>
      </c>
      <c r="N69" s="3">
        <v>4.1100322924584064E-2</v>
      </c>
      <c r="O69" s="3">
        <v>3.7446438544002564E-2</v>
      </c>
      <c r="P69" s="3">
        <v>4.3887358319701072E-2</v>
      </c>
      <c r="Q69" s="3">
        <v>3.8705992518516544E-2</v>
      </c>
      <c r="R69" s="3">
        <v>4.6104972754014865E-2</v>
      </c>
      <c r="S69" s="3">
        <v>4.0890796136354192E-2</v>
      </c>
      <c r="T69" s="3">
        <v>4.7517306360080142E-2</v>
      </c>
      <c r="U69" s="3">
        <v>4.3481023873773617E-2</v>
      </c>
      <c r="V69" s="3">
        <v>4.9733842563750845E-2</v>
      </c>
      <c r="W69" s="3">
        <v>4.4669938527937061E-2</v>
      </c>
      <c r="X69" s="3">
        <v>5.287578028254647E-2</v>
      </c>
      <c r="Y69" s="3">
        <v>4.7260285664062859E-2</v>
      </c>
      <c r="Z69" s="3">
        <v>5.6447037965201674E-2</v>
      </c>
      <c r="AA69" s="3">
        <v>5.768192984896605E-2</v>
      </c>
      <c r="AB69" s="3">
        <v>6.2820791014653321E-2</v>
      </c>
      <c r="AC69" s="3">
        <v>6.6225848263291698E-2</v>
      </c>
      <c r="AD69" s="3">
        <v>6.8575165230735008E-2</v>
      </c>
      <c r="AE69" s="3">
        <v>7.6305686528439109E-2</v>
      </c>
      <c r="AF69" s="3">
        <v>7.9233725413743877E-2</v>
      </c>
      <c r="AG69" s="3">
        <v>7.848281595435852E-2</v>
      </c>
      <c r="AH69" s="3">
        <v>9.1849924185783416E-2</v>
      </c>
      <c r="AI69" s="3">
        <v>8.1643603818231325E-2</v>
      </c>
      <c r="AJ69" s="3">
        <v>0.11279284637867448</v>
      </c>
      <c r="AK69" s="3">
        <v>0.14663408093916622</v>
      </c>
      <c r="AL69" s="3">
        <v>0.11395296391268561</v>
      </c>
    </row>
    <row r="70" spans="1:38" x14ac:dyDescent="0.35">
      <c r="A70" s="7">
        <v>43101</v>
      </c>
      <c r="B70" s="7">
        <v>43190</v>
      </c>
      <c r="C70" t="s">
        <v>128</v>
      </c>
      <c r="D70" t="s">
        <v>125</v>
      </c>
      <c r="E70" s="4" t="s">
        <v>68</v>
      </c>
      <c r="F70" s="3">
        <v>3.2739197622021779E-2</v>
      </c>
      <c r="G70" s="3">
        <v>3.204011238399887E-2</v>
      </c>
      <c r="H70" s="3">
        <v>3.5642241261176211E-2</v>
      </c>
      <c r="I70" s="3">
        <v>3.3708017045777729E-2</v>
      </c>
      <c r="J70" s="3">
        <v>3.6757571708418507E-2</v>
      </c>
      <c r="K70" s="3">
        <v>3.6966037413180705E-2</v>
      </c>
      <c r="L70" s="3">
        <v>3.8653307044733312E-2</v>
      </c>
      <c r="M70" s="3">
        <v>3.8027658446906205E-2</v>
      </c>
      <c r="N70" s="3">
        <v>4.2007721087298888E-2</v>
      </c>
      <c r="O70" s="3">
        <v>3.8405401536441369E-2</v>
      </c>
      <c r="P70" s="3">
        <v>4.4876462331655487E-2</v>
      </c>
      <c r="Q70" s="3">
        <v>3.9671343263786907E-2</v>
      </c>
      <c r="R70" s="3">
        <v>4.7034383018163428E-2</v>
      </c>
      <c r="S70" s="3">
        <v>4.1820873196983938E-2</v>
      </c>
      <c r="T70" s="3">
        <v>4.8433727451292763E-2</v>
      </c>
      <c r="U70" s="3">
        <v>4.4477800013649864E-2</v>
      </c>
      <c r="V70" s="3">
        <v>5.0709102113335694E-2</v>
      </c>
      <c r="W70" s="3">
        <v>4.5657989214654485E-2</v>
      </c>
      <c r="X70" s="3">
        <v>5.3801267945788961E-2</v>
      </c>
      <c r="Y70" s="3">
        <v>4.82076991944278E-2</v>
      </c>
      <c r="Z70" s="3">
        <v>5.7390312450374542E-2</v>
      </c>
      <c r="AA70" s="3">
        <v>5.8653090535508351E-2</v>
      </c>
      <c r="AB70" s="3">
        <v>6.3781201174315114E-2</v>
      </c>
      <c r="AC70" s="3">
        <v>6.7188469893734448E-2</v>
      </c>
      <c r="AD70" s="3">
        <v>6.9480376542508604E-2</v>
      </c>
      <c r="AE70" s="3">
        <v>7.7223518133722274E-2</v>
      </c>
      <c r="AF70" s="3">
        <v>8.0186289388047005E-2</v>
      </c>
      <c r="AG70" s="3">
        <v>7.9406298040132633E-2</v>
      </c>
      <c r="AH70" s="3">
        <v>9.2754335980998137E-2</v>
      </c>
      <c r="AI70" s="3">
        <v>8.2604606311731985E-2</v>
      </c>
      <c r="AJ70" s="3">
        <v>0.11377346034366118</v>
      </c>
      <c r="AK70" s="3">
        <v>0.147582909636502</v>
      </c>
      <c r="AL70" s="3">
        <v>0.11490085140852593</v>
      </c>
    </row>
    <row r="71" spans="1:38" x14ac:dyDescent="0.35">
      <c r="A71" s="7">
        <v>43101</v>
      </c>
      <c r="B71" s="7">
        <v>43190</v>
      </c>
      <c r="C71" t="s">
        <v>128</v>
      </c>
      <c r="D71" t="s">
        <v>125</v>
      </c>
      <c r="E71" s="4">
        <v>4</v>
      </c>
      <c r="F71" s="3">
        <v>3.3687111852765121E-2</v>
      </c>
      <c r="G71" s="3">
        <v>3.2955135834473626E-2</v>
      </c>
      <c r="H71" s="3">
        <v>3.6574657158047516E-2</v>
      </c>
      <c r="I71" s="3">
        <v>3.4649488595937111E-2</v>
      </c>
      <c r="J71" s="3">
        <v>3.772864995011424E-2</v>
      </c>
      <c r="K71" s="3">
        <v>3.7933984380575964E-2</v>
      </c>
      <c r="L71" s="3">
        <v>3.9600776368188248E-2</v>
      </c>
      <c r="M71" s="3">
        <v>3.8930131542778523E-2</v>
      </c>
      <c r="N71" s="3">
        <v>4.2946966069131613E-2</v>
      </c>
      <c r="O71" s="3">
        <v>3.9338873967426635E-2</v>
      </c>
      <c r="P71" s="3">
        <v>4.5856967046642348E-2</v>
      </c>
      <c r="Q71" s="3">
        <v>4.0664872848888506E-2</v>
      </c>
      <c r="R71" s="3">
        <v>4.7977525764767104E-2</v>
      </c>
      <c r="S71" s="3">
        <v>4.2791025093767296E-2</v>
      </c>
      <c r="T71" s="3">
        <v>4.9378022305578265E-2</v>
      </c>
      <c r="U71" s="3">
        <v>4.5468649631014296E-2</v>
      </c>
      <c r="V71" s="3">
        <v>5.1666048141618875E-2</v>
      </c>
      <c r="W71" s="3">
        <v>4.6580033371126338E-2</v>
      </c>
      <c r="X71" s="3">
        <v>5.4741895793428759E-2</v>
      </c>
      <c r="Y71" s="3">
        <v>4.9140618258473628E-2</v>
      </c>
      <c r="Z71" s="3">
        <v>5.8390188726632125E-2</v>
      </c>
      <c r="AA71" s="3">
        <v>5.9575139555686149E-2</v>
      </c>
      <c r="AB71" s="3">
        <v>6.4705172164359753E-2</v>
      </c>
      <c r="AC71" s="3">
        <v>6.8171971954915603E-2</v>
      </c>
      <c r="AD71" s="3">
        <v>7.0385210637260109E-2</v>
      </c>
      <c r="AE71" s="3">
        <v>7.8193441864314983E-2</v>
      </c>
      <c r="AF71" s="3">
        <v>8.1117816364555242E-2</v>
      </c>
      <c r="AG71" s="3">
        <v>8.034893925123901E-2</v>
      </c>
      <c r="AH71" s="3">
        <v>9.3749052053499315E-2</v>
      </c>
      <c r="AI71" s="3">
        <v>8.3571938732369372E-2</v>
      </c>
      <c r="AJ71" s="3">
        <v>0.11471542279930774</v>
      </c>
      <c r="AK71" s="3">
        <v>0.14856655400287083</v>
      </c>
      <c r="AL71" s="3">
        <v>0.11581786190012677</v>
      </c>
    </row>
    <row r="72" spans="1:38" x14ac:dyDescent="0.35">
      <c r="A72" s="7">
        <v>43101</v>
      </c>
      <c r="B72" s="7">
        <v>43190</v>
      </c>
      <c r="C72" t="s">
        <v>128</v>
      </c>
      <c r="D72" t="s">
        <v>125</v>
      </c>
      <c r="E72" s="4" t="s">
        <v>69</v>
      </c>
      <c r="F72" s="3">
        <v>3.4663340664242072E-2</v>
      </c>
      <c r="G72" s="3">
        <v>3.3856784187710133E-2</v>
      </c>
      <c r="H72" s="3">
        <v>3.7516670482588145E-2</v>
      </c>
      <c r="I72" s="3">
        <v>3.5613877354440146E-2</v>
      </c>
      <c r="J72" s="3">
        <v>3.8665005216227524E-2</v>
      </c>
      <c r="K72" s="3">
        <v>3.8896986844783432E-2</v>
      </c>
      <c r="L72" s="3">
        <v>4.0517567647322297E-2</v>
      </c>
      <c r="M72" s="3">
        <v>3.9913898212994445E-2</v>
      </c>
      <c r="N72" s="3">
        <v>4.3902640946801172E-2</v>
      </c>
      <c r="O72" s="3">
        <v>4.0285534809126985E-2</v>
      </c>
      <c r="P72" s="3">
        <v>4.6782291759152266E-2</v>
      </c>
      <c r="Q72" s="3">
        <v>4.1628695589264145E-2</v>
      </c>
      <c r="R72" s="3">
        <v>4.8914459651524841E-2</v>
      </c>
      <c r="S72" s="3">
        <v>4.3763060110870458E-2</v>
      </c>
      <c r="T72" s="3">
        <v>5.0316843693128624E-2</v>
      </c>
      <c r="U72" s="3">
        <v>4.6445309033417467E-2</v>
      </c>
      <c r="V72" s="3">
        <v>5.2583538133656127E-2</v>
      </c>
      <c r="W72" s="3">
        <v>4.7500495259273384E-2</v>
      </c>
      <c r="X72" s="3">
        <v>5.573055777351936E-2</v>
      </c>
      <c r="Y72" s="3">
        <v>5.0049873203161496E-2</v>
      </c>
      <c r="Z72" s="3">
        <v>5.9380516132835015E-2</v>
      </c>
      <c r="AA72" s="3">
        <v>6.0536616039588889E-2</v>
      </c>
      <c r="AB72" s="3">
        <v>6.5674492333929996E-2</v>
      </c>
      <c r="AC72" s="3">
        <v>6.9144902683848125E-2</v>
      </c>
      <c r="AD72" s="3">
        <v>7.1289604606180168E-2</v>
      </c>
      <c r="AE72" s="3">
        <v>7.9180960165628242E-2</v>
      </c>
      <c r="AF72" s="3">
        <v>8.2053919066883002E-2</v>
      </c>
      <c r="AG72" s="3">
        <v>8.1257482062810915E-2</v>
      </c>
      <c r="AH72" s="3">
        <v>9.4699819231343879E-2</v>
      </c>
      <c r="AI72" s="3">
        <v>8.4562776545488702E-2</v>
      </c>
      <c r="AJ72" s="3">
        <v>0.11570780016976628</v>
      </c>
      <c r="AK72" s="3">
        <v>0.14951313615786119</v>
      </c>
      <c r="AL72" s="3">
        <v>0.11673276764506546</v>
      </c>
    </row>
    <row r="73" spans="1:38" x14ac:dyDescent="0.35">
      <c r="A73" s="7">
        <v>43101</v>
      </c>
      <c r="B73" s="7">
        <v>43190</v>
      </c>
      <c r="C73" t="s">
        <v>128</v>
      </c>
      <c r="D73" t="s">
        <v>125</v>
      </c>
      <c r="E73" s="4" t="s">
        <v>70</v>
      </c>
      <c r="F73" s="3">
        <v>3.5615006950827519E-2</v>
      </c>
      <c r="G73" s="3">
        <v>3.4762917695688955E-2</v>
      </c>
      <c r="H73" s="3">
        <v>3.8502258168549956E-2</v>
      </c>
      <c r="I73" s="3">
        <v>3.6532143139689069E-2</v>
      </c>
      <c r="J73" s="3">
        <v>3.961025300053797E-2</v>
      </c>
      <c r="K73" s="3">
        <v>3.987124363395457E-2</v>
      </c>
      <c r="L73" s="3">
        <v>4.1506458227018359E-2</v>
      </c>
      <c r="M73" s="3">
        <v>4.0822139340595885E-2</v>
      </c>
      <c r="N73" s="3">
        <v>4.4879240678301117E-2</v>
      </c>
      <c r="O73" s="3">
        <v>4.1241603607676744E-2</v>
      </c>
      <c r="P73" s="3">
        <v>4.7699213581187005E-2</v>
      </c>
      <c r="Q73" s="3">
        <v>4.2624472251490894E-2</v>
      </c>
      <c r="R73" s="3">
        <v>4.9870656963362826E-2</v>
      </c>
      <c r="S73" s="3">
        <v>4.4729596604833867E-2</v>
      </c>
      <c r="T73" s="3">
        <v>5.1228818340475296E-2</v>
      </c>
      <c r="U73" s="3">
        <v>4.7352468210182241E-2</v>
      </c>
      <c r="V73" s="3">
        <v>5.3513458477405226E-2</v>
      </c>
      <c r="W73" s="3">
        <v>4.8496463931347891E-2</v>
      </c>
      <c r="X73" s="3">
        <v>5.6710259660029051E-2</v>
      </c>
      <c r="Y73" s="3">
        <v>5.1007331566039357E-2</v>
      </c>
      <c r="Z73" s="3">
        <v>6.0298731543727932E-2</v>
      </c>
      <c r="AA73" s="3">
        <v>6.1467788080590162E-2</v>
      </c>
      <c r="AB73" s="3">
        <v>6.6609447758682522E-2</v>
      </c>
      <c r="AC73" s="3">
        <v>7.0068521925419874E-2</v>
      </c>
      <c r="AD73" s="3">
        <v>7.2195598965229257E-2</v>
      </c>
      <c r="AE73" s="3">
        <v>8.0159910045503074E-2</v>
      </c>
      <c r="AF73" s="3">
        <v>8.3012610411531934E-2</v>
      </c>
      <c r="AG73" s="3">
        <v>8.2181077966933219E-2</v>
      </c>
      <c r="AH73" s="3">
        <v>9.5688238977401224E-2</v>
      </c>
      <c r="AI73" s="3">
        <v>8.5478159208486032E-2</v>
      </c>
      <c r="AJ73" s="3">
        <v>0.11661490997768822</v>
      </c>
      <c r="AK73" s="3">
        <v>0.15043690456744629</v>
      </c>
      <c r="AL73" s="3">
        <v>0.11771679418624389</v>
      </c>
    </row>
    <row r="74" spans="1:38" x14ac:dyDescent="0.35">
      <c r="A74" s="7">
        <v>43101</v>
      </c>
      <c r="B74" s="7">
        <v>43190</v>
      </c>
      <c r="C74" t="s">
        <v>128</v>
      </c>
      <c r="D74" t="s">
        <v>125</v>
      </c>
      <c r="E74" s="4">
        <v>5</v>
      </c>
      <c r="F74" s="3">
        <v>3.6537034616341946E-2</v>
      </c>
      <c r="G74" s="3">
        <v>3.5701871493965601E-2</v>
      </c>
      <c r="H74" s="3">
        <v>3.9445141600718853E-2</v>
      </c>
      <c r="I74" s="3">
        <v>3.7501354570931678E-2</v>
      </c>
      <c r="J74" s="3">
        <v>4.058716207653211E-2</v>
      </c>
      <c r="K74" s="3">
        <v>4.0857435763598307E-2</v>
      </c>
      <c r="L74" s="3">
        <v>4.2430411032710391E-2</v>
      </c>
      <c r="M74" s="3">
        <v>4.1758382469180053E-2</v>
      </c>
      <c r="N74" s="3">
        <v>4.5798630295579262E-2</v>
      </c>
      <c r="O74" s="3">
        <v>4.2204003559376604E-2</v>
      </c>
      <c r="P74" s="3">
        <v>4.8607872187442724E-2</v>
      </c>
      <c r="Q74" s="3">
        <v>4.3617434133182267E-2</v>
      </c>
      <c r="R74" s="3">
        <v>5.0787960327398796E-2</v>
      </c>
      <c r="S74" s="3">
        <v>4.5703405383414303E-2</v>
      </c>
      <c r="T74" s="3">
        <v>5.2149752994239303E-2</v>
      </c>
      <c r="U74" s="3">
        <v>4.8294855162885612E-2</v>
      </c>
      <c r="V74" s="3">
        <v>5.444515893877095E-2</v>
      </c>
      <c r="W74" s="3">
        <v>4.9435172399565144E-2</v>
      </c>
      <c r="X74" s="3">
        <v>5.7687938236702895E-2</v>
      </c>
      <c r="Y74" s="3">
        <v>5.1914191192636461E-2</v>
      </c>
      <c r="Z74" s="3">
        <v>6.1274350429703736E-2</v>
      </c>
      <c r="AA74" s="3">
        <v>6.2416623636127197E-2</v>
      </c>
      <c r="AB74" s="3">
        <v>6.7529849427629185E-2</v>
      </c>
      <c r="AC74" s="3">
        <v>7.1045960511612785E-2</v>
      </c>
      <c r="AD74" s="3">
        <v>7.312898886104055E-2</v>
      </c>
      <c r="AE74" s="3">
        <v>8.109584506138276E-2</v>
      </c>
      <c r="AF74" s="3">
        <v>8.3952002646676113E-2</v>
      </c>
      <c r="AG74" s="3">
        <v>8.3096016217194396E-2</v>
      </c>
      <c r="AH74" s="3">
        <v>9.663786526438084E-2</v>
      </c>
      <c r="AI74" s="3">
        <v>8.643913647029039E-2</v>
      </c>
      <c r="AJ74" s="3">
        <v>0.11755517391392323</v>
      </c>
      <c r="AK74" s="3">
        <v>0.15137465627533181</v>
      </c>
      <c r="AL74" s="3">
        <v>0.11863023727481434</v>
      </c>
    </row>
    <row r="75" spans="1:38" x14ac:dyDescent="0.35">
      <c r="A75" s="7">
        <v>43101</v>
      </c>
      <c r="B75" s="7">
        <v>43190</v>
      </c>
      <c r="C75" t="s">
        <v>128</v>
      </c>
      <c r="D75" t="s">
        <v>125</v>
      </c>
      <c r="E75" s="4" t="s">
        <v>71</v>
      </c>
      <c r="F75" s="3">
        <v>3.7452247532993511E-2</v>
      </c>
      <c r="G75" s="3">
        <v>3.6654426749807151E-2</v>
      </c>
      <c r="H75" s="3">
        <v>4.0363432166752956E-2</v>
      </c>
      <c r="I75" s="3">
        <v>3.8483817499054614E-2</v>
      </c>
      <c r="J75" s="3">
        <v>4.1515522119146914E-2</v>
      </c>
      <c r="K75" s="3">
        <v>4.1823752741559958E-2</v>
      </c>
      <c r="L75" s="3">
        <v>4.3378703526991809E-2</v>
      </c>
      <c r="M75" s="3">
        <v>4.2729505019661454E-2</v>
      </c>
      <c r="N75" s="3">
        <v>4.6743765763705467E-2</v>
      </c>
      <c r="O75" s="3">
        <v>4.3147549646481917E-2</v>
      </c>
      <c r="P75" s="3">
        <v>4.9550369849464024E-2</v>
      </c>
      <c r="Q75" s="3">
        <v>4.4553807159928724E-2</v>
      </c>
      <c r="R75" s="3">
        <v>5.1760856877947639E-2</v>
      </c>
      <c r="S75" s="3">
        <v>4.6632661459234698E-2</v>
      </c>
      <c r="T75" s="3">
        <v>5.3146085451574461E-2</v>
      </c>
      <c r="U75" s="3">
        <v>4.9256183992917528E-2</v>
      </c>
      <c r="V75" s="3">
        <v>5.5377722287246613E-2</v>
      </c>
      <c r="W75" s="3">
        <v>5.0363475537645863E-2</v>
      </c>
      <c r="X75" s="3">
        <v>5.8639852635564364E-2</v>
      </c>
      <c r="Y75" s="3">
        <v>5.2890286602368899E-2</v>
      </c>
      <c r="Z75" s="3">
        <v>6.2238787352116499E-2</v>
      </c>
      <c r="AA75" s="3">
        <v>6.3342734437073861E-2</v>
      </c>
      <c r="AB75" s="3">
        <v>6.8497644430090959E-2</v>
      </c>
      <c r="AC75" s="3">
        <v>7.1991828499182509E-2</v>
      </c>
      <c r="AD75" s="3">
        <v>7.4106986994260965E-2</v>
      </c>
      <c r="AE75" s="3">
        <v>8.1996109513219118E-2</v>
      </c>
      <c r="AF75" s="3">
        <v>8.494434711940485E-2</v>
      </c>
      <c r="AG75" s="3">
        <v>8.402457626539514E-2</v>
      </c>
      <c r="AH75" s="3">
        <v>9.7586131170948859E-2</v>
      </c>
      <c r="AI75" s="3">
        <v>8.735600796459006E-2</v>
      </c>
      <c r="AJ75" s="3">
        <v>0.11849176413878909</v>
      </c>
      <c r="AK75" s="3">
        <v>0.15233627909692013</v>
      </c>
      <c r="AL75" s="3">
        <v>0.11962032111917292</v>
      </c>
    </row>
    <row r="76" spans="1:38" x14ac:dyDescent="0.35">
      <c r="A76" s="7">
        <v>43101</v>
      </c>
      <c r="B76" s="7">
        <v>43190</v>
      </c>
      <c r="C76" t="s">
        <v>128</v>
      </c>
      <c r="D76" t="s">
        <v>125</v>
      </c>
      <c r="E76" s="4" t="s">
        <v>72</v>
      </c>
      <c r="F76" s="3">
        <v>3.8450044671522951E-2</v>
      </c>
      <c r="G76" s="3">
        <v>3.759738223377123E-2</v>
      </c>
      <c r="H76" s="3">
        <v>4.1342643582357917E-2</v>
      </c>
      <c r="I76" s="3">
        <v>3.9385083984993949E-2</v>
      </c>
      <c r="J76" s="3">
        <v>4.2439457241266826E-2</v>
      </c>
      <c r="K76" s="3">
        <v>4.2751167672111456E-2</v>
      </c>
      <c r="L76" s="3">
        <v>4.4302334066026031E-2</v>
      </c>
      <c r="M76" s="3">
        <v>4.3652328412065011E-2</v>
      </c>
      <c r="N76" s="3">
        <v>4.7725725299334887E-2</v>
      </c>
      <c r="O76" s="3">
        <v>4.4140423901663062E-2</v>
      </c>
      <c r="P76" s="3">
        <v>5.0457192690454407E-2</v>
      </c>
      <c r="Q76" s="3">
        <v>4.5480456218301685E-2</v>
      </c>
      <c r="R76" s="3">
        <v>5.2759113026973642E-2</v>
      </c>
      <c r="S76" s="3">
        <v>4.7599621500819395E-2</v>
      </c>
      <c r="T76" s="3">
        <v>5.4079397101071791E-2</v>
      </c>
      <c r="U76" s="3">
        <v>5.0217342664606347E-2</v>
      </c>
      <c r="V76" s="3">
        <v>5.6302257703269833E-2</v>
      </c>
      <c r="W76" s="3">
        <v>5.1357885367248682E-2</v>
      </c>
      <c r="X76" s="3">
        <v>5.9636155423697962E-2</v>
      </c>
      <c r="Y76" s="3">
        <v>5.3804233856917433E-2</v>
      </c>
      <c r="Z76" s="3">
        <v>6.3147907091145455E-2</v>
      </c>
      <c r="AA76" s="3">
        <v>6.4309724026127169E-2</v>
      </c>
      <c r="AB76" s="3">
        <v>6.9488798515799477E-2</v>
      </c>
      <c r="AC76" s="3">
        <v>7.2929846198278442E-2</v>
      </c>
      <c r="AD76" s="3">
        <v>7.508860820571106E-2</v>
      </c>
      <c r="AE76" s="3">
        <v>8.2913454609532256E-2</v>
      </c>
      <c r="AF76" s="3">
        <v>8.5888516304205159E-2</v>
      </c>
      <c r="AG76" s="3">
        <v>8.4967069472016529E-2</v>
      </c>
      <c r="AH76" s="3">
        <v>9.8548762409441132E-2</v>
      </c>
      <c r="AI76" s="3">
        <v>8.826572047558609E-2</v>
      </c>
      <c r="AJ76" s="3">
        <v>0.11942309530034587</v>
      </c>
      <c r="AK76" s="3">
        <v>0.15324715508668146</v>
      </c>
      <c r="AL76" s="3">
        <v>0.12059960676243339</v>
      </c>
    </row>
    <row r="77" spans="1:38" x14ac:dyDescent="0.35">
      <c r="A77" s="7">
        <v>43101</v>
      </c>
      <c r="B77" s="7">
        <v>43190</v>
      </c>
      <c r="C77" t="s">
        <v>128</v>
      </c>
      <c r="D77" t="s">
        <v>125</v>
      </c>
      <c r="E77" s="4">
        <v>6</v>
      </c>
      <c r="F77" s="3">
        <v>3.9354710843880238E-2</v>
      </c>
      <c r="G77" s="3">
        <v>3.851430046631589E-2</v>
      </c>
      <c r="H77" s="3">
        <v>4.2340015876603174E-2</v>
      </c>
      <c r="I77" s="3">
        <v>4.0287553075633288E-2</v>
      </c>
      <c r="J77" s="3">
        <v>4.3343677994122684E-2</v>
      </c>
      <c r="K77" s="3">
        <v>4.3711866595613345E-2</v>
      </c>
      <c r="L77" s="3">
        <v>4.5205108654712542E-2</v>
      </c>
      <c r="M77" s="3">
        <v>4.4600622392565029E-2</v>
      </c>
      <c r="N77" s="3">
        <v>4.8686311833625706E-2</v>
      </c>
      <c r="O77" s="3">
        <v>4.513277406792876E-2</v>
      </c>
      <c r="P77" s="3">
        <v>5.1358899286446991E-2</v>
      </c>
      <c r="Q77" s="3">
        <v>4.6464201327189189E-2</v>
      </c>
      <c r="R77" s="3">
        <v>5.3697114376885582E-2</v>
      </c>
      <c r="S77" s="3">
        <v>4.8529621074183446E-2</v>
      </c>
      <c r="T77" s="3">
        <v>5.5015743625293941E-2</v>
      </c>
      <c r="U77" s="3">
        <v>5.1216862234903307E-2</v>
      </c>
      <c r="V77" s="3">
        <v>5.7300735763207461E-2</v>
      </c>
      <c r="W77" s="3">
        <v>5.2262787163677035E-2</v>
      </c>
      <c r="X77" s="3">
        <v>6.0613698340490851E-2</v>
      </c>
      <c r="Y77" s="3">
        <v>5.4734757929811612E-2</v>
      </c>
      <c r="Z77" s="3">
        <v>6.4087418767790727E-2</v>
      </c>
      <c r="AA77" s="3">
        <v>6.5306843346533056E-2</v>
      </c>
      <c r="AB77" s="3">
        <v>7.0420502837275467E-2</v>
      </c>
      <c r="AC77" s="3">
        <v>7.3884595950778495E-2</v>
      </c>
      <c r="AD77" s="3">
        <v>7.6050407256270186E-2</v>
      </c>
      <c r="AE77" s="3">
        <v>8.3893066680813283E-2</v>
      </c>
      <c r="AF77" s="3">
        <v>8.6864382115662553E-2</v>
      </c>
      <c r="AG77" s="3">
        <v>8.5938529481590475E-2</v>
      </c>
      <c r="AH77" s="3">
        <v>9.9491883015531885E-2</v>
      </c>
      <c r="AI77" s="3">
        <v>8.9234623648672851E-2</v>
      </c>
      <c r="AJ77" s="3">
        <v>0.12035782494668729</v>
      </c>
      <c r="AK77" s="3">
        <v>0.1541501469799699</v>
      </c>
      <c r="AL77" s="3">
        <v>0.12155080099179458</v>
      </c>
    </row>
    <row r="78" spans="1:38" x14ac:dyDescent="0.35">
      <c r="A78" s="7">
        <v>43101</v>
      </c>
      <c r="B78" s="7">
        <v>43190</v>
      </c>
      <c r="C78" t="s">
        <v>128</v>
      </c>
      <c r="D78" t="s">
        <v>125</v>
      </c>
      <c r="E78" s="4" t="s">
        <v>73</v>
      </c>
      <c r="F78" s="3">
        <v>4.0312982379720072E-2</v>
      </c>
      <c r="G78" s="3">
        <v>3.9470863826427657E-2</v>
      </c>
      <c r="H78" s="3">
        <v>4.3272189463267365E-2</v>
      </c>
      <c r="I78" s="3">
        <v>4.1251364017709527E-2</v>
      </c>
      <c r="J78" s="3">
        <v>4.4343484503988229E-2</v>
      </c>
      <c r="K78" s="3">
        <v>4.469134201961851E-2</v>
      </c>
      <c r="L78" s="3">
        <v>4.616261233902301E-2</v>
      </c>
      <c r="M78" s="3">
        <v>4.5555545551511263E-2</v>
      </c>
      <c r="N78" s="3">
        <v>4.9618632179344743E-2</v>
      </c>
      <c r="O78" s="3">
        <v>4.6106025837637676E-2</v>
      </c>
      <c r="P78" s="3">
        <v>5.2346096550348664E-2</v>
      </c>
      <c r="Q78" s="3">
        <v>4.7377473187230706E-2</v>
      </c>
      <c r="R78" s="3">
        <v>5.4660540987732847E-2</v>
      </c>
      <c r="S78" s="3">
        <v>4.9450464703823915E-2</v>
      </c>
      <c r="T78" s="3">
        <v>5.5969993380739845E-2</v>
      </c>
      <c r="U78" s="3">
        <v>5.2159888659726594E-2</v>
      </c>
      <c r="V78" s="3">
        <v>5.825820570646436E-2</v>
      </c>
      <c r="W78" s="3">
        <v>5.3245864887336611E-2</v>
      </c>
      <c r="X78" s="3">
        <v>6.1565189098086059E-2</v>
      </c>
      <c r="Y78" s="3">
        <v>5.5693615381737824E-2</v>
      </c>
      <c r="Z78" s="3">
        <v>6.5085669834437115E-2</v>
      </c>
      <c r="AA78" s="3">
        <v>6.6226053950022679E-2</v>
      </c>
      <c r="AB78" s="3">
        <v>7.1387327504087467E-2</v>
      </c>
      <c r="AC78" s="3">
        <v>7.4850499388342873E-2</v>
      </c>
      <c r="AD78" s="3">
        <v>7.6995541721114058E-2</v>
      </c>
      <c r="AE78" s="3">
        <v>8.4813620383519556E-2</v>
      </c>
      <c r="AF78" s="3">
        <v>8.7833211364047287E-2</v>
      </c>
      <c r="AG78" s="3">
        <v>8.6856344163987464E-2</v>
      </c>
      <c r="AH78" s="3">
        <v>0.10040720305528478</v>
      </c>
      <c r="AI78" s="3">
        <v>9.0160503509014361E-2</v>
      </c>
      <c r="AJ78" s="3">
        <v>0.12130359887892328</v>
      </c>
      <c r="AK78" s="3">
        <v>0.15511849031913039</v>
      </c>
      <c r="AL78" s="3">
        <v>0.12246881254756178</v>
      </c>
    </row>
    <row r="79" spans="1:38" x14ac:dyDescent="0.35">
      <c r="A79" s="7">
        <v>43101</v>
      </c>
      <c r="B79" s="7">
        <v>43190</v>
      </c>
      <c r="C79" t="s">
        <v>128</v>
      </c>
      <c r="D79" t="s">
        <v>125</v>
      </c>
      <c r="E79" s="4" t="s">
        <v>74</v>
      </c>
      <c r="F79" s="3">
        <v>4.1290655936053605E-2</v>
      </c>
      <c r="G79" s="3">
        <v>4.0415482453008578E-2</v>
      </c>
      <c r="H79" s="3">
        <v>4.4192327521774252E-2</v>
      </c>
      <c r="I79" s="3">
        <v>4.2167024517393376E-2</v>
      </c>
      <c r="J79" s="3">
        <v>4.5298200600403266E-2</v>
      </c>
      <c r="K79" s="3">
        <v>4.5669033421348502E-2</v>
      </c>
      <c r="L79" s="3">
        <v>4.7106092157626928E-2</v>
      </c>
      <c r="M79" s="3">
        <v>4.6545130551937472E-2</v>
      </c>
      <c r="N79" s="3">
        <v>5.0578105083387996E-2</v>
      </c>
      <c r="O79" s="3">
        <v>4.7041206075774278E-2</v>
      </c>
      <c r="P79" s="3">
        <v>5.327222274277485E-2</v>
      </c>
      <c r="Q79" s="3">
        <v>4.8288973979576766E-2</v>
      </c>
      <c r="R79" s="3">
        <v>5.5609713962831181E-2</v>
      </c>
      <c r="S79" s="3">
        <v>5.0423367860062088E-2</v>
      </c>
      <c r="T79" s="3">
        <v>5.6900284765182829E-2</v>
      </c>
      <c r="U79" s="3">
        <v>5.3116043510631934E-2</v>
      </c>
      <c r="V79" s="3">
        <v>5.9186005067337316E-2</v>
      </c>
      <c r="W79" s="3">
        <v>5.4200134180994543E-2</v>
      </c>
      <c r="X79" s="3">
        <v>6.2472847689605308E-2</v>
      </c>
      <c r="Y79" s="3">
        <v>5.6598365149331156E-2</v>
      </c>
      <c r="Z79" s="3">
        <v>6.6011640450528097E-2</v>
      </c>
      <c r="AA79" s="3">
        <v>6.7220768312793527E-2</v>
      </c>
      <c r="AB79" s="3">
        <v>7.2295568211983768E-2</v>
      </c>
      <c r="AC79" s="3">
        <v>7.5817523142215126E-2</v>
      </c>
      <c r="AD79" s="3">
        <v>7.7934228027242786E-2</v>
      </c>
      <c r="AE79" s="3">
        <v>8.574256969342442E-2</v>
      </c>
      <c r="AF79" s="3">
        <v>8.8746419203997562E-2</v>
      </c>
      <c r="AG79" s="3">
        <v>8.7804327105100027E-2</v>
      </c>
      <c r="AH79" s="3">
        <v>0.10140355033089107</v>
      </c>
      <c r="AI79" s="3">
        <v>9.1092727841256105E-2</v>
      </c>
      <c r="AJ79" s="3">
        <v>0.12222033076272837</v>
      </c>
      <c r="AK79" s="3">
        <v>0.15606721062121739</v>
      </c>
      <c r="AL79" s="3">
        <v>0.12342501005957787</v>
      </c>
    </row>
    <row r="80" spans="1:38" x14ac:dyDescent="0.35">
      <c r="A80" s="7">
        <v>43101</v>
      </c>
      <c r="B80" s="7">
        <v>43190</v>
      </c>
      <c r="C80" t="s">
        <v>128</v>
      </c>
      <c r="D80" t="s">
        <v>125</v>
      </c>
      <c r="E80" s="4">
        <v>7</v>
      </c>
      <c r="F80" s="3">
        <v>4.2278276553716285E-2</v>
      </c>
      <c r="G80" s="3">
        <v>4.1329177705657583E-2</v>
      </c>
      <c r="H80" s="3">
        <v>4.5099318153345835E-2</v>
      </c>
      <c r="I80" s="3">
        <v>4.3083811526251507E-2</v>
      </c>
      <c r="J80" s="3">
        <v>4.6213419842575459E-2</v>
      </c>
      <c r="K80" s="3">
        <v>4.6583800859561021E-2</v>
      </c>
      <c r="L80" s="3">
        <v>4.8092812186156277E-2</v>
      </c>
      <c r="M80" s="3">
        <v>4.7540381363158704E-2</v>
      </c>
      <c r="N80" s="3">
        <v>5.1541323345427749E-2</v>
      </c>
      <c r="O80" s="3">
        <v>4.7991421638006952E-2</v>
      </c>
      <c r="P80" s="3">
        <v>5.4236981442763746E-2</v>
      </c>
      <c r="Q80" s="3">
        <v>4.9234541478731422E-2</v>
      </c>
      <c r="R80" s="3">
        <v>5.6559390111168402E-2</v>
      </c>
      <c r="S80" s="3">
        <v>5.1346904198118624E-2</v>
      </c>
      <c r="T80" s="3">
        <v>5.7816080504292426E-2</v>
      </c>
      <c r="U80" s="3">
        <v>5.4027736685895597E-2</v>
      </c>
      <c r="V80" s="3">
        <v>6.0124858987900855E-2</v>
      </c>
      <c r="W80" s="3">
        <v>5.5144763825180403E-2</v>
      </c>
      <c r="X80" s="3">
        <v>6.3388336794213074E-2</v>
      </c>
      <c r="Y80" s="3">
        <v>5.7591257052729682E-2</v>
      </c>
      <c r="Z80" s="3">
        <v>6.69770163473562E-2</v>
      </c>
      <c r="AA80" s="3">
        <v>6.8209543585266666E-2</v>
      </c>
      <c r="AB80" s="3">
        <v>7.3258125568611832E-2</v>
      </c>
      <c r="AC80" s="3">
        <v>7.6742287354191974E-2</v>
      </c>
      <c r="AD80" s="3">
        <v>7.8887157903794747E-2</v>
      </c>
      <c r="AE80" s="3">
        <v>8.6662762776687496E-2</v>
      </c>
      <c r="AF80" s="3">
        <v>8.971281396445252E-2</v>
      </c>
      <c r="AG80" s="3">
        <v>8.8782994599508808E-2</v>
      </c>
      <c r="AH80" s="3">
        <v>0.10238231580665266</v>
      </c>
      <c r="AI80" s="3">
        <v>9.2077913935211586E-2</v>
      </c>
      <c r="AJ80" s="3">
        <v>0.12320598351307099</v>
      </c>
      <c r="AK80" s="3">
        <v>0.15697013151438968</v>
      </c>
      <c r="AL80" s="3">
        <v>0.12438501633574686</v>
      </c>
    </row>
    <row r="81" spans="1:38" x14ac:dyDescent="0.35">
      <c r="A81" s="7">
        <v>43101</v>
      </c>
      <c r="B81" s="7">
        <v>43190</v>
      </c>
      <c r="C81" t="s">
        <v>128</v>
      </c>
      <c r="D81" t="s">
        <v>125</v>
      </c>
      <c r="E81" s="4" t="s">
        <v>75</v>
      </c>
      <c r="F81" s="3">
        <v>4.3182488272635211E-2</v>
      </c>
      <c r="G81" s="3">
        <v>4.2301753966505144E-2</v>
      </c>
      <c r="H81" s="3">
        <v>4.6026838639232931E-2</v>
      </c>
      <c r="I81" s="3">
        <v>4.4067557852125031E-2</v>
      </c>
      <c r="J81" s="3">
        <v>4.7201709327723482E-2</v>
      </c>
      <c r="K81" s="3">
        <v>4.7550622839863749E-2</v>
      </c>
      <c r="L81" s="3">
        <v>4.906601460175096E-2</v>
      </c>
      <c r="M81" s="3">
        <v>4.8515759061131508E-2</v>
      </c>
      <c r="N81" s="3">
        <v>5.2527017636710617E-2</v>
      </c>
      <c r="O81" s="3">
        <v>4.8956748998221201E-2</v>
      </c>
      <c r="P81" s="3">
        <v>5.5147315452805594E-2</v>
      </c>
      <c r="Q81" s="3">
        <v>5.0200116122030652E-2</v>
      </c>
      <c r="R81" s="3">
        <v>5.7524190394425523E-2</v>
      </c>
      <c r="S81" s="3">
        <v>5.2342902962852919E-2</v>
      </c>
      <c r="T81" s="3">
        <v>5.8756386656798408E-2</v>
      </c>
      <c r="U81" s="3">
        <v>5.5005559472231805E-2</v>
      </c>
      <c r="V81" s="3">
        <v>6.1047358524636865E-2</v>
      </c>
      <c r="W81" s="3">
        <v>5.6140598489951503E-2</v>
      </c>
      <c r="X81" s="3">
        <v>6.4328808699077422E-2</v>
      </c>
      <c r="Y81" s="3">
        <v>5.8560360891625425E-2</v>
      </c>
      <c r="Z81" s="3">
        <v>6.7974746221220003E-2</v>
      </c>
      <c r="AA81" s="3">
        <v>6.9143034001964809E-2</v>
      </c>
      <c r="AB81" s="3">
        <v>7.4196010653543365E-2</v>
      </c>
      <c r="AC81" s="3">
        <v>7.7649617469505106E-2</v>
      </c>
      <c r="AD81" s="3">
        <v>7.9819400436061255E-2</v>
      </c>
      <c r="AE81" s="3">
        <v>8.7639145127280965E-2</v>
      </c>
      <c r="AF81" s="3">
        <v>9.0675499657925512E-2</v>
      </c>
      <c r="AG81" s="3">
        <v>8.9723641932776488E-2</v>
      </c>
      <c r="AH81" s="3">
        <v>0.10331303051295471</v>
      </c>
      <c r="AI81" s="3">
        <v>9.3039773112474744E-2</v>
      </c>
      <c r="AJ81" s="3">
        <v>0.12416032095937948</v>
      </c>
      <c r="AK81" s="3">
        <v>0.15792404775594543</v>
      </c>
      <c r="AL81" s="3">
        <v>0.12532571407201984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0DBC-61FD-4AC7-A877-EF2456F30552}">
  <dimension ref="A1"/>
  <sheetViews>
    <sheetView topLeftCell="AC1"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1D9E-1E04-4A7A-96C3-2CCFB875498C}">
  <dimension ref="A1"/>
  <sheetViews>
    <sheetView workbookViewId="0">
      <selection activeCell="I15" sqref="I15"/>
    </sheetView>
  </sheetViews>
  <sheetFormatPr baseColWidth="10"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2B52A-E92F-4863-88CA-A857170A8CE2}">
  <sheetPr>
    <tabColor theme="4"/>
  </sheetPr>
  <dimension ref="A1:AJ119"/>
  <sheetViews>
    <sheetView zoomScale="70" zoomScaleNormal="70" workbookViewId="0">
      <selection activeCell="M29" sqref="M29"/>
    </sheetView>
  </sheetViews>
  <sheetFormatPr baseColWidth="10" defaultRowHeight="14.5" x14ac:dyDescent="0.35"/>
  <cols>
    <col min="1" max="1" width="16.453125" bestFit="1" customWidth="1"/>
    <col min="35" max="36" width="12.26953125" bestFit="1" customWidth="1"/>
  </cols>
  <sheetData>
    <row r="1" spans="1:36" x14ac:dyDescent="0.35">
      <c r="A1" t="s">
        <v>107</v>
      </c>
    </row>
    <row r="2" spans="1:36" x14ac:dyDescent="0.35">
      <c r="A2" t="s">
        <v>108</v>
      </c>
    </row>
    <row r="3" spans="1:36" x14ac:dyDescent="0.35">
      <c r="C3">
        <v>8.9999999999999998E-4</v>
      </c>
      <c r="D3">
        <v>1E-3</v>
      </c>
      <c r="E3">
        <v>3.0000000000000001E-3</v>
      </c>
      <c r="F3">
        <v>5.0000000000000001E-3</v>
      </c>
      <c r="G3">
        <v>7.0000000000000001E-3</v>
      </c>
      <c r="H3">
        <v>8.9999999999999993E-3</v>
      </c>
      <c r="I3">
        <v>1.0999999999999999E-2</v>
      </c>
      <c r="J3">
        <v>1.2999999999999999E-2</v>
      </c>
      <c r="K3">
        <v>1.4999999999999999E-2</v>
      </c>
      <c r="L3">
        <v>1.7000000000000001E-2</v>
      </c>
      <c r="M3">
        <v>1.9E-2</v>
      </c>
      <c r="N3">
        <v>2.1000000000000001E-2</v>
      </c>
      <c r="O3">
        <v>2.3E-2</v>
      </c>
      <c r="P3">
        <v>2.5000000000000001E-2</v>
      </c>
      <c r="Q3">
        <v>2.7E-2</v>
      </c>
      <c r="R3">
        <v>2.9000000000000001E-2</v>
      </c>
      <c r="S3">
        <v>3.1E-2</v>
      </c>
      <c r="T3">
        <v>3.3000000000000002E-2</v>
      </c>
      <c r="U3">
        <v>3.5000000000000003E-2</v>
      </c>
      <c r="V3">
        <v>3.6999999999999998E-2</v>
      </c>
      <c r="W3">
        <v>3.9E-2</v>
      </c>
      <c r="X3">
        <f>$W$3-$S$3+$W$3</f>
        <v>4.7E-2</v>
      </c>
      <c r="Y3">
        <f t="shared" ref="Y3:AG3" si="0">$W$3-$S$3+X3</f>
        <v>5.5E-2</v>
      </c>
      <c r="Z3">
        <f t="shared" si="0"/>
        <v>6.3E-2</v>
      </c>
      <c r="AA3">
        <f t="shared" si="0"/>
        <v>7.1000000000000008E-2</v>
      </c>
      <c r="AB3">
        <f t="shared" si="0"/>
        <v>7.9000000000000015E-2</v>
      </c>
      <c r="AC3">
        <f t="shared" si="0"/>
        <v>8.7000000000000022E-2</v>
      </c>
      <c r="AD3">
        <f t="shared" si="0"/>
        <v>9.5000000000000029E-2</v>
      </c>
      <c r="AE3">
        <f t="shared" si="0"/>
        <v>0.10300000000000004</v>
      </c>
      <c r="AF3">
        <f t="shared" si="0"/>
        <v>0.11100000000000004</v>
      </c>
      <c r="AG3">
        <f t="shared" si="0"/>
        <v>0.11900000000000005</v>
      </c>
      <c r="AH3">
        <f>AG3+($AG$3-$AB$3)</f>
        <v>0.15900000000000009</v>
      </c>
      <c r="AI3">
        <f t="shared" ref="AI3:AJ3" si="1">AH3+($AG$3-$AB$3)</f>
        <v>0.19900000000000012</v>
      </c>
      <c r="AJ3">
        <f t="shared" si="1"/>
        <v>0.23900000000000016</v>
      </c>
    </row>
    <row r="4" spans="1:36" x14ac:dyDescent="0.35">
      <c r="A4" t="s">
        <v>109</v>
      </c>
      <c r="D4">
        <v>3</v>
      </c>
      <c r="E4">
        <v>6</v>
      </c>
      <c r="F4">
        <v>9</v>
      </c>
      <c r="G4">
        <v>12</v>
      </c>
      <c r="H4">
        <v>15</v>
      </c>
      <c r="I4">
        <v>18</v>
      </c>
      <c r="J4">
        <v>21</v>
      </c>
      <c r="K4">
        <v>24</v>
      </c>
      <c r="L4">
        <v>27</v>
      </c>
      <c r="M4">
        <v>30</v>
      </c>
      <c r="N4">
        <v>33</v>
      </c>
      <c r="O4">
        <v>36</v>
      </c>
      <c r="P4">
        <v>39</v>
      </c>
      <c r="Q4">
        <v>42</v>
      </c>
      <c r="R4">
        <v>45</v>
      </c>
      <c r="S4">
        <v>48</v>
      </c>
      <c r="T4">
        <v>51</v>
      </c>
      <c r="U4">
        <v>54</v>
      </c>
      <c r="V4">
        <v>57</v>
      </c>
      <c r="W4">
        <v>60</v>
      </c>
      <c r="X4">
        <v>72</v>
      </c>
      <c r="Y4">
        <v>84</v>
      </c>
      <c r="Z4">
        <v>96</v>
      </c>
      <c r="AA4">
        <v>108</v>
      </c>
      <c r="AB4">
        <v>120</v>
      </c>
      <c r="AC4">
        <v>132</v>
      </c>
      <c r="AD4">
        <v>144</v>
      </c>
      <c r="AE4">
        <v>156</v>
      </c>
      <c r="AF4">
        <v>168</v>
      </c>
      <c r="AG4">
        <v>180</v>
      </c>
      <c r="AH4">
        <v>240</v>
      </c>
      <c r="AI4">
        <v>300</v>
      </c>
      <c r="AJ4">
        <v>360</v>
      </c>
    </row>
    <row r="5" spans="1:36" x14ac:dyDescent="0.35">
      <c r="A5" s="2" t="s">
        <v>25</v>
      </c>
      <c r="B5" s="2" t="s">
        <v>26</v>
      </c>
      <c r="C5" s="2" t="s">
        <v>27</v>
      </c>
      <c r="D5" s="2" t="s">
        <v>28</v>
      </c>
      <c r="E5" s="2" t="s">
        <v>29</v>
      </c>
      <c r="F5" s="2" t="s">
        <v>30</v>
      </c>
      <c r="G5" s="2" t="s">
        <v>31</v>
      </c>
      <c r="H5" s="2" t="s">
        <v>32</v>
      </c>
      <c r="I5" s="2" t="s">
        <v>33</v>
      </c>
      <c r="J5" s="2" t="s">
        <v>34</v>
      </c>
      <c r="K5" s="2" t="s">
        <v>35</v>
      </c>
      <c r="L5" s="2" t="s">
        <v>36</v>
      </c>
      <c r="M5" s="2" t="s">
        <v>37</v>
      </c>
      <c r="N5" s="2" t="s">
        <v>38</v>
      </c>
      <c r="O5" s="2" t="s">
        <v>39</v>
      </c>
      <c r="P5" s="2" t="s">
        <v>40</v>
      </c>
      <c r="Q5" s="2" t="s">
        <v>41</v>
      </c>
      <c r="R5" s="2" t="s">
        <v>42</v>
      </c>
      <c r="S5" s="2" t="s">
        <v>43</v>
      </c>
      <c r="T5" s="2" t="s">
        <v>44</v>
      </c>
      <c r="U5" s="2" t="s">
        <v>45</v>
      </c>
      <c r="V5" s="2" t="s">
        <v>46</v>
      </c>
      <c r="W5" s="2" t="s">
        <v>47</v>
      </c>
      <c r="X5" s="2" t="s">
        <v>48</v>
      </c>
      <c r="Y5" s="2" t="s">
        <v>49</v>
      </c>
      <c r="Z5" s="2" t="s">
        <v>50</v>
      </c>
      <c r="AA5" s="2" t="s">
        <v>51</v>
      </c>
      <c r="AB5" s="2" t="s">
        <v>52</v>
      </c>
      <c r="AC5" s="2" t="s">
        <v>53</v>
      </c>
      <c r="AD5" s="2" t="s">
        <v>54</v>
      </c>
      <c r="AE5" s="2" t="s">
        <v>55</v>
      </c>
      <c r="AF5" s="2" t="s">
        <v>56</v>
      </c>
      <c r="AG5" s="2" t="s">
        <v>57</v>
      </c>
      <c r="AH5" s="2" t="s">
        <v>58</v>
      </c>
      <c r="AI5" s="2" t="s">
        <v>59</v>
      </c>
      <c r="AJ5" s="2" t="s">
        <v>60</v>
      </c>
    </row>
    <row r="6" spans="1:36" x14ac:dyDescent="0.35">
      <c r="A6" t="s">
        <v>63</v>
      </c>
      <c r="B6" t="s">
        <v>76</v>
      </c>
      <c r="C6" s="4">
        <v>1</v>
      </c>
      <c r="D6" s="3">
        <f ca="1">RAND()*(D$3-C$3)+C$3</f>
        <v>9.961925261164923E-4</v>
      </c>
      <c r="E6" s="3">
        <f ca="1">RAND()*(E$3-D$3)+D$3-D6</f>
        <v>1.1974098181846814E-3</v>
      </c>
      <c r="F6" s="3">
        <f t="shared" ref="F6:AJ6" ca="1" si="2">RAND()*(F$3-E$3)+E$3-E6</f>
        <v>2.0832363239344457E-3</v>
      </c>
      <c r="G6" s="3">
        <f t="shared" ca="1" si="2"/>
        <v>3.852670102129232E-3</v>
      </c>
      <c r="H6" s="3">
        <f t="shared" ca="1" si="2"/>
        <v>4.8391247497064161E-3</v>
      </c>
      <c r="I6" s="3">
        <f t="shared" ca="1" si="2"/>
        <v>5.5122360950446885E-3</v>
      </c>
      <c r="J6" s="3">
        <f t="shared" ca="1" si="2"/>
        <v>7.4523031365108525E-3</v>
      </c>
      <c r="K6" s="3">
        <f t="shared" ca="1" si="2"/>
        <v>6.4839569147496163E-3</v>
      </c>
      <c r="L6" s="3">
        <f t="shared" ca="1" si="2"/>
        <v>8.8137069714667865E-3</v>
      </c>
      <c r="M6" s="3">
        <f t="shared" ca="1" si="2"/>
        <v>9.1957445702713393E-3</v>
      </c>
      <c r="N6" s="3">
        <f t="shared" ca="1" si="2"/>
        <v>1.072420656565521E-2</v>
      </c>
      <c r="O6" s="3">
        <f t="shared" ca="1" si="2"/>
        <v>1.0377714372117621E-2</v>
      </c>
      <c r="P6" s="3">
        <f t="shared" ca="1" si="2"/>
        <v>1.4098658743641312E-2</v>
      </c>
      <c r="Q6" s="3">
        <f t="shared" ca="1" si="2"/>
        <v>1.1714259578835564E-2</v>
      </c>
      <c r="R6" s="3">
        <f t="shared" ca="1" si="2"/>
        <v>1.570130661120258E-2</v>
      </c>
      <c r="S6" s="3">
        <f t="shared" ca="1" si="2"/>
        <v>1.5128887270818916E-2</v>
      </c>
      <c r="T6" s="3">
        <f t="shared" ca="1" si="2"/>
        <v>1.6872832134011487E-2</v>
      </c>
      <c r="U6" s="3">
        <f t="shared" ca="1" si="2"/>
        <v>1.7220704287567841E-2</v>
      </c>
      <c r="V6" s="3">
        <f t="shared" ca="1" si="2"/>
        <v>1.7840293164901981E-2</v>
      </c>
      <c r="W6" s="3">
        <f t="shared" ca="1" si="2"/>
        <v>2.0398351374836012E-2</v>
      </c>
      <c r="X6" s="3">
        <f t="shared" ca="1" si="2"/>
        <v>2.4938856585739133E-2</v>
      </c>
      <c r="Y6" s="3">
        <f t="shared" ca="1" si="2"/>
        <v>2.4697914449769751E-2</v>
      </c>
      <c r="Z6" s="3">
        <f t="shared" ca="1" si="2"/>
        <v>3.7139695702027256E-2</v>
      </c>
      <c r="AA6" s="3">
        <f t="shared" ca="1" si="2"/>
        <v>3.0813314714986093E-2</v>
      </c>
      <c r="AB6" s="3">
        <f t="shared" ca="1" si="2"/>
        <v>4.6587150293817881E-2</v>
      </c>
      <c r="AC6" s="3">
        <f t="shared" ca="1" si="2"/>
        <v>3.6052930424463905E-2</v>
      </c>
      <c r="AD6" s="3">
        <f t="shared" ca="1" si="2"/>
        <v>5.4779877191821688E-2</v>
      </c>
      <c r="AE6" s="3">
        <f t="shared" ca="1" si="2"/>
        <v>4.1605562614879105E-2</v>
      </c>
      <c r="AF6" s="3">
        <f t="shared" ca="1" si="2"/>
        <v>6.4887050020770498E-2</v>
      </c>
      <c r="AG6" s="3">
        <f t="shared" ca="1" si="2"/>
        <v>4.6376729336196437E-2</v>
      </c>
      <c r="AH6" s="3">
        <f t="shared" ca="1" si="2"/>
        <v>9.1904894070206217E-2</v>
      </c>
      <c r="AI6" s="3">
        <f t="shared" ca="1" si="2"/>
        <v>7.6319268873131396E-2</v>
      </c>
      <c r="AJ6" s="3">
        <f t="shared" ca="1" si="2"/>
        <v>0.15960356655079078</v>
      </c>
    </row>
    <row r="7" spans="1:36" x14ac:dyDescent="0.35">
      <c r="A7" t="s">
        <v>63</v>
      </c>
      <c r="B7" t="s">
        <v>76</v>
      </c>
      <c r="C7" s="4" t="s">
        <v>64</v>
      </c>
      <c r="D7" s="3">
        <f ca="1">D6+RAND()*($D$3-$C$3)+$C$3</f>
        <v>1.9848742333430092E-3</v>
      </c>
      <c r="E7" s="3">
        <f t="shared" ref="E7:AJ14" ca="1" si="3">E6+RAND()*($D$3-$C$3)+$C$3</f>
        <v>2.1716670236145603E-3</v>
      </c>
      <c r="F7" s="3">
        <f t="shared" ca="1" si="3"/>
        <v>3.0017814471618963E-3</v>
      </c>
      <c r="G7" s="3">
        <f t="shared" ca="1" si="3"/>
        <v>4.847091764261487E-3</v>
      </c>
      <c r="H7" s="3">
        <f t="shared" ca="1" si="3"/>
        <v>5.8242791102472227E-3</v>
      </c>
      <c r="I7" s="3">
        <f t="shared" ca="1" si="3"/>
        <v>6.4930904307263209E-3</v>
      </c>
      <c r="J7" s="3">
        <f t="shared" ca="1" si="3"/>
        <v>8.3533884821733358E-3</v>
      </c>
      <c r="K7" s="3">
        <f t="shared" ca="1" si="3"/>
        <v>7.4639589679728127E-3</v>
      </c>
      <c r="L7" s="3">
        <f t="shared" ca="1" si="3"/>
        <v>9.7857774432194705E-3</v>
      </c>
      <c r="M7" s="3">
        <f t="shared" ca="1" si="3"/>
        <v>1.0127051104269428E-2</v>
      </c>
      <c r="N7" s="3">
        <f t="shared" ca="1" si="3"/>
        <v>1.1648911225738754E-2</v>
      </c>
      <c r="O7" s="3">
        <f t="shared" ca="1" si="3"/>
        <v>1.1296920606186202E-2</v>
      </c>
      <c r="P7" s="3">
        <f t="shared" ca="1" si="3"/>
        <v>1.5064665053622068E-2</v>
      </c>
      <c r="Q7" s="3">
        <f t="shared" ca="1" si="3"/>
        <v>1.2711674379586623E-2</v>
      </c>
      <c r="R7" s="3">
        <f t="shared" ca="1" si="3"/>
        <v>1.6622677274524784E-2</v>
      </c>
      <c r="S7" s="3">
        <f t="shared" ca="1" si="3"/>
        <v>1.6060404341883879E-2</v>
      </c>
      <c r="T7" s="3">
        <f t="shared" ca="1" si="3"/>
        <v>1.7868454319408738E-2</v>
      </c>
      <c r="U7" s="3">
        <f t="shared" ca="1" si="3"/>
        <v>1.821734973323488E-2</v>
      </c>
      <c r="V7" s="3">
        <f t="shared" ca="1" si="3"/>
        <v>1.8785450574590273E-2</v>
      </c>
      <c r="W7" s="3">
        <f t="shared" ca="1" si="3"/>
        <v>2.1327212731511058E-2</v>
      </c>
      <c r="X7" s="3">
        <f t="shared" ca="1" si="3"/>
        <v>2.5879878861498201E-2</v>
      </c>
      <c r="Y7" s="3">
        <f t="shared" ca="1" si="3"/>
        <v>2.567613749407209E-2</v>
      </c>
      <c r="Z7" s="3">
        <f t="shared" ca="1" si="3"/>
        <v>3.8077512684179506E-2</v>
      </c>
      <c r="AA7" s="3">
        <f t="shared" ca="1" si="3"/>
        <v>3.180260240497236E-2</v>
      </c>
      <c r="AB7" s="3">
        <f t="shared" ca="1" si="3"/>
        <v>4.7545418057691378E-2</v>
      </c>
      <c r="AC7" s="3">
        <f t="shared" ca="1" si="3"/>
        <v>3.7006240935845536E-2</v>
      </c>
      <c r="AD7" s="3">
        <f t="shared" ca="1" si="3"/>
        <v>5.5698649372670793E-2</v>
      </c>
      <c r="AE7" s="3">
        <f t="shared" ca="1" si="3"/>
        <v>4.2548727048766839E-2</v>
      </c>
      <c r="AF7" s="3">
        <f t="shared" ca="1" si="3"/>
        <v>6.5793451296864577E-2</v>
      </c>
      <c r="AG7" s="3">
        <f t="shared" ca="1" si="3"/>
        <v>4.7364198902286991E-2</v>
      </c>
      <c r="AH7" s="3">
        <f t="shared" ca="1" si="3"/>
        <v>9.283704349760015E-2</v>
      </c>
      <c r="AI7" s="3">
        <f t="shared" ca="1" si="3"/>
        <v>7.7315821421110681E-2</v>
      </c>
      <c r="AJ7" s="3">
        <f t="shared" ca="1" si="3"/>
        <v>0.16055461004394525</v>
      </c>
    </row>
    <row r="8" spans="1:36" x14ac:dyDescent="0.35">
      <c r="A8" t="s">
        <v>63</v>
      </c>
      <c r="B8" t="s">
        <v>76</v>
      </c>
      <c r="C8" s="4">
        <v>2</v>
      </c>
      <c r="D8" s="3">
        <f t="shared" ref="D8:D24" ca="1" si="4">D7+RAND()*($D$3-$C$3)+$C$3</f>
        <v>2.9695075818331985E-3</v>
      </c>
      <c r="E8" s="3">
        <f t="shared" ca="1" si="3"/>
        <v>3.1477100073897092E-3</v>
      </c>
      <c r="F8" s="3">
        <f t="shared" ca="1" si="3"/>
        <v>3.9872416965429092E-3</v>
      </c>
      <c r="G8" s="3">
        <f t="shared" ca="1" si="3"/>
        <v>5.7944460292626964E-3</v>
      </c>
      <c r="H8" s="3">
        <f t="shared" ca="1" si="3"/>
        <v>6.7802514024500682E-3</v>
      </c>
      <c r="I8" s="3">
        <f t="shared" ca="1" si="3"/>
        <v>7.393785726495683E-3</v>
      </c>
      <c r="J8" s="3">
        <f t="shared" ca="1" si="3"/>
        <v>9.3059064071625026E-3</v>
      </c>
      <c r="K8" s="3">
        <f t="shared" ca="1" si="3"/>
        <v>8.4574365288607994E-3</v>
      </c>
      <c r="L8" s="3">
        <f t="shared" ca="1" si="3"/>
        <v>1.0781102689089337E-2</v>
      </c>
      <c r="M8" s="3">
        <f t="shared" ca="1" si="3"/>
        <v>1.1034081667899718E-2</v>
      </c>
      <c r="N8" s="3">
        <f t="shared" ca="1" si="3"/>
        <v>1.2648817299451597E-2</v>
      </c>
      <c r="O8" s="3">
        <f t="shared" ca="1" si="3"/>
        <v>1.2290536234283431E-2</v>
      </c>
      <c r="P8" s="3">
        <f t="shared" ca="1" si="3"/>
        <v>1.6031245674908469E-2</v>
      </c>
      <c r="Q8" s="3">
        <f t="shared" ca="1" si="3"/>
        <v>1.3697542759158623E-2</v>
      </c>
      <c r="R8" s="3">
        <f t="shared" ca="1" si="3"/>
        <v>1.7621640761603774E-2</v>
      </c>
      <c r="S8" s="3">
        <f t="shared" ca="1" si="3"/>
        <v>1.6974623961019314E-2</v>
      </c>
      <c r="T8" s="3">
        <f t="shared" ca="1" si="3"/>
        <v>1.8865897829356191E-2</v>
      </c>
      <c r="U8" s="3">
        <f t="shared" ca="1" si="3"/>
        <v>1.9132622378204799E-2</v>
      </c>
      <c r="V8" s="3">
        <f t="shared" ca="1" si="3"/>
        <v>1.9775093634206008E-2</v>
      </c>
      <c r="W8" s="3">
        <f t="shared" ca="1" si="3"/>
        <v>2.2315303737024353E-2</v>
      </c>
      <c r="X8" s="3">
        <f t="shared" ca="1" si="3"/>
        <v>2.6802483611501369E-2</v>
      </c>
      <c r="Y8" s="3">
        <f t="shared" ca="1" si="3"/>
        <v>2.6622876784429626E-2</v>
      </c>
      <c r="Z8" s="3">
        <f t="shared" ca="1" si="3"/>
        <v>3.8996041050596543E-2</v>
      </c>
      <c r="AA8" s="3">
        <f t="shared" ca="1" si="3"/>
        <v>3.2800642611107496E-2</v>
      </c>
      <c r="AB8" s="3">
        <f t="shared" ca="1" si="3"/>
        <v>4.8496902853881071E-2</v>
      </c>
      <c r="AC8" s="3">
        <f t="shared" ca="1" si="3"/>
        <v>3.7916897346559439E-2</v>
      </c>
      <c r="AD8" s="3">
        <f t="shared" ca="1" si="3"/>
        <v>5.6601783380544737E-2</v>
      </c>
      <c r="AE8" s="3">
        <f t="shared" ca="1" si="3"/>
        <v>4.3456434264770555E-2</v>
      </c>
      <c r="AF8" s="3">
        <f t="shared" ca="1" si="3"/>
        <v>6.6742438070994267E-2</v>
      </c>
      <c r="AG8" s="3">
        <f t="shared" ca="1" si="3"/>
        <v>4.8278311020651679E-2</v>
      </c>
      <c r="AH8" s="3">
        <f t="shared" ca="1" si="3"/>
        <v>9.3779419900159908E-2</v>
      </c>
      <c r="AI8" s="3">
        <f t="shared" ca="1" si="3"/>
        <v>7.8244355294694076E-2</v>
      </c>
      <c r="AJ8" s="3">
        <f t="shared" ca="1" si="3"/>
        <v>0.16152379099502634</v>
      </c>
    </row>
    <row r="9" spans="1:36" x14ac:dyDescent="0.35">
      <c r="A9" t="s">
        <v>63</v>
      </c>
      <c r="B9" t="s">
        <v>76</v>
      </c>
      <c r="C9" s="4" t="s">
        <v>65</v>
      </c>
      <c r="D9" s="3">
        <f t="shared" ca="1" si="4"/>
        <v>3.9540699713419706E-3</v>
      </c>
      <c r="E9" s="3">
        <f t="shared" ca="1" si="3"/>
        <v>4.1101369961082318E-3</v>
      </c>
      <c r="F9" s="3">
        <f t="shared" ca="1" si="3"/>
        <v>4.9487545081022249E-3</v>
      </c>
      <c r="G9" s="3">
        <f t="shared" ca="1" si="3"/>
        <v>6.776429321561802E-3</v>
      </c>
      <c r="H9" s="3">
        <f t="shared" ca="1" si="3"/>
        <v>7.749336580337861E-3</v>
      </c>
      <c r="I9" s="3">
        <f t="shared" ca="1" si="3"/>
        <v>8.3558110404592673E-3</v>
      </c>
      <c r="J9" s="3">
        <f t="shared" ca="1" si="3"/>
        <v>1.0234537678672377E-2</v>
      </c>
      <c r="K9" s="3">
        <f t="shared" ca="1" si="3"/>
        <v>9.4441683505847862E-3</v>
      </c>
      <c r="L9" s="3">
        <f t="shared" ca="1" si="3"/>
        <v>1.1778581501296513E-2</v>
      </c>
      <c r="M9" s="3">
        <f t="shared" ca="1" si="3"/>
        <v>1.2002035166470899E-2</v>
      </c>
      <c r="N9" s="3">
        <f t="shared" ca="1" si="3"/>
        <v>1.3588906878827613E-2</v>
      </c>
      <c r="O9" s="3">
        <f t="shared" ca="1" si="3"/>
        <v>1.3289181528543467E-2</v>
      </c>
      <c r="P9" s="3">
        <f t="shared" ca="1" si="3"/>
        <v>1.6942786634161953E-2</v>
      </c>
      <c r="Q9" s="3">
        <f t="shared" ca="1" si="3"/>
        <v>1.4657136824203585E-2</v>
      </c>
      <c r="R9" s="3">
        <f t="shared" ca="1" si="3"/>
        <v>1.859131947818847E-2</v>
      </c>
      <c r="S9" s="3">
        <f t="shared" ca="1" si="3"/>
        <v>1.7944868804001535E-2</v>
      </c>
      <c r="T9" s="3">
        <f t="shared" ca="1" si="3"/>
        <v>1.9800399583439904E-2</v>
      </c>
      <c r="U9" s="3">
        <f t="shared" ca="1" si="3"/>
        <v>2.0085726551751771E-2</v>
      </c>
      <c r="V9" s="3">
        <f t="shared" ca="1" si="3"/>
        <v>2.0687093194803705E-2</v>
      </c>
      <c r="W9" s="3">
        <f t="shared" ca="1" si="3"/>
        <v>2.3247994100138964E-2</v>
      </c>
      <c r="X9" s="3">
        <f t="shared" ca="1" si="3"/>
        <v>2.7716616327660398E-2</v>
      </c>
      <c r="Y9" s="3">
        <f t="shared" ca="1" si="3"/>
        <v>2.7587227003849187E-2</v>
      </c>
      <c r="Z9" s="3">
        <f t="shared" ca="1" si="3"/>
        <v>3.9920027957217115E-2</v>
      </c>
      <c r="AA9" s="3">
        <f t="shared" ca="1" si="3"/>
        <v>3.373610480839951E-2</v>
      </c>
      <c r="AB9" s="3">
        <f t="shared" ca="1" si="3"/>
        <v>4.9490494768695714E-2</v>
      </c>
      <c r="AC9" s="3">
        <f t="shared" ca="1" si="3"/>
        <v>3.8872059943949488E-2</v>
      </c>
      <c r="AD9" s="3">
        <f t="shared" ca="1" si="3"/>
        <v>5.7598570105742958E-2</v>
      </c>
      <c r="AE9" s="3">
        <f t="shared" ca="1" si="3"/>
        <v>4.4365763454489303E-2</v>
      </c>
      <c r="AF9" s="3">
        <f t="shared" ca="1" si="3"/>
        <v>6.7663120739429775E-2</v>
      </c>
      <c r="AG9" s="3">
        <f t="shared" ca="1" si="3"/>
        <v>4.9210434025078964E-2</v>
      </c>
      <c r="AH9" s="3">
        <f t="shared" ca="1" si="3"/>
        <v>9.4755326672847751E-2</v>
      </c>
      <c r="AI9" s="3">
        <f t="shared" ca="1" si="3"/>
        <v>7.9192890267339874E-2</v>
      </c>
      <c r="AJ9" s="3">
        <f t="shared" ca="1" si="3"/>
        <v>0.16243915012959736</v>
      </c>
    </row>
    <row r="10" spans="1:36" x14ac:dyDescent="0.35">
      <c r="A10" t="s">
        <v>63</v>
      </c>
      <c r="B10" t="s">
        <v>76</v>
      </c>
      <c r="C10" s="4" t="s">
        <v>66</v>
      </c>
      <c r="D10" s="3">
        <f t="shared" ca="1" si="4"/>
        <v>4.9408998628065028E-3</v>
      </c>
      <c r="E10" s="3">
        <f t="shared" ca="1" si="3"/>
        <v>5.0608295355028176E-3</v>
      </c>
      <c r="F10" s="3">
        <f t="shared" ca="1" si="3"/>
        <v>5.8796732145457338E-3</v>
      </c>
      <c r="G10" s="3">
        <f t="shared" ca="1" si="3"/>
        <v>7.761796783720791E-3</v>
      </c>
      <c r="H10" s="3">
        <f t="shared" ca="1" si="3"/>
        <v>8.7262610793288967E-3</v>
      </c>
      <c r="I10" s="3">
        <f t="shared" ca="1" si="3"/>
        <v>9.3513248710942101E-3</v>
      </c>
      <c r="J10" s="3">
        <f t="shared" ca="1" si="3"/>
        <v>1.1172477837916731E-2</v>
      </c>
      <c r="K10" s="3">
        <f t="shared" ca="1" si="3"/>
        <v>1.0402495628977104E-2</v>
      </c>
      <c r="L10" s="3">
        <f t="shared" ca="1" si="3"/>
        <v>1.2744964077456487E-2</v>
      </c>
      <c r="M10" s="3">
        <f t="shared" ca="1" si="3"/>
        <v>1.3001428202339011E-2</v>
      </c>
      <c r="N10" s="3">
        <f t="shared" ca="1" si="3"/>
        <v>1.4518915057852638E-2</v>
      </c>
      <c r="O10" s="3">
        <f t="shared" ca="1" si="3"/>
        <v>1.4191680426251151E-2</v>
      </c>
      <c r="P10" s="3">
        <f t="shared" ca="1" si="3"/>
        <v>1.7857311795233845E-2</v>
      </c>
      <c r="Q10" s="3">
        <f t="shared" ca="1" si="3"/>
        <v>1.5576499024461808E-2</v>
      </c>
      <c r="R10" s="3">
        <f t="shared" ca="1" si="3"/>
        <v>1.9578529853583323E-2</v>
      </c>
      <c r="S10" s="3">
        <f t="shared" ca="1" si="3"/>
        <v>1.8894603800589709E-2</v>
      </c>
      <c r="T10" s="3">
        <f t="shared" ca="1" si="3"/>
        <v>2.0712655790225003E-2</v>
      </c>
      <c r="U10" s="3">
        <f t="shared" ca="1" si="3"/>
        <v>2.1051990414317618E-2</v>
      </c>
      <c r="V10" s="3">
        <f t="shared" ca="1" si="3"/>
        <v>2.1666602015827343E-2</v>
      </c>
      <c r="W10" s="3">
        <f t="shared" ca="1" si="3"/>
        <v>2.415186315741984E-2</v>
      </c>
      <c r="X10" s="3">
        <f t="shared" ca="1" si="3"/>
        <v>2.8703053406464549E-2</v>
      </c>
      <c r="Y10" s="3">
        <f t="shared" ca="1" si="3"/>
        <v>2.8539635815050916E-2</v>
      </c>
      <c r="Z10" s="3">
        <f t="shared" ca="1" si="3"/>
        <v>4.0834900619736887E-2</v>
      </c>
      <c r="AA10" s="3">
        <f t="shared" ca="1" si="3"/>
        <v>3.4640382643401191E-2</v>
      </c>
      <c r="AB10" s="3">
        <f t="shared" ca="1" si="3"/>
        <v>5.0391309932094855E-2</v>
      </c>
      <c r="AC10" s="3">
        <f t="shared" ca="1" si="3"/>
        <v>3.9820184770632268E-2</v>
      </c>
      <c r="AD10" s="3">
        <f t="shared" ca="1" si="3"/>
        <v>5.8576960101887766E-2</v>
      </c>
      <c r="AE10" s="3">
        <f t="shared" ca="1" si="3"/>
        <v>4.5353783483838839E-2</v>
      </c>
      <c r="AF10" s="3">
        <f t="shared" ca="1" si="3"/>
        <v>6.8643988169807796E-2</v>
      </c>
      <c r="AG10" s="3">
        <f t="shared" ca="1" si="3"/>
        <v>5.0158667078643096E-2</v>
      </c>
      <c r="AH10" s="3">
        <f t="shared" ca="1" si="3"/>
        <v>9.5709874180042953E-2</v>
      </c>
      <c r="AI10" s="3">
        <f t="shared" ca="1" si="3"/>
        <v>8.0104090294839003E-2</v>
      </c>
      <c r="AJ10" s="3">
        <f t="shared" ca="1" si="3"/>
        <v>0.1634159432940831</v>
      </c>
    </row>
    <row r="11" spans="1:36" x14ac:dyDescent="0.35">
      <c r="A11" t="s">
        <v>63</v>
      </c>
      <c r="B11" t="s">
        <v>76</v>
      </c>
      <c r="C11" s="4">
        <v>3</v>
      </c>
      <c r="D11" s="3">
        <f t="shared" ca="1" si="4"/>
        <v>5.8877707775052768E-3</v>
      </c>
      <c r="E11" s="3">
        <f t="shared" ca="1" si="3"/>
        <v>6.0442182980871891E-3</v>
      </c>
      <c r="F11" s="3">
        <f t="shared" ca="1" si="3"/>
        <v>6.8347225185215127E-3</v>
      </c>
      <c r="G11" s="3">
        <f t="shared" ca="1" si="3"/>
        <v>8.6819820530668022E-3</v>
      </c>
      <c r="H11" s="3">
        <f t="shared" ca="1" si="3"/>
        <v>9.6849669096231317E-3</v>
      </c>
      <c r="I11" s="3">
        <f t="shared" ca="1" si="3"/>
        <v>1.0310749757280096E-2</v>
      </c>
      <c r="J11" s="3">
        <f t="shared" ca="1" si="3"/>
        <v>1.2157788933287911E-2</v>
      </c>
      <c r="K11" s="3">
        <f t="shared" ca="1" si="3"/>
        <v>1.1382771551394489E-2</v>
      </c>
      <c r="L11" s="3">
        <f t="shared" ca="1" si="3"/>
        <v>1.3669842556968377E-2</v>
      </c>
      <c r="M11" s="3">
        <f t="shared" ca="1" si="3"/>
        <v>1.3979525851252372E-2</v>
      </c>
      <c r="N11" s="3">
        <f t="shared" ca="1" si="3"/>
        <v>1.5440157318579208E-2</v>
      </c>
      <c r="O11" s="3">
        <f t="shared" ca="1" si="3"/>
        <v>1.5100323047467121E-2</v>
      </c>
      <c r="P11" s="3">
        <f t="shared" ca="1" si="3"/>
        <v>1.8781524616421869E-2</v>
      </c>
      <c r="Q11" s="3">
        <f t="shared" ca="1" si="3"/>
        <v>1.6510646585385112E-2</v>
      </c>
      <c r="R11" s="3">
        <f t="shared" ca="1" si="3"/>
        <v>2.0517304153261886E-2</v>
      </c>
      <c r="S11" s="3">
        <f t="shared" ca="1" si="3"/>
        <v>1.9865593929799318E-2</v>
      </c>
      <c r="T11" s="3">
        <f t="shared" ca="1" si="3"/>
        <v>2.1659002695709501E-2</v>
      </c>
      <c r="U11" s="3">
        <f t="shared" ca="1" si="3"/>
        <v>2.1979118187346009E-2</v>
      </c>
      <c r="V11" s="3">
        <f t="shared" ca="1" si="3"/>
        <v>2.2610341685468372E-2</v>
      </c>
      <c r="W11" s="3">
        <f t="shared" ca="1" si="3"/>
        <v>2.509088070873702E-2</v>
      </c>
      <c r="X11" s="3">
        <f t="shared" ca="1" si="3"/>
        <v>2.9660460334774204E-2</v>
      </c>
      <c r="Y11" s="3">
        <f t="shared" ca="1" si="3"/>
        <v>2.9499673950878734E-2</v>
      </c>
      <c r="Z11" s="3">
        <f t="shared" ca="1" si="3"/>
        <v>4.1831002965083602E-2</v>
      </c>
      <c r="AA11" s="3">
        <f t="shared" ca="1" si="3"/>
        <v>3.5587016771370959E-2</v>
      </c>
      <c r="AB11" s="3">
        <f t="shared" ca="1" si="3"/>
        <v>5.1381057328910719E-2</v>
      </c>
      <c r="AC11" s="3">
        <f t="shared" ca="1" si="3"/>
        <v>4.0778784584749442E-2</v>
      </c>
      <c r="AD11" s="3">
        <f t="shared" ca="1" si="3"/>
        <v>5.9533992833571414E-2</v>
      </c>
      <c r="AE11" s="3">
        <f t="shared" ca="1" si="3"/>
        <v>4.63301878206498E-2</v>
      </c>
      <c r="AF11" s="3">
        <f t="shared" ca="1" si="3"/>
        <v>6.958061708556551E-2</v>
      </c>
      <c r="AG11" s="3">
        <f t="shared" ca="1" si="3"/>
        <v>5.1091701692132979E-2</v>
      </c>
      <c r="AH11" s="3">
        <f t="shared" ca="1" si="3"/>
        <v>9.6685785645031858E-2</v>
      </c>
      <c r="AI11" s="3">
        <f t="shared" ca="1" si="3"/>
        <v>8.1019960654027889E-2</v>
      </c>
      <c r="AJ11" s="3">
        <f t="shared" ca="1" si="3"/>
        <v>0.16434749304180785</v>
      </c>
    </row>
    <row r="12" spans="1:36" x14ac:dyDescent="0.35">
      <c r="A12" t="s">
        <v>63</v>
      </c>
      <c r="B12" t="s">
        <v>76</v>
      </c>
      <c r="C12" s="4" t="s">
        <v>67</v>
      </c>
      <c r="D12" s="3">
        <f t="shared" ca="1" si="4"/>
        <v>6.7933202467820274E-3</v>
      </c>
      <c r="E12" s="3">
        <f t="shared" ca="1" si="3"/>
        <v>6.9927178459998655E-3</v>
      </c>
      <c r="F12" s="3">
        <f t="shared" ca="1" si="3"/>
        <v>7.7802844383812074E-3</v>
      </c>
      <c r="G12" s="3">
        <f t="shared" ca="1" si="3"/>
        <v>9.6809180486333857E-3</v>
      </c>
      <c r="H12" s="3">
        <f t="shared" ca="1" si="3"/>
        <v>1.0667933924075688E-2</v>
      </c>
      <c r="I12" s="3">
        <f t="shared" ca="1" si="3"/>
        <v>1.1277335313225671E-2</v>
      </c>
      <c r="J12" s="3">
        <f t="shared" ca="1" si="3"/>
        <v>1.3155216669435456E-2</v>
      </c>
      <c r="K12" s="3">
        <f t="shared" ca="1" si="3"/>
        <v>1.2364251068100891E-2</v>
      </c>
      <c r="L12" s="3">
        <f t="shared" ca="1" si="3"/>
        <v>1.4653668166451953E-2</v>
      </c>
      <c r="M12" s="3">
        <f t="shared" ca="1" si="3"/>
        <v>1.4890467353905154E-2</v>
      </c>
      <c r="N12" s="3">
        <f t="shared" ca="1" si="3"/>
        <v>1.6439097114423575E-2</v>
      </c>
      <c r="O12" s="3">
        <f t="shared" ca="1" si="3"/>
        <v>1.6067782470166259E-2</v>
      </c>
      <c r="P12" s="3">
        <f t="shared" ca="1" si="3"/>
        <v>1.9734426177822031E-2</v>
      </c>
      <c r="Q12" s="3">
        <f t="shared" ca="1" si="3"/>
        <v>1.7500932672616515E-2</v>
      </c>
      <c r="R12" s="3">
        <f t="shared" ca="1" si="3"/>
        <v>2.1453702223788663E-2</v>
      </c>
      <c r="S12" s="3">
        <f t="shared" ca="1" si="3"/>
        <v>2.079700687143126E-2</v>
      </c>
      <c r="T12" s="3">
        <f t="shared" ca="1" si="3"/>
        <v>2.2578868964832952E-2</v>
      </c>
      <c r="U12" s="3">
        <f t="shared" ca="1" si="3"/>
        <v>2.2954011895133745E-2</v>
      </c>
      <c r="V12" s="3">
        <f t="shared" ca="1" si="3"/>
        <v>2.3518822959543738E-2</v>
      </c>
      <c r="W12" s="3">
        <f t="shared" ca="1" si="3"/>
        <v>2.6079790125747088E-2</v>
      </c>
      <c r="X12" s="3">
        <f t="shared" ca="1" si="3"/>
        <v>3.0600135549229215E-2</v>
      </c>
      <c r="Y12" s="3">
        <f t="shared" ca="1" si="3"/>
        <v>3.0446631441001123E-2</v>
      </c>
      <c r="Z12" s="3">
        <f t="shared" ca="1" si="3"/>
        <v>4.2780444080212851E-2</v>
      </c>
      <c r="AA12" s="3">
        <f t="shared" ca="1" si="3"/>
        <v>3.6497018556339494E-2</v>
      </c>
      <c r="AB12" s="3">
        <f t="shared" ca="1" si="3"/>
        <v>5.2361753001937572E-2</v>
      </c>
      <c r="AC12" s="3">
        <f t="shared" ca="1" si="3"/>
        <v>4.1718794988542453E-2</v>
      </c>
      <c r="AD12" s="3">
        <f t="shared" ca="1" si="3"/>
        <v>6.0524271696736201E-2</v>
      </c>
      <c r="AE12" s="3">
        <f t="shared" ca="1" si="3"/>
        <v>4.7283239914990942E-2</v>
      </c>
      <c r="AF12" s="3">
        <f t="shared" ca="1" si="3"/>
        <v>7.0539267146398507E-2</v>
      </c>
      <c r="AG12" s="3">
        <f t="shared" ca="1" si="3"/>
        <v>5.2070346964075885E-2</v>
      </c>
      <c r="AH12" s="3">
        <f t="shared" ca="1" si="3"/>
        <v>9.7646775038974315E-2</v>
      </c>
      <c r="AI12" s="3">
        <f t="shared" ca="1" si="3"/>
        <v>8.1930861367088131E-2</v>
      </c>
      <c r="AJ12" s="3">
        <f t="shared" ca="1" si="3"/>
        <v>0.16526608336829315</v>
      </c>
    </row>
    <row r="13" spans="1:36" x14ac:dyDescent="0.35">
      <c r="A13" t="s">
        <v>63</v>
      </c>
      <c r="B13" t="s">
        <v>76</v>
      </c>
      <c r="C13" s="4" t="s">
        <v>68</v>
      </c>
      <c r="D13" s="3">
        <f t="shared" ca="1" si="4"/>
        <v>7.7084317379732719E-3</v>
      </c>
      <c r="E13" s="3">
        <f t="shared" ca="1" si="3"/>
        <v>7.9141588581370555E-3</v>
      </c>
      <c r="F13" s="3">
        <f t="shared" ca="1" si="3"/>
        <v>8.7506335492500576E-3</v>
      </c>
      <c r="G13" s="3">
        <f t="shared" ca="1" si="3"/>
        <v>1.0613716964452184E-2</v>
      </c>
      <c r="H13" s="3">
        <f t="shared" ca="1" si="3"/>
        <v>1.1626299653767403E-2</v>
      </c>
      <c r="I13" s="3">
        <f t="shared" ca="1" si="3"/>
        <v>1.21929226097581E-2</v>
      </c>
      <c r="J13" s="3">
        <f t="shared" ca="1" si="3"/>
        <v>1.40952720178235E-2</v>
      </c>
      <c r="K13" s="3">
        <f t="shared" ca="1" si="3"/>
        <v>1.3289609381358085E-2</v>
      </c>
      <c r="L13" s="3">
        <f t="shared" ca="1" si="3"/>
        <v>1.5626356707338591E-2</v>
      </c>
      <c r="M13" s="3">
        <f t="shared" ca="1" si="3"/>
        <v>1.5809470648564982E-2</v>
      </c>
      <c r="N13" s="3">
        <f t="shared" ca="1" si="3"/>
        <v>1.7391742812403636E-2</v>
      </c>
      <c r="O13" s="3">
        <f t="shared" ca="1" si="3"/>
        <v>1.6987951813989401E-2</v>
      </c>
      <c r="P13" s="3">
        <f t="shared" ca="1" si="3"/>
        <v>2.0638989119504104E-2</v>
      </c>
      <c r="Q13" s="3">
        <f t="shared" ca="1" si="3"/>
        <v>1.8423864833321299E-2</v>
      </c>
      <c r="R13" s="3">
        <f t="shared" ca="1" si="3"/>
        <v>2.2422912796594443E-2</v>
      </c>
      <c r="S13" s="3">
        <f t="shared" ca="1" si="3"/>
        <v>2.1786803166332299E-2</v>
      </c>
      <c r="T13" s="3">
        <f t="shared" ca="1" si="3"/>
        <v>2.352409227284883E-2</v>
      </c>
      <c r="U13" s="3">
        <f t="shared" ca="1" si="3"/>
        <v>2.3905242692745944E-2</v>
      </c>
      <c r="V13" s="3">
        <f t="shared" ca="1" si="3"/>
        <v>2.4518107876395002E-2</v>
      </c>
      <c r="W13" s="3">
        <f t="shared" ca="1" si="3"/>
        <v>2.69887756972206E-2</v>
      </c>
      <c r="X13" s="3">
        <f t="shared" ca="1" si="3"/>
        <v>3.1592495878250956E-2</v>
      </c>
      <c r="Y13" s="3">
        <f t="shared" ca="1" si="3"/>
        <v>3.1432444536015458E-2</v>
      </c>
      <c r="Z13" s="3">
        <f t="shared" ca="1" si="3"/>
        <v>4.3711747457911655E-2</v>
      </c>
      <c r="AA13" s="3">
        <f t="shared" ca="1" si="3"/>
        <v>3.7464118434743635E-2</v>
      </c>
      <c r="AB13" s="3">
        <f t="shared" ca="1" si="3"/>
        <v>5.3345955475484E-2</v>
      </c>
      <c r="AC13" s="3">
        <f t="shared" ca="1" si="3"/>
        <v>4.2694397160940888E-2</v>
      </c>
      <c r="AD13" s="3">
        <f t="shared" ca="1" si="3"/>
        <v>6.151829075875076E-2</v>
      </c>
      <c r="AE13" s="3">
        <f t="shared" ca="1" si="3"/>
        <v>4.8256048595480189E-2</v>
      </c>
      <c r="AF13" s="3">
        <f t="shared" ca="1" si="3"/>
        <v>7.1501390339330145E-2</v>
      </c>
      <c r="AG13" s="3">
        <f t="shared" ca="1" si="3"/>
        <v>5.2972768810459724E-2</v>
      </c>
      <c r="AH13" s="3">
        <f t="shared" ca="1" si="3"/>
        <v>9.8610229339929981E-2</v>
      </c>
      <c r="AI13" s="3">
        <f t="shared" ca="1" si="3"/>
        <v>8.2886936872006295E-2</v>
      </c>
      <c r="AJ13" s="3">
        <f t="shared" ca="1" si="3"/>
        <v>0.16617444105908202</v>
      </c>
    </row>
    <row r="14" spans="1:36" x14ac:dyDescent="0.35">
      <c r="A14" t="s">
        <v>63</v>
      </c>
      <c r="B14" t="s">
        <v>76</v>
      </c>
      <c r="C14" s="4">
        <v>4</v>
      </c>
      <c r="D14" s="3">
        <f t="shared" ca="1" si="4"/>
        <v>8.6677100182772325E-3</v>
      </c>
      <c r="E14" s="3">
        <f t="shared" ca="1" si="3"/>
        <v>8.9135343469601263E-3</v>
      </c>
      <c r="F14" s="3">
        <f t="shared" ca="1" si="3"/>
        <v>9.6872614703184708E-3</v>
      </c>
      <c r="G14" s="3">
        <f t="shared" ca="1" si="3"/>
        <v>1.1590837431547962E-2</v>
      </c>
      <c r="H14" s="3">
        <f t="shared" ca="1" si="3"/>
        <v>1.2614074446901323E-2</v>
      </c>
      <c r="I14" s="3">
        <f t="shared" ca="1" si="3"/>
        <v>1.3173988161641909E-2</v>
      </c>
      <c r="J14" s="3">
        <f t="shared" ca="1" si="3"/>
        <v>1.5004839022599937E-2</v>
      </c>
      <c r="K14" s="3">
        <f t="shared" ca="1" si="3"/>
        <v>1.4285906576457888E-2</v>
      </c>
      <c r="L14" s="3">
        <f t="shared" ca="1" si="3"/>
        <v>1.6541807990204455E-2</v>
      </c>
      <c r="M14" s="3">
        <f t="shared" ca="1" si="3"/>
        <v>1.6803565576580318E-2</v>
      </c>
      <c r="N14" s="3">
        <f t="shared" ca="1" si="3"/>
        <v>1.8344309965267886E-2</v>
      </c>
      <c r="O14" s="3">
        <f t="shared" ca="1" si="3"/>
        <v>1.792816887160581E-2</v>
      </c>
      <c r="P14" s="3">
        <f t="shared" ca="1" si="3"/>
        <v>2.1587517428433994E-2</v>
      </c>
      <c r="Q14" s="3">
        <f t="shared" ca="1" si="3"/>
        <v>1.9384172015897053E-2</v>
      </c>
      <c r="R14" s="3">
        <f t="shared" ca="1" si="3"/>
        <v>2.3389367874658309E-2</v>
      </c>
      <c r="S14" s="3">
        <f t="shared" ca="1" si="3"/>
        <v>2.2751578555934165E-2</v>
      </c>
      <c r="T14" s="3">
        <f t="shared" ca="1" si="3"/>
        <v>2.4464714261268092E-2</v>
      </c>
      <c r="U14" s="3">
        <f t="shared" ca="1" si="3"/>
        <v>2.4808127986813224E-2</v>
      </c>
      <c r="V14" s="3">
        <f t="shared" ca="1" si="3"/>
        <v>2.5516033601478038E-2</v>
      </c>
      <c r="W14" s="3">
        <f t="shared" ca="1" si="3"/>
        <v>2.7922501814760182E-2</v>
      </c>
      <c r="X14" s="3">
        <f t="shared" ca="1" si="3"/>
        <v>3.2543995423398885E-2</v>
      </c>
      <c r="Y14" s="3">
        <f t="shared" ca="1" si="3"/>
        <v>3.2392047842902047E-2</v>
      </c>
      <c r="Z14" s="3">
        <f t="shared" ca="1" si="3"/>
        <v>4.4705449436738792E-2</v>
      </c>
      <c r="AA14" s="3">
        <f t="shared" ca="1" si="3"/>
        <v>3.84275927558686E-2</v>
      </c>
      <c r="AB14" s="3">
        <f t="shared" ca="1" si="3"/>
        <v>5.4310897289710766E-2</v>
      </c>
      <c r="AC14" s="3">
        <f t="shared" ca="1" si="3"/>
        <v>4.3689802367854996E-2</v>
      </c>
      <c r="AD14" s="3">
        <f t="shared" ca="1" si="3"/>
        <v>6.2478755302205577E-2</v>
      </c>
      <c r="AE14" s="3">
        <f t="shared" ca="1" si="3"/>
        <v>4.9158401286225804E-2</v>
      </c>
      <c r="AF14" s="3">
        <f t="shared" ca="1" si="3"/>
        <v>7.2451511318269005E-2</v>
      </c>
      <c r="AG14" s="3">
        <f t="shared" ca="1" si="3"/>
        <v>5.3933855808909699E-2</v>
      </c>
      <c r="AH14" s="3">
        <f t="shared" ca="1" si="3"/>
        <v>9.9557557261514246E-2</v>
      </c>
      <c r="AI14" s="3">
        <f t="shared" ca="1" si="3"/>
        <v>8.3886722935474459E-2</v>
      </c>
      <c r="AJ14" s="3">
        <f t="shared" ref="AJ14:AJ24" ca="1" si="5">AJ13+RAND()*($D$3-$C$3)+$C$3</f>
        <v>0.1670752177309564</v>
      </c>
    </row>
    <row r="15" spans="1:36" x14ac:dyDescent="0.35">
      <c r="A15" t="s">
        <v>63</v>
      </c>
      <c r="B15" t="s">
        <v>76</v>
      </c>
      <c r="C15" s="4" t="s">
        <v>69</v>
      </c>
      <c r="D15" s="3">
        <f t="shared" ca="1" si="4"/>
        <v>9.5841947107623594E-3</v>
      </c>
      <c r="E15" s="3">
        <f t="shared" ref="E15:E24" ca="1" si="6">E14+RAND()*($D$3-$C$3)+$C$3</f>
        <v>9.8492013972444493E-3</v>
      </c>
      <c r="F15" s="3">
        <f t="shared" ref="F15:F24" ca="1" si="7">F14+RAND()*($D$3-$C$3)+$C$3</f>
        <v>1.0626829121369606E-2</v>
      </c>
      <c r="G15" s="3">
        <f t="shared" ref="G15:G24" ca="1" si="8">G14+RAND()*($D$3-$C$3)+$C$3</f>
        <v>1.2558847639654831E-2</v>
      </c>
      <c r="H15" s="3">
        <f t="shared" ref="H15:H24" ca="1" si="9">H14+RAND()*($D$3-$C$3)+$C$3</f>
        <v>1.3581648252572305E-2</v>
      </c>
      <c r="I15" s="3">
        <f t="shared" ref="I15:I24" ca="1" si="10">I14+RAND()*($D$3-$C$3)+$C$3</f>
        <v>1.4121003460088096E-2</v>
      </c>
      <c r="J15" s="3">
        <f t="shared" ref="J15:J24" ca="1" si="11">J14+RAND()*($D$3-$C$3)+$C$3</f>
        <v>1.5968389396059168E-2</v>
      </c>
      <c r="K15" s="3">
        <f t="shared" ref="K15:K24" ca="1" si="12">K14+RAND()*($D$3-$C$3)+$C$3</f>
        <v>1.5282601822707992E-2</v>
      </c>
      <c r="L15" s="3">
        <f t="shared" ref="L15:L24" ca="1" si="13">L14+RAND()*($D$3-$C$3)+$C$3</f>
        <v>1.7528125036651056E-2</v>
      </c>
      <c r="M15" s="3">
        <f t="shared" ref="M15:M24" ca="1" si="14">M14+RAND()*($D$3-$C$3)+$C$3</f>
        <v>1.7752972928767111E-2</v>
      </c>
      <c r="N15" s="3">
        <f t="shared" ref="N15:N24" ca="1" si="15">N14+RAND()*($D$3-$C$3)+$C$3</f>
        <v>1.9274698007103068E-2</v>
      </c>
      <c r="O15" s="3">
        <f t="shared" ref="O15:O24" ca="1" si="16">O14+RAND()*($D$3-$C$3)+$C$3</f>
        <v>1.886701501744838E-2</v>
      </c>
      <c r="P15" s="3">
        <f t="shared" ref="P15:P24" ca="1" si="17">P14+RAND()*($D$3-$C$3)+$C$3</f>
        <v>2.2537198093096657E-2</v>
      </c>
      <c r="Q15" s="3">
        <f t="shared" ref="Q15:Q24" ca="1" si="18">Q14+RAND()*($D$3-$C$3)+$C$3</f>
        <v>2.0334874162220743E-2</v>
      </c>
      <c r="R15" s="3">
        <f t="shared" ref="R15:R24" ca="1" si="19">R14+RAND()*($D$3-$C$3)+$C$3</f>
        <v>2.4372598653691509E-2</v>
      </c>
      <c r="S15" s="3">
        <f t="shared" ref="S15:S24" ca="1" si="20">S14+RAND()*($D$3-$C$3)+$C$3</f>
        <v>2.3706846782769801E-2</v>
      </c>
      <c r="T15" s="3">
        <f t="shared" ref="T15:T24" ca="1" si="21">T14+RAND()*($D$3-$C$3)+$C$3</f>
        <v>2.5419041456490456E-2</v>
      </c>
      <c r="U15" s="3">
        <f t="shared" ref="U15:U24" ca="1" si="22">U14+RAND()*($D$3-$C$3)+$C$3</f>
        <v>2.5734398693723095E-2</v>
      </c>
      <c r="V15" s="3">
        <f t="shared" ref="V15:V24" ca="1" si="23">V14+RAND()*($D$3-$C$3)+$C$3</f>
        <v>2.6512421748922009E-2</v>
      </c>
      <c r="W15" s="3">
        <f t="shared" ref="W15:W24" ca="1" si="24">W14+RAND()*($D$3-$C$3)+$C$3</f>
        <v>2.8886282897960081E-2</v>
      </c>
      <c r="X15" s="3">
        <f t="shared" ref="X15:X24" ca="1" si="25">X14+RAND()*($D$3-$C$3)+$C$3</f>
        <v>3.34854025744638E-2</v>
      </c>
      <c r="Y15" s="3">
        <f t="shared" ref="Y15:Y24" ca="1" si="26">Y14+RAND()*($D$3-$C$3)+$C$3</f>
        <v>3.3319198919238013E-2</v>
      </c>
      <c r="Z15" s="3">
        <f t="shared" ref="Z15:Z24" ca="1" si="27">Z14+RAND()*($D$3-$C$3)+$C$3</f>
        <v>4.5679182807404455E-2</v>
      </c>
      <c r="AA15" s="3">
        <f t="shared" ref="AA15:AA24" ca="1" si="28">AA14+RAND()*($D$3-$C$3)+$C$3</f>
        <v>3.9356001933157705E-2</v>
      </c>
      <c r="AB15" s="3">
        <f t="shared" ref="AB15:AB24" ca="1" si="29">AB14+RAND()*($D$3-$C$3)+$C$3</f>
        <v>5.5301583185981856E-2</v>
      </c>
      <c r="AC15" s="3">
        <f t="shared" ref="AC15:AC24" ca="1" si="30">AC14+RAND()*($D$3-$C$3)+$C$3</f>
        <v>4.4635272908592677E-2</v>
      </c>
      <c r="AD15" s="3">
        <f t="shared" ref="AD15:AD24" ca="1" si="31">AD14+RAND()*($D$3-$C$3)+$C$3</f>
        <v>6.3445138765231446E-2</v>
      </c>
      <c r="AE15" s="3">
        <f t="shared" ref="AE15:AE24" ca="1" si="32">AE14+RAND()*($D$3-$C$3)+$C$3</f>
        <v>5.0118769335408389E-2</v>
      </c>
      <c r="AF15" s="3">
        <f t="shared" ref="AF15:AF24" ca="1" si="33">AF14+RAND()*($D$3-$C$3)+$C$3</f>
        <v>7.3448129820980784E-2</v>
      </c>
      <c r="AG15" s="3">
        <f t="shared" ref="AG15:AG24" ca="1" si="34">AG14+RAND()*($D$3-$C$3)+$C$3</f>
        <v>5.4902818959252142E-2</v>
      </c>
      <c r="AH15" s="3">
        <f t="shared" ref="AH15:AH24" ca="1" si="35">AH14+RAND()*($D$3-$C$3)+$C$3</f>
        <v>0.10045765390513774</v>
      </c>
      <c r="AI15" s="3">
        <f t="shared" ref="AI15:AI24" ca="1" si="36">AI14+RAND()*($D$3-$C$3)+$C$3</f>
        <v>8.4868729882693353E-2</v>
      </c>
      <c r="AJ15" s="3">
        <f t="shared" ca="1" si="5"/>
        <v>0.16797915607839867</v>
      </c>
    </row>
    <row r="16" spans="1:36" x14ac:dyDescent="0.35">
      <c r="A16" t="s">
        <v>63</v>
      </c>
      <c r="B16" t="s">
        <v>76</v>
      </c>
      <c r="C16" s="4" t="s">
        <v>70</v>
      </c>
      <c r="D16" s="3">
        <f t="shared" ca="1" si="4"/>
        <v>1.0523112061350681E-2</v>
      </c>
      <c r="E16" s="3">
        <f t="shared" ca="1" si="6"/>
        <v>1.0816882642038964E-2</v>
      </c>
      <c r="F16" s="3">
        <f t="shared" ca="1" si="7"/>
        <v>1.1599630135323729E-2</v>
      </c>
      <c r="G16" s="3">
        <f t="shared" ca="1" si="8"/>
        <v>1.3553263184614944E-2</v>
      </c>
      <c r="H16" s="3">
        <f t="shared" ca="1" si="9"/>
        <v>1.4482467910668463E-2</v>
      </c>
      <c r="I16" s="3">
        <f t="shared" ca="1" si="10"/>
        <v>1.5038911721264776E-2</v>
      </c>
      <c r="J16" s="3">
        <f t="shared" ca="1" si="11"/>
        <v>1.6899360507581684E-2</v>
      </c>
      <c r="K16" s="3">
        <f t="shared" ca="1" si="12"/>
        <v>1.6208539089533298E-2</v>
      </c>
      <c r="L16" s="3">
        <f t="shared" ca="1" si="13"/>
        <v>1.848343119874327E-2</v>
      </c>
      <c r="M16" s="3">
        <f t="shared" ca="1" si="14"/>
        <v>1.873807497410232E-2</v>
      </c>
      <c r="N16" s="3">
        <f t="shared" ca="1" si="15"/>
        <v>2.026370171331783E-2</v>
      </c>
      <c r="O16" s="3">
        <f t="shared" ca="1" si="16"/>
        <v>1.9775425950075788E-2</v>
      </c>
      <c r="P16" s="3">
        <f t="shared" ca="1" si="17"/>
        <v>2.3491083639963394E-2</v>
      </c>
      <c r="Q16" s="3">
        <f t="shared" ca="1" si="18"/>
        <v>2.1319204983845937E-2</v>
      </c>
      <c r="R16" s="3">
        <f t="shared" ca="1" si="19"/>
        <v>2.5307908545845251E-2</v>
      </c>
      <c r="S16" s="3">
        <f t="shared" ca="1" si="20"/>
        <v>2.4644330597377861E-2</v>
      </c>
      <c r="T16" s="3">
        <f t="shared" ca="1" si="21"/>
        <v>2.641358917475984E-2</v>
      </c>
      <c r="U16" s="3">
        <f t="shared" ca="1" si="22"/>
        <v>2.6724282230919671E-2</v>
      </c>
      <c r="V16" s="3">
        <f t="shared" ca="1" si="23"/>
        <v>2.7495899234573531E-2</v>
      </c>
      <c r="W16" s="3">
        <f t="shared" ca="1" si="24"/>
        <v>2.9824362858411235E-2</v>
      </c>
      <c r="X16" s="3">
        <f t="shared" ca="1" si="25"/>
        <v>3.4394770239329603E-2</v>
      </c>
      <c r="Y16" s="3">
        <f t="shared" ca="1" si="26"/>
        <v>3.4232931345332132E-2</v>
      </c>
      <c r="Z16" s="3">
        <f t="shared" ca="1" si="27"/>
        <v>4.6645068465414934E-2</v>
      </c>
      <c r="AA16" s="3">
        <f t="shared" ca="1" si="28"/>
        <v>4.0337076730445058E-2</v>
      </c>
      <c r="AB16" s="3">
        <f t="shared" ca="1" si="29"/>
        <v>5.6258669423476161E-2</v>
      </c>
      <c r="AC16" s="3">
        <f t="shared" ca="1" si="30"/>
        <v>4.5580582467148141E-2</v>
      </c>
      <c r="AD16" s="3">
        <f t="shared" ca="1" si="31"/>
        <v>6.4352392710119943E-2</v>
      </c>
      <c r="AE16" s="3">
        <f t="shared" ca="1" si="32"/>
        <v>5.1024271440943646E-2</v>
      </c>
      <c r="AF16" s="3">
        <f t="shared" ca="1" si="33"/>
        <v>7.4391289563658133E-2</v>
      </c>
      <c r="AG16" s="3">
        <f t="shared" ca="1" si="34"/>
        <v>5.5815575790499165E-2</v>
      </c>
      <c r="AH16" s="3">
        <f t="shared" ca="1" si="35"/>
        <v>0.10138236159914148</v>
      </c>
      <c r="AI16" s="3">
        <f t="shared" ca="1" si="36"/>
        <v>8.5814487978789072E-2</v>
      </c>
      <c r="AJ16" s="3">
        <f t="shared" ca="1" si="5"/>
        <v>0.16891369937451087</v>
      </c>
    </row>
    <row r="17" spans="1:36" x14ac:dyDescent="0.35">
      <c r="A17" t="s">
        <v>63</v>
      </c>
      <c r="B17" t="s">
        <v>76</v>
      </c>
      <c r="C17" s="4">
        <v>5</v>
      </c>
      <c r="D17" s="3">
        <f t="shared" ca="1" si="4"/>
        <v>1.1492190711387264E-2</v>
      </c>
      <c r="E17" s="3">
        <f t="shared" ca="1" si="6"/>
        <v>1.1757829781691502E-2</v>
      </c>
      <c r="F17" s="3">
        <f t="shared" ca="1" si="7"/>
        <v>1.2535935912396441E-2</v>
      </c>
      <c r="G17" s="3">
        <f t="shared" ca="1" si="8"/>
        <v>1.4548794499744113E-2</v>
      </c>
      <c r="H17" s="3">
        <f t="shared" ca="1" si="9"/>
        <v>1.5452822905508602E-2</v>
      </c>
      <c r="I17" s="3">
        <f t="shared" ca="1" si="10"/>
        <v>1.5975220516922094E-2</v>
      </c>
      <c r="J17" s="3">
        <f t="shared" ca="1" si="11"/>
        <v>1.7827210669389387E-2</v>
      </c>
      <c r="K17" s="3">
        <f t="shared" ca="1" si="12"/>
        <v>1.719629252125893E-2</v>
      </c>
      <c r="L17" s="3">
        <f t="shared" ca="1" si="13"/>
        <v>1.938632831459345E-2</v>
      </c>
      <c r="M17" s="3">
        <f t="shared" ca="1" si="14"/>
        <v>1.9683003004481361E-2</v>
      </c>
      <c r="N17" s="3">
        <f t="shared" ca="1" si="15"/>
        <v>2.1263515245694E-2</v>
      </c>
      <c r="O17" s="3">
        <f t="shared" ca="1" si="16"/>
        <v>2.0758951880278761E-2</v>
      </c>
      <c r="P17" s="3">
        <f t="shared" ca="1" si="17"/>
        <v>2.446974827841562E-2</v>
      </c>
      <c r="Q17" s="3">
        <f t="shared" ca="1" si="18"/>
        <v>2.2314213924002776E-2</v>
      </c>
      <c r="R17" s="3">
        <f t="shared" ca="1" si="19"/>
        <v>2.6262879475122829E-2</v>
      </c>
      <c r="S17" s="3">
        <f t="shared" ca="1" si="20"/>
        <v>2.5589166453362896E-2</v>
      </c>
      <c r="T17" s="3">
        <f t="shared" ca="1" si="21"/>
        <v>2.7367105554384766E-2</v>
      </c>
      <c r="U17" s="3">
        <f t="shared" ca="1" si="22"/>
        <v>2.7719100639236587E-2</v>
      </c>
      <c r="V17" s="3">
        <f t="shared" ca="1" si="23"/>
        <v>2.8425901175665423E-2</v>
      </c>
      <c r="W17" s="3">
        <f t="shared" ca="1" si="24"/>
        <v>3.0822284727731325E-2</v>
      </c>
      <c r="X17" s="3">
        <f t="shared" ca="1" si="25"/>
        <v>3.534239061207313E-2</v>
      </c>
      <c r="Y17" s="3">
        <f t="shared" ca="1" si="26"/>
        <v>3.513411588292293E-2</v>
      </c>
      <c r="Z17" s="3">
        <f t="shared" ca="1" si="27"/>
        <v>4.7580327123027621E-2</v>
      </c>
      <c r="AA17" s="3">
        <f t="shared" ca="1" si="28"/>
        <v>4.130393695154938E-2</v>
      </c>
      <c r="AB17" s="3">
        <f t="shared" ca="1" si="29"/>
        <v>5.7244664619405326E-2</v>
      </c>
      <c r="AC17" s="3">
        <f t="shared" ca="1" si="30"/>
        <v>4.6512824361098278E-2</v>
      </c>
      <c r="AD17" s="3">
        <f t="shared" ca="1" si="31"/>
        <v>6.5333139568749407E-2</v>
      </c>
      <c r="AE17" s="3">
        <f t="shared" ca="1" si="32"/>
        <v>5.2013341785540873E-2</v>
      </c>
      <c r="AF17" s="3">
        <f t="shared" ca="1" si="33"/>
        <v>7.5308349184547776E-2</v>
      </c>
      <c r="AG17" s="3">
        <f t="shared" ca="1" si="34"/>
        <v>5.6795013893240216E-2</v>
      </c>
      <c r="AH17" s="3">
        <f t="shared" ca="1" si="35"/>
        <v>0.10229886226862743</v>
      </c>
      <c r="AI17" s="3">
        <f t="shared" ca="1" si="36"/>
        <v>8.6719990894986776E-2</v>
      </c>
      <c r="AJ17" s="3">
        <f t="shared" ca="1" si="5"/>
        <v>0.16988647927439454</v>
      </c>
    </row>
    <row r="18" spans="1:36" x14ac:dyDescent="0.35">
      <c r="A18" t="s">
        <v>63</v>
      </c>
      <c r="B18" t="s">
        <v>76</v>
      </c>
      <c r="C18" s="4" t="s">
        <v>71</v>
      </c>
      <c r="D18" s="3">
        <f t="shared" ca="1" si="4"/>
        <v>1.2484454900301319E-2</v>
      </c>
      <c r="E18" s="3">
        <f t="shared" ca="1" si="6"/>
        <v>1.2686051836511553E-2</v>
      </c>
      <c r="F18" s="3">
        <f t="shared" ca="1" si="7"/>
        <v>1.347826047311685E-2</v>
      </c>
      <c r="G18" s="3">
        <f t="shared" ca="1" si="8"/>
        <v>1.5489371479568387E-2</v>
      </c>
      <c r="H18" s="3">
        <f t="shared" ca="1" si="9"/>
        <v>1.6362343993236723E-2</v>
      </c>
      <c r="I18" s="3">
        <f t="shared" ca="1" si="10"/>
        <v>1.6911255881639515E-2</v>
      </c>
      <c r="J18" s="3">
        <f t="shared" ca="1" si="11"/>
        <v>1.8777221799076566E-2</v>
      </c>
      <c r="K18" s="3">
        <f t="shared" ca="1" si="12"/>
        <v>1.8152562866536735E-2</v>
      </c>
      <c r="L18" s="3">
        <f t="shared" ca="1" si="13"/>
        <v>2.037798972414669E-2</v>
      </c>
      <c r="M18" s="3">
        <f t="shared" ca="1" si="14"/>
        <v>2.0663672245828182E-2</v>
      </c>
      <c r="N18" s="3">
        <f t="shared" ca="1" si="15"/>
        <v>2.2257238766008405E-2</v>
      </c>
      <c r="O18" s="3">
        <f t="shared" ca="1" si="16"/>
        <v>2.1707783696861455E-2</v>
      </c>
      <c r="P18" s="3">
        <f t="shared" ca="1" si="17"/>
        <v>2.5381512587715812E-2</v>
      </c>
      <c r="Q18" s="3">
        <f t="shared" ca="1" si="18"/>
        <v>2.327375573810293E-2</v>
      </c>
      <c r="R18" s="3">
        <f t="shared" ca="1" si="19"/>
        <v>2.7224006454352273E-2</v>
      </c>
      <c r="S18" s="3">
        <f t="shared" ca="1" si="20"/>
        <v>2.6554680141082899E-2</v>
      </c>
      <c r="T18" s="3">
        <f t="shared" ca="1" si="21"/>
        <v>2.8280803373116514E-2</v>
      </c>
      <c r="U18" s="3">
        <f t="shared" ca="1" si="22"/>
        <v>2.8647362019711405E-2</v>
      </c>
      <c r="V18" s="3">
        <f t="shared" ca="1" si="23"/>
        <v>2.9391946009736162E-2</v>
      </c>
      <c r="W18" s="3">
        <f t="shared" ca="1" si="24"/>
        <v>3.1821584433293755E-2</v>
      </c>
      <c r="X18" s="3">
        <f t="shared" ca="1" si="25"/>
        <v>3.6299206174396269E-2</v>
      </c>
      <c r="Y18" s="3">
        <f t="shared" ca="1" si="26"/>
        <v>3.6077544099665154E-2</v>
      </c>
      <c r="Z18" s="3">
        <f t="shared" ca="1" si="27"/>
        <v>4.8552309449170647E-2</v>
      </c>
      <c r="AA18" s="3">
        <f t="shared" ca="1" si="28"/>
        <v>4.2292686553740695E-2</v>
      </c>
      <c r="AB18" s="3">
        <f t="shared" ca="1" si="29"/>
        <v>5.8174241081540679E-2</v>
      </c>
      <c r="AC18" s="3">
        <f t="shared" ca="1" si="30"/>
        <v>4.7414869977706046E-2</v>
      </c>
      <c r="AD18" s="3">
        <f t="shared" ca="1" si="31"/>
        <v>6.6244362191161699E-2</v>
      </c>
      <c r="AE18" s="3">
        <f t="shared" ca="1" si="32"/>
        <v>5.2963008350562536E-2</v>
      </c>
      <c r="AF18" s="3">
        <f t="shared" ca="1" si="33"/>
        <v>7.6271686897043445E-2</v>
      </c>
      <c r="AG18" s="3">
        <f t="shared" ca="1" si="34"/>
        <v>5.7747341133391555E-2</v>
      </c>
      <c r="AH18" s="3">
        <f t="shared" ca="1" si="35"/>
        <v>0.10323751749255068</v>
      </c>
      <c r="AI18" s="3">
        <f t="shared" ca="1" si="36"/>
        <v>8.7714647270720814E-2</v>
      </c>
      <c r="AJ18" s="3">
        <f t="shared" ca="1" si="5"/>
        <v>0.17088108553655043</v>
      </c>
    </row>
    <row r="19" spans="1:36" x14ac:dyDescent="0.35">
      <c r="A19" t="s">
        <v>63</v>
      </c>
      <c r="B19" t="s">
        <v>76</v>
      </c>
      <c r="C19" s="4" t="s">
        <v>72</v>
      </c>
      <c r="D19" s="3">
        <f t="shared" ca="1" si="4"/>
        <v>1.3438939243967914E-2</v>
      </c>
      <c r="E19" s="3">
        <f t="shared" ca="1" si="6"/>
        <v>1.3644712168429973E-2</v>
      </c>
      <c r="F19" s="3">
        <f t="shared" ca="1" si="7"/>
        <v>1.4415597778274208E-2</v>
      </c>
      <c r="G19" s="3">
        <f t="shared" ca="1" si="8"/>
        <v>1.6473693954814003E-2</v>
      </c>
      <c r="H19" s="3">
        <f t="shared" ca="1" si="9"/>
        <v>1.7352076935953295E-2</v>
      </c>
      <c r="I19" s="3">
        <f t="shared" ca="1" si="10"/>
        <v>1.7847010510658352E-2</v>
      </c>
      <c r="J19" s="3">
        <f t="shared" ca="1" si="11"/>
        <v>1.9767276567622259E-2</v>
      </c>
      <c r="K19" s="3">
        <f t="shared" ca="1" si="12"/>
        <v>1.9072023986234091E-2</v>
      </c>
      <c r="L19" s="3">
        <f t="shared" ca="1" si="13"/>
        <v>2.1328679218008819E-2</v>
      </c>
      <c r="M19" s="3">
        <f t="shared" ca="1" si="14"/>
        <v>2.163665778668623E-2</v>
      </c>
      <c r="N19" s="3">
        <f t="shared" ca="1" si="15"/>
        <v>2.3235393058275915E-2</v>
      </c>
      <c r="O19" s="3">
        <f t="shared" ca="1" si="16"/>
        <v>2.2693052747464929E-2</v>
      </c>
      <c r="P19" s="3">
        <f t="shared" ca="1" si="17"/>
        <v>2.6353375629964971E-2</v>
      </c>
      <c r="Q19" s="3">
        <f t="shared" ca="1" si="18"/>
        <v>2.4179666982170913E-2</v>
      </c>
      <c r="R19" s="3">
        <f t="shared" ca="1" si="19"/>
        <v>2.8157258198657449E-2</v>
      </c>
      <c r="S19" s="3">
        <f t="shared" ca="1" si="20"/>
        <v>2.7501915946190423E-2</v>
      </c>
      <c r="T19" s="3">
        <f t="shared" ca="1" si="21"/>
        <v>2.9280352248944881E-2</v>
      </c>
      <c r="U19" s="3">
        <f t="shared" ca="1" si="22"/>
        <v>2.9595759629499344E-2</v>
      </c>
      <c r="V19" s="3">
        <f t="shared" ca="1" si="23"/>
        <v>3.0319788123702427E-2</v>
      </c>
      <c r="W19" s="3">
        <f t="shared" ca="1" si="24"/>
        <v>3.2811262402210759E-2</v>
      </c>
      <c r="X19" s="3">
        <f t="shared" ca="1" si="25"/>
        <v>3.7237038666692888E-2</v>
      </c>
      <c r="Y19" s="3">
        <f t="shared" ca="1" si="26"/>
        <v>3.7074734196958246E-2</v>
      </c>
      <c r="Z19" s="3">
        <f t="shared" ca="1" si="27"/>
        <v>4.9477911135174711E-2</v>
      </c>
      <c r="AA19" s="3">
        <f t="shared" ca="1" si="28"/>
        <v>4.3274771267108471E-2</v>
      </c>
      <c r="AB19" s="3">
        <f t="shared" ca="1" si="29"/>
        <v>5.9117932869385319E-2</v>
      </c>
      <c r="AC19" s="3">
        <f t="shared" ca="1" si="30"/>
        <v>4.8414404917709972E-2</v>
      </c>
      <c r="AD19" s="3">
        <f t="shared" ca="1" si="31"/>
        <v>6.7209359896021809E-2</v>
      </c>
      <c r="AE19" s="3">
        <f t="shared" ca="1" si="32"/>
        <v>5.3932612433054763E-2</v>
      </c>
      <c r="AF19" s="3">
        <f t="shared" ca="1" si="33"/>
        <v>7.7246337262454084E-2</v>
      </c>
      <c r="AG19" s="3">
        <f t="shared" ca="1" si="34"/>
        <v>5.8701428021291704E-2</v>
      </c>
      <c r="AH19" s="3">
        <f t="shared" ca="1" si="35"/>
        <v>0.10414310721984885</v>
      </c>
      <c r="AI19" s="3">
        <f t="shared" ca="1" si="36"/>
        <v>8.8662237692319526E-2</v>
      </c>
      <c r="AJ19" s="3">
        <f t="shared" ca="1" si="5"/>
        <v>0.17183654999430001</v>
      </c>
    </row>
    <row r="20" spans="1:36" x14ac:dyDescent="0.35">
      <c r="A20" t="s">
        <v>63</v>
      </c>
      <c r="B20" t="s">
        <v>76</v>
      </c>
      <c r="C20" s="4">
        <v>6</v>
      </c>
      <c r="D20" s="3">
        <f t="shared" ca="1" si="4"/>
        <v>1.4412748521250436E-2</v>
      </c>
      <c r="E20" s="3">
        <f t="shared" ca="1" si="6"/>
        <v>1.4563121751142178E-2</v>
      </c>
      <c r="F20" s="3">
        <f t="shared" ca="1" si="7"/>
        <v>1.5345193633923128E-2</v>
      </c>
      <c r="G20" s="3">
        <f t="shared" ca="1" si="8"/>
        <v>1.7422006573476836E-2</v>
      </c>
      <c r="H20" s="3">
        <f t="shared" ca="1" si="9"/>
        <v>1.8268702262347957E-2</v>
      </c>
      <c r="I20" s="3">
        <f t="shared" ca="1" si="10"/>
        <v>1.8770235805852447E-2</v>
      </c>
      <c r="J20" s="3">
        <f t="shared" ca="1" si="11"/>
        <v>2.0671972122494976E-2</v>
      </c>
      <c r="K20" s="3">
        <f t="shared" ca="1" si="12"/>
        <v>2.0007063927246448E-2</v>
      </c>
      <c r="L20" s="3">
        <f t="shared" ca="1" si="13"/>
        <v>2.2271303248341989E-2</v>
      </c>
      <c r="M20" s="3">
        <f t="shared" ca="1" si="14"/>
        <v>2.2610365876717657E-2</v>
      </c>
      <c r="N20" s="3">
        <f t="shared" ca="1" si="15"/>
        <v>2.4203749435113657E-2</v>
      </c>
      <c r="O20" s="3">
        <f t="shared" ca="1" si="16"/>
        <v>2.3691439995021719E-2</v>
      </c>
      <c r="P20" s="3">
        <f t="shared" ca="1" si="17"/>
        <v>2.7270604251097723E-2</v>
      </c>
      <c r="Q20" s="3">
        <f t="shared" ca="1" si="18"/>
        <v>2.5179408448813445E-2</v>
      </c>
      <c r="R20" s="3">
        <f t="shared" ca="1" si="19"/>
        <v>2.914236974163003E-2</v>
      </c>
      <c r="S20" s="3">
        <f t="shared" ca="1" si="20"/>
        <v>2.8466851635476575E-2</v>
      </c>
      <c r="T20" s="3">
        <f t="shared" ca="1" si="21"/>
        <v>3.0269073544278706E-2</v>
      </c>
      <c r="U20" s="3">
        <f t="shared" ca="1" si="22"/>
        <v>3.0571096995211537E-2</v>
      </c>
      <c r="V20" s="3">
        <f t="shared" ca="1" si="23"/>
        <v>3.1289308142138886E-2</v>
      </c>
      <c r="W20" s="3">
        <f t="shared" ca="1" si="24"/>
        <v>3.3804533323171106E-2</v>
      </c>
      <c r="X20" s="3">
        <f t="shared" ca="1" si="25"/>
        <v>3.8229769125465378E-2</v>
      </c>
      <c r="Y20" s="3">
        <f t="shared" ca="1" si="26"/>
        <v>3.8001000442242958E-2</v>
      </c>
      <c r="Z20" s="3">
        <f t="shared" ca="1" si="27"/>
        <v>5.0427924377241959E-2</v>
      </c>
      <c r="AA20" s="3">
        <f t="shared" ca="1" si="28"/>
        <v>4.4250966004294894E-2</v>
      </c>
      <c r="AB20" s="3">
        <f t="shared" ca="1" si="29"/>
        <v>6.0053966335099761E-2</v>
      </c>
      <c r="AC20" s="3">
        <f t="shared" ca="1" si="30"/>
        <v>4.9388499773208652E-2</v>
      </c>
      <c r="AD20" s="3">
        <f t="shared" ca="1" si="31"/>
        <v>6.8155431487015278E-2</v>
      </c>
      <c r="AE20" s="3">
        <f t="shared" ca="1" si="32"/>
        <v>5.4920315427896972E-2</v>
      </c>
      <c r="AF20" s="3">
        <f t="shared" ca="1" si="33"/>
        <v>7.8213708733095771E-2</v>
      </c>
      <c r="AG20" s="3">
        <f t="shared" ca="1" si="34"/>
        <v>5.9606942220334976E-2</v>
      </c>
      <c r="AH20" s="3">
        <f t="shared" ca="1" si="35"/>
        <v>0.10513563349026996</v>
      </c>
      <c r="AI20" s="3">
        <f t="shared" ca="1" si="36"/>
        <v>8.9629591952280194E-2</v>
      </c>
      <c r="AJ20" s="3">
        <f t="shared" ca="1" si="5"/>
        <v>0.17278064281299038</v>
      </c>
    </row>
    <row r="21" spans="1:36" x14ac:dyDescent="0.35">
      <c r="A21" t="s">
        <v>63</v>
      </c>
      <c r="B21" t="s">
        <v>76</v>
      </c>
      <c r="C21" s="4" t="s">
        <v>73</v>
      </c>
      <c r="D21" s="3">
        <f t="shared" ca="1" si="4"/>
        <v>1.5405762019646158E-2</v>
      </c>
      <c r="E21" s="3">
        <f t="shared" ca="1" si="6"/>
        <v>1.5557962367549253E-2</v>
      </c>
      <c r="F21" s="3">
        <f t="shared" ca="1" si="7"/>
        <v>1.6285233794687378E-2</v>
      </c>
      <c r="G21" s="3">
        <f t="shared" ca="1" si="8"/>
        <v>1.8323191021016209E-2</v>
      </c>
      <c r="H21" s="3">
        <f t="shared" ca="1" si="9"/>
        <v>1.9190680806712893E-2</v>
      </c>
      <c r="I21" s="3">
        <f t="shared" ca="1" si="10"/>
        <v>1.9721160579388559E-2</v>
      </c>
      <c r="J21" s="3">
        <f t="shared" ca="1" si="11"/>
        <v>2.1662093301223359E-2</v>
      </c>
      <c r="K21" s="3">
        <f t="shared" ca="1" si="12"/>
        <v>2.0907845358551034E-2</v>
      </c>
      <c r="L21" s="3">
        <f t="shared" ca="1" si="13"/>
        <v>2.3223102569838727E-2</v>
      </c>
      <c r="M21" s="3">
        <f t="shared" ca="1" si="14"/>
        <v>2.359615358864495E-2</v>
      </c>
      <c r="N21" s="3">
        <f t="shared" ca="1" si="15"/>
        <v>2.5179215680414414E-2</v>
      </c>
      <c r="O21" s="3">
        <f t="shared" ca="1" si="16"/>
        <v>2.4673053703103399E-2</v>
      </c>
      <c r="P21" s="3">
        <f t="shared" ca="1" si="17"/>
        <v>2.8219756104586307E-2</v>
      </c>
      <c r="Q21" s="3">
        <f t="shared" ca="1" si="18"/>
        <v>2.6155382846520383E-2</v>
      </c>
      <c r="R21" s="3">
        <f t="shared" ca="1" si="19"/>
        <v>3.0092459080454079E-2</v>
      </c>
      <c r="S21" s="3">
        <f t="shared" ca="1" si="20"/>
        <v>2.9426304819436377E-2</v>
      </c>
      <c r="T21" s="3">
        <f t="shared" ca="1" si="21"/>
        <v>3.1176411470082016E-2</v>
      </c>
      <c r="U21" s="3">
        <f t="shared" ca="1" si="22"/>
        <v>3.1496388431294799E-2</v>
      </c>
      <c r="V21" s="3">
        <f t="shared" ca="1" si="23"/>
        <v>3.2229871673949279E-2</v>
      </c>
      <c r="W21" s="3">
        <f t="shared" ca="1" si="24"/>
        <v>3.4782459582558427E-2</v>
      </c>
      <c r="X21" s="3">
        <f t="shared" ca="1" si="25"/>
        <v>3.9181579702867821E-2</v>
      </c>
      <c r="Y21" s="3">
        <f t="shared" ca="1" si="26"/>
        <v>3.8902737204013535E-2</v>
      </c>
      <c r="Z21" s="3">
        <f t="shared" ca="1" si="27"/>
        <v>5.1426583367858984E-2</v>
      </c>
      <c r="AA21" s="3">
        <f t="shared" ca="1" si="28"/>
        <v>4.5225144233269537E-2</v>
      </c>
      <c r="AB21" s="3">
        <f t="shared" ca="1" si="29"/>
        <v>6.0995697239400612E-2</v>
      </c>
      <c r="AC21" s="3">
        <f t="shared" ca="1" si="30"/>
        <v>5.0375085525391355E-2</v>
      </c>
      <c r="AD21" s="3">
        <f t="shared" ca="1" si="31"/>
        <v>6.9094084240374207E-2</v>
      </c>
      <c r="AE21" s="3">
        <f t="shared" ca="1" si="32"/>
        <v>5.5894842995068791E-2</v>
      </c>
      <c r="AF21" s="3">
        <f t="shared" ca="1" si="33"/>
        <v>7.9136199180755942E-2</v>
      </c>
      <c r="AG21" s="3">
        <f t="shared" ca="1" si="34"/>
        <v>6.0584020613767262E-2</v>
      </c>
      <c r="AH21" s="3">
        <f t="shared" ca="1" si="35"/>
        <v>0.10605028626100148</v>
      </c>
      <c r="AI21" s="3">
        <f t="shared" ca="1" si="36"/>
        <v>9.0596133129247844E-2</v>
      </c>
      <c r="AJ21" s="3">
        <f t="shared" ca="1" si="5"/>
        <v>0.17369399884461831</v>
      </c>
    </row>
    <row r="22" spans="1:36" x14ac:dyDescent="0.35">
      <c r="A22" t="s">
        <v>63</v>
      </c>
      <c r="B22" t="s">
        <v>76</v>
      </c>
      <c r="C22" s="4" t="s">
        <v>74</v>
      </c>
      <c r="D22" s="3">
        <f t="shared" ca="1" si="4"/>
        <v>1.6323956046054511E-2</v>
      </c>
      <c r="E22" s="3">
        <f t="shared" ca="1" si="6"/>
        <v>1.6535229102321067E-2</v>
      </c>
      <c r="F22" s="3">
        <f t="shared" ca="1" si="7"/>
        <v>1.7221165352956324E-2</v>
      </c>
      <c r="G22" s="3">
        <f t="shared" ca="1" si="8"/>
        <v>1.9264475917527422E-2</v>
      </c>
      <c r="H22" s="3">
        <f t="shared" ca="1" si="9"/>
        <v>2.0110506505250168E-2</v>
      </c>
      <c r="I22" s="3">
        <f t="shared" ca="1" si="10"/>
        <v>2.0691737270141192E-2</v>
      </c>
      <c r="J22" s="3">
        <f t="shared" ca="1" si="11"/>
        <v>2.2642517697877049E-2</v>
      </c>
      <c r="K22" s="3">
        <f t="shared" ca="1" si="12"/>
        <v>2.1867936768599012E-2</v>
      </c>
      <c r="L22" s="3">
        <f t="shared" ca="1" si="13"/>
        <v>2.4205066646935173E-2</v>
      </c>
      <c r="M22" s="3">
        <f t="shared" ca="1" si="14"/>
        <v>2.4575381582484866E-2</v>
      </c>
      <c r="N22" s="3">
        <f t="shared" ca="1" si="15"/>
        <v>2.6120671372874105E-2</v>
      </c>
      <c r="O22" s="3">
        <f t="shared" ca="1" si="16"/>
        <v>2.5611253627850043E-2</v>
      </c>
      <c r="P22" s="3">
        <f t="shared" ca="1" si="17"/>
        <v>2.9211963898851463E-2</v>
      </c>
      <c r="Q22" s="3">
        <f t="shared" ca="1" si="18"/>
        <v>2.7099948449425978E-2</v>
      </c>
      <c r="R22" s="3">
        <f t="shared" ca="1" si="19"/>
        <v>3.10289761957009E-2</v>
      </c>
      <c r="S22" s="3">
        <f t="shared" ca="1" si="20"/>
        <v>3.0407068323256889E-2</v>
      </c>
      <c r="T22" s="3">
        <f t="shared" ca="1" si="21"/>
        <v>3.2133904671322627E-2</v>
      </c>
      <c r="U22" s="3">
        <f t="shared" ca="1" si="22"/>
        <v>3.2427922067647177E-2</v>
      </c>
      <c r="V22" s="3">
        <f t="shared" ca="1" si="23"/>
        <v>3.3215559904088345E-2</v>
      </c>
      <c r="W22" s="3">
        <f t="shared" ca="1" si="24"/>
        <v>3.5771454650514796E-2</v>
      </c>
      <c r="X22" s="3">
        <f t="shared" ca="1" si="25"/>
        <v>4.0160612506787111E-2</v>
      </c>
      <c r="Y22" s="3">
        <f t="shared" ca="1" si="26"/>
        <v>3.9873468736625298E-2</v>
      </c>
      <c r="Z22" s="3">
        <f t="shared" ca="1" si="27"/>
        <v>5.23415361005274E-2</v>
      </c>
      <c r="AA22" s="3">
        <f t="shared" ca="1" si="28"/>
        <v>4.6176968016531046E-2</v>
      </c>
      <c r="AB22" s="3">
        <f t="shared" ca="1" si="29"/>
        <v>6.1990123550503345E-2</v>
      </c>
      <c r="AC22" s="3">
        <f t="shared" ca="1" si="30"/>
        <v>5.1309467160535249E-2</v>
      </c>
      <c r="AD22" s="3">
        <f t="shared" ca="1" si="31"/>
        <v>7.0018612671417679E-2</v>
      </c>
      <c r="AE22" s="3">
        <f t="shared" ca="1" si="32"/>
        <v>5.6894683369195932E-2</v>
      </c>
      <c r="AF22" s="3">
        <f t="shared" ca="1" si="33"/>
        <v>8.007797767520565E-2</v>
      </c>
      <c r="AG22" s="3">
        <f t="shared" ca="1" si="34"/>
        <v>6.158088761473475E-2</v>
      </c>
      <c r="AH22" s="3">
        <f t="shared" ca="1" si="35"/>
        <v>0.10703892370317526</v>
      </c>
      <c r="AI22" s="3">
        <f t="shared" ca="1" si="36"/>
        <v>9.1555354491516805E-2</v>
      </c>
      <c r="AJ22" s="3">
        <f t="shared" ca="1" si="5"/>
        <v>0.17468148716991491</v>
      </c>
    </row>
    <row r="23" spans="1:36" x14ac:dyDescent="0.35">
      <c r="A23" t="s">
        <v>63</v>
      </c>
      <c r="B23" t="s">
        <v>76</v>
      </c>
      <c r="C23" s="4">
        <v>7</v>
      </c>
      <c r="D23" s="3">
        <f t="shared" ca="1" si="4"/>
        <v>1.7249132611260171E-2</v>
      </c>
      <c r="E23" s="3">
        <f t="shared" ca="1" si="6"/>
        <v>1.7438560177040256E-2</v>
      </c>
      <c r="F23" s="3">
        <f t="shared" ca="1" si="7"/>
        <v>1.8167307037448985E-2</v>
      </c>
      <c r="G23" s="3">
        <f t="shared" ca="1" si="8"/>
        <v>2.0206866279079406E-2</v>
      </c>
      <c r="H23" s="3">
        <f t="shared" ca="1" si="9"/>
        <v>2.1020857107338212E-2</v>
      </c>
      <c r="I23" s="3">
        <f t="shared" ca="1" si="10"/>
        <v>2.1615049282589571E-2</v>
      </c>
      <c r="J23" s="3">
        <f t="shared" ca="1" si="11"/>
        <v>2.3562881362628633E-2</v>
      </c>
      <c r="K23" s="3">
        <f t="shared" ca="1" si="12"/>
        <v>2.282925141479417E-2</v>
      </c>
      <c r="L23" s="3">
        <f t="shared" ca="1" si="13"/>
        <v>2.5150841408044761E-2</v>
      </c>
      <c r="M23" s="3">
        <f t="shared" ca="1" si="14"/>
        <v>2.5546153712486946E-2</v>
      </c>
      <c r="N23" s="3">
        <f t="shared" ca="1" si="15"/>
        <v>2.704845754687242E-2</v>
      </c>
      <c r="O23" s="3">
        <f t="shared" ca="1" si="16"/>
        <v>2.6582384724031616E-2</v>
      </c>
      <c r="P23" s="3">
        <f t="shared" ca="1" si="17"/>
        <v>3.0197256956899361E-2</v>
      </c>
      <c r="Q23" s="3">
        <f t="shared" ca="1" si="18"/>
        <v>2.803395492234647E-2</v>
      </c>
      <c r="R23" s="3">
        <f t="shared" ca="1" si="19"/>
        <v>3.2000488040691027E-2</v>
      </c>
      <c r="S23" s="3">
        <f t="shared" ca="1" si="20"/>
        <v>3.137113686370982E-2</v>
      </c>
      <c r="T23" s="3">
        <f t="shared" ca="1" si="21"/>
        <v>3.3036881929668624E-2</v>
      </c>
      <c r="U23" s="3">
        <f t="shared" ca="1" si="22"/>
        <v>3.334547302668877E-2</v>
      </c>
      <c r="V23" s="3">
        <f t="shared" ca="1" si="23"/>
        <v>3.412061896288679E-2</v>
      </c>
      <c r="W23" s="3">
        <f t="shared" ca="1" si="24"/>
        <v>3.6757978177912404E-2</v>
      </c>
      <c r="X23" s="3">
        <f t="shared" ca="1" si="25"/>
        <v>4.1100155021842E-2</v>
      </c>
      <c r="Y23" s="3">
        <f t="shared" ca="1" si="26"/>
        <v>4.0854638814472613E-2</v>
      </c>
      <c r="Z23" s="3">
        <f t="shared" ca="1" si="27"/>
        <v>5.3299628502379494E-2</v>
      </c>
      <c r="AA23" s="3">
        <f t="shared" ca="1" si="28"/>
        <v>4.7152630594573003E-2</v>
      </c>
      <c r="AB23" s="3">
        <f t="shared" ca="1" si="29"/>
        <v>6.29715544245259E-2</v>
      </c>
      <c r="AC23" s="3">
        <f t="shared" ca="1" si="30"/>
        <v>5.2209764955341749E-2</v>
      </c>
      <c r="AD23" s="3">
        <f t="shared" ca="1" si="31"/>
        <v>7.1011199391606106E-2</v>
      </c>
      <c r="AE23" s="3">
        <f t="shared" ca="1" si="32"/>
        <v>5.7852019697130573E-2</v>
      </c>
      <c r="AF23" s="3">
        <f t="shared" ca="1" si="33"/>
        <v>8.1027105146785169E-2</v>
      </c>
      <c r="AG23" s="3">
        <f t="shared" ca="1" si="34"/>
        <v>6.2498877495653422E-2</v>
      </c>
      <c r="AH23" s="3">
        <f t="shared" ca="1" si="35"/>
        <v>0.10795603170317866</v>
      </c>
      <c r="AI23" s="3">
        <f t="shared" ca="1" si="36"/>
        <v>9.252383084800013E-2</v>
      </c>
      <c r="AJ23" s="3">
        <f t="shared" ca="1" si="5"/>
        <v>0.17558775377187291</v>
      </c>
    </row>
    <row r="24" spans="1:36" x14ac:dyDescent="0.35">
      <c r="A24" t="s">
        <v>63</v>
      </c>
      <c r="B24" t="s">
        <v>76</v>
      </c>
      <c r="C24" s="4" t="s">
        <v>75</v>
      </c>
      <c r="D24" s="3">
        <f t="shared" ca="1" si="4"/>
        <v>1.8173515240078767E-2</v>
      </c>
      <c r="E24" s="3">
        <f t="shared" ca="1" si="6"/>
        <v>1.8425565539717435E-2</v>
      </c>
      <c r="F24" s="3">
        <f t="shared" ca="1" si="7"/>
        <v>1.912892050022752E-2</v>
      </c>
      <c r="G24" s="3">
        <f t="shared" ca="1" si="8"/>
        <v>2.1184058288031413E-2</v>
      </c>
      <c r="H24" s="3">
        <f t="shared" ca="1" si="9"/>
        <v>2.1970581475759185E-2</v>
      </c>
      <c r="I24" s="3">
        <f t="shared" ca="1" si="10"/>
        <v>2.2612922986726396E-2</v>
      </c>
      <c r="J24" s="3">
        <f t="shared" ca="1" si="11"/>
        <v>2.4481913114381703E-2</v>
      </c>
      <c r="K24" s="3">
        <f t="shared" ca="1" si="12"/>
        <v>2.3798744670392048E-2</v>
      </c>
      <c r="L24" s="3">
        <f t="shared" ca="1" si="13"/>
        <v>2.6136351476673349E-2</v>
      </c>
      <c r="M24" s="3">
        <f t="shared" ca="1" si="14"/>
        <v>2.6524005411690067E-2</v>
      </c>
      <c r="N24" s="3">
        <f t="shared" ca="1" si="15"/>
        <v>2.7970748386507222E-2</v>
      </c>
      <c r="O24" s="3">
        <f t="shared" ca="1" si="16"/>
        <v>2.7501569718133799E-2</v>
      </c>
      <c r="P24" s="3">
        <f t="shared" ca="1" si="17"/>
        <v>3.1106118465884788E-2</v>
      </c>
      <c r="Q24" s="3">
        <f t="shared" ca="1" si="18"/>
        <v>2.902115168780324E-2</v>
      </c>
      <c r="R24" s="3">
        <f t="shared" ca="1" si="19"/>
        <v>3.2979056287930311E-2</v>
      </c>
      <c r="S24" s="3">
        <f t="shared" ca="1" si="20"/>
        <v>3.2283130039264862E-2</v>
      </c>
      <c r="T24" s="3">
        <f t="shared" ca="1" si="21"/>
        <v>3.399487536636224E-2</v>
      </c>
      <c r="U24" s="3">
        <f t="shared" ca="1" si="22"/>
        <v>3.4257359654965701E-2</v>
      </c>
      <c r="V24" s="3">
        <f t="shared" ca="1" si="23"/>
        <v>3.5102435220611523E-2</v>
      </c>
      <c r="W24" s="3">
        <f t="shared" ca="1" si="24"/>
        <v>3.7732426519784361E-2</v>
      </c>
      <c r="X24" s="3">
        <f t="shared" ca="1" si="25"/>
        <v>4.2028191410779021E-2</v>
      </c>
      <c r="Y24" s="3">
        <f t="shared" ca="1" si="26"/>
        <v>4.184101717721176E-2</v>
      </c>
      <c r="Z24" s="3">
        <f t="shared" ca="1" si="27"/>
        <v>5.4272737189043296E-2</v>
      </c>
      <c r="AA24" s="3">
        <f t="shared" ca="1" si="28"/>
        <v>4.8106211977127077E-2</v>
      </c>
      <c r="AB24" s="3">
        <f t="shared" ca="1" si="29"/>
        <v>6.3879838066947719E-2</v>
      </c>
      <c r="AC24" s="3">
        <f t="shared" ca="1" si="30"/>
        <v>5.3155949060795724E-2</v>
      </c>
      <c r="AD24" s="3">
        <f t="shared" ca="1" si="31"/>
        <v>7.1953719039918776E-2</v>
      </c>
      <c r="AE24" s="3">
        <f t="shared" ca="1" si="32"/>
        <v>5.8792016361654265E-2</v>
      </c>
      <c r="AF24" s="3">
        <f t="shared" ca="1" si="33"/>
        <v>8.1943189695669313E-2</v>
      </c>
      <c r="AG24" s="3">
        <f t="shared" ca="1" si="34"/>
        <v>6.3460060821368874E-2</v>
      </c>
      <c r="AH24" s="3">
        <f t="shared" ca="1" si="35"/>
        <v>0.10895166993859172</v>
      </c>
      <c r="AI24" s="3">
        <f t="shared" ca="1" si="36"/>
        <v>9.3485857987751678E-2</v>
      </c>
      <c r="AJ24" s="3">
        <f t="shared" ca="1" si="5"/>
        <v>0.17656008038992085</v>
      </c>
    </row>
    <row r="25" spans="1:36" x14ac:dyDescent="0.35">
      <c r="A25" t="s">
        <v>63</v>
      </c>
      <c r="B25" t="s">
        <v>61</v>
      </c>
      <c r="C25" s="4">
        <v>1</v>
      </c>
      <c r="D25" s="3">
        <f ca="1">MIN(0.99,D6+$D$3)</f>
        <v>1.9961925261164923E-3</v>
      </c>
      <c r="E25" s="3">
        <f t="shared" ref="E25:AJ25" ca="1" si="37">MIN(0.99,E6+$D$3)</f>
        <v>2.1974098181846815E-3</v>
      </c>
      <c r="F25" s="3">
        <f t="shared" ca="1" si="37"/>
        <v>3.0832363239344457E-3</v>
      </c>
      <c r="G25" s="3">
        <f t="shared" ca="1" si="37"/>
        <v>4.8526701021292321E-3</v>
      </c>
      <c r="H25" s="3">
        <f t="shared" ca="1" si="37"/>
        <v>5.8391247497064161E-3</v>
      </c>
      <c r="I25" s="3">
        <f t="shared" ca="1" si="37"/>
        <v>6.5122360950446885E-3</v>
      </c>
      <c r="J25" s="3">
        <f t="shared" ca="1" si="37"/>
        <v>8.4523031365108525E-3</v>
      </c>
      <c r="K25" s="3">
        <f t="shared" ca="1" si="37"/>
        <v>7.4839569147496163E-3</v>
      </c>
      <c r="L25" s="3">
        <f t="shared" ca="1" si="37"/>
        <v>9.8137069714667874E-3</v>
      </c>
      <c r="M25" s="3">
        <f t="shared" ca="1" si="37"/>
        <v>1.019574457027134E-2</v>
      </c>
      <c r="N25" s="3">
        <f t="shared" ca="1" si="37"/>
        <v>1.1724206565655211E-2</v>
      </c>
      <c r="O25" s="3">
        <f t="shared" ca="1" si="37"/>
        <v>1.1377714372117622E-2</v>
      </c>
      <c r="P25" s="3">
        <f t="shared" ca="1" si="37"/>
        <v>1.5098658743641313E-2</v>
      </c>
      <c r="Q25" s="3">
        <f t="shared" ca="1" si="37"/>
        <v>1.2714259578835565E-2</v>
      </c>
      <c r="R25" s="3">
        <f t="shared" ca="1" si="37"/>
        <v>1.6701306611202581E-2</v>
      </c>
      <c r="S25" s="3">
        <f t="shared" ca="1" si="37"/>
        <v>1.6128887270818917E-2</v>
      </c>
      <c r="T25" s="3">
        <f t="shared" ca="1" si="37"/>
        <v>1.7872832134011488E-2</v>
      </c>
      <c r="U25" s="3">
        <f t="shared" ca="1" si="37"/>
        <v>1.8220704287567842E-2</v>
      </c>
      <c r="V25" s="3">
        <f t="shared" ca="1" si="37"/>
        <v>1.8840293164901982E-2</v>
      </c>
      <c r="W25" s="3">
        <f t="shared" ca="1" si="37"/>
        <v>2.1398351374836012E-2</v>
      </c>
      <c r="X25" s="3">
        <f t="shared" ca="1" si="37"/>
        <v>2.5938856585739134E-2</v>
      </c>
      <c r="Y25" s="3">
        <f t="shared" ca="1" si="37"/>
        <v>2.5697914449769751E-2</v>
      </c>
      <c r="Z25" s="3">
        <f t="shared" ca="1" si="37"/>
        <v>3.8139695702027257E-2</v>
      </c>
      <c r="AA25" s="3">
        <f t="shared" ca="1" si="37"/>
        <v>3.1813314714986093E-2</v>
      </c>
      <c r="AB25" s="3">
        <f t="shared" ca="1" si="37"/>
        <v>4.7587150293817881E-2</v>
      </c>
      <c r="AC25" s="3">
        <f t="shared" ca="1" si="37"/>
        <v>3.7052930424463906E-2</v>
      </c>
      <c r="AD25" s="3">
        <f t="shared" ca="1" si="37"/>
        <v>5.5779877191821689E-2</v>
      </c>
      <c r="AE25" s="3">
        <f t="shared" ca="1" si="37"/>
        <v>4.2605562614879106E-2</v>
      </c>
      <c r="AF25" s="3">
        <f t="shared" ca="1" si="37"/>
        <v>6.5887050020770499E-2</v>
      </c>
      <c r="AG25" s="3">
        <f t="shared" ca="1" si="37"/>
        <v>4.7376729336196438E-2</v>
      </c>
      <c r="AH25" s="3">
        <f t="shared" ca="1" si="37"/>
        <v>9.2904894070206218E-2</v>
      </c>
      <c r="AI25" s="3">
        <f t="shared" ca="1" si="37"/>
        <v>7.7319268873131397E-2</v>
      </c>
      <c r="AJ25" s="3">
        <f t="shared" ca="1" si="37"/>
        <v>0.16060356655079078</v>
      </c>
    </row>
    <row r="26" spans="1:36" x14ac:dyDescent="0.35">
      <c r="A26" t="s">
        <v>63</v>
      </c>
      <c r="B26" t="s">
        <v>61</v>
      </c>
      <c r="C26" s="4" t="s">
        <v>64</v>
      </c>
      <c r="D26" s="3">
        <f t="shared" ref="D26:AJ26" ca="1" si="38">MIN(0.99,D7+$D$3)</f>
        <v>2.9848742333430092E-3</v>
      </c>
      <c r="E26" s="3">
        <f t="shared" ca="1" si="38"/>
        <v>3.1716670236145604E-3</v>
      </c>
      <c r="F26" s="3">
        <f t="shared" ca="1" si="38"/>
        <v>4.0017814471618963E-3</v>
      </c>
      <c r="G26" s="3">
        <f t="shared" ca="1" si="38"/>
        <v>5.847091764261487E-3</v>
      </c>
      <c r="H26" s="3">
        <f t="shared" ca="1" si="38"/>
        <v>6.8242791102472227E-3</v>
      </c>
      <c r="I26" s="3">
        <f t="shared" ca="1" si="38"/>
        <v>7.4930904307263209E-3</v>
      </c>
      <c r="J26" s="3">
        <f t="shared" ca="1" si="38"/>
        <v>9.3533884821733367E-3</v>
      </c>
      <c r="K26" s="3">
        <f t="shared" ca="1" si="38"/>
        <v>8.4639589679728136E-3</v>
      </c>
      <c r="L26" s="3">
        <f t="shared" ca="1" si="38"/>
        <v>1.0785777443219471E-2</v>
      </c>
      <c r="M26" s="3">
        <f t="shared" ca="1" si="38"/>
        <v>1.1127051104269429E-2</v>
      </c>
      <c r="N26" s="3">
        <f t="shared" ca="1" si="38"/>
        <v>1.2648911225738753E-2</v>
      </c>
      <c r="O26" s="3">
        <f t="shared" ca="1" si="38"/>
        <v>1.2296920606186201E-2</v>
      </c>
      <c r="P26" s="3">
        <f t="shared" ca="1" si="38"/>
        <v>1.6064665053622067E-2</v>
      </c>
      <c r="Q26" s="3">
        <f t="shared" ca="1" si="38"/>
        <v>1.3711674379586623E-2</v>
      </c>
      <c r="R26" s="3">
        <f t="shared" ca="1" si="38"/>
        <v>1.7622677274524785E-2</v>
      </c>
      <c r="S26" s="3">
        <f t="shared" ca="1" si="38"/>
        <v>1.706040434188388E-2</v>
      </c>
      <c r="T26" s="3">
        <f t="shared" ca="1" si="38"/>
        <v>1.8868454319408739E-2</v>
      </c>
      <c r="U26" s="3">
        <f t="shared" ca="1" si="38"/>
        <v>1.9217349733234881E-2</v>
      </c>
      <c r="V26" s="3">
        <f t="shared" ca="1" si="38"/>
        <v>1.9785450574590274E-2</v>
      </c>
      <c r="W26" s="3">
        <f t="shared" ca="1" si="38"/>
        <v>2.2327212731511059E-2</v>
      </c>
      <c r="X26" s="3">
        <f t="shared" ca="1" si="38"/>
        <v>2.6879878861498202E-2</v>
      </c>
      <c r="Y26" s="3">
        <f t="shared" ca="1" si="38"/>
        <v>2.6676137494072091E-2</v>
      </c>
      <c r="Z26" s="3">
        <f t="shared" ca="1" si="38"/>
        <v>3.9077512684179506E-2</v>
      </c>
      <c r="AA26" s="3">
        <f t="shared" ca="1" si="38"/>
        <v>3.2802602404972361E-2</v>
      </c>
      <c r="AB26" s="3">
        <f t="shared" ca="1" si="38"/>
        <v>4.8545418057691379E-2</v>
      </c>
      <c r="AC26" s="3">
        <f t="shared" ca="1" si="38"/>
        <v>3.8006240935845537E-2</v>
      </c>
      <c r="AD26" s="3">
        <f t="shared" ca="1" si="38"/>
        <v>5.6698649372670794E-2</v>
      </c>
      <c r="AE26" s="3">
        <f t="shared" ca="1" si="38"/>
        <v>4.354872704876684E-2</v>
      </c>
      <c r="AF26" s="3">
        <f t="shared" ca="1" si="38"/>
        <v>6.6793451296864578E-2</v>
      </c>
      <c r="AG26" s="3">
        <f t="shared" ca="1" si="38"/>
        <v>4.8364198902286992E-2</v>
      </c>
      <c r="AH26" s="3">
        <f t="shared" ca="1" si="38"/>
        <v>9.3837043497600151E-2</v>
      </c>
      <c r="AI26" s="3">
        <f t="shared" ca="1" si="38"/>
        <v>7.8315821421110682E-2</v>
      </c>
      <c r="AJ26" s="3">
        <f t="shared" ca="1" si="38"/>
        <v>0.16155461004394525</v>
      </c>
    </row>
    <row r="27" spans="1:36" x14ac:dyDescent="0.35">
      <c r="A27" t="s">
        <v>63</v>
      </c>
      <c r="B27" t="s">
        <v>61</v>
      </c>
      <c r="C27" s="4">
        <v>2</v>
      </c>
      <c r="D27" s="3">
        <f t="shared" ref="D27:AJ27" ca="1" si="39">MIN(0.99,D8+$D$3)</f>
        <v>3.9695075818331985E-3</v>
      </c>
      <c r="E27" s="3">
        <f t="shared" ca="1" si="39"/>
        <v>4.1477100073897093E-3</v>
      </c>
      <c r="F27" s="3">
        <f t="shared" ca="1" si="39"/>
        <v>4.9872416965429092E-3</v>
      </c>
      <c r="G27" s="3">
        <f t="shared" ca="1" si="39"/>
        <v>6.7944460292626964E-3</v>
      </c>
      <c r="H27" s="3">
        <f t="shared" ca="1" si="39"/>
        <v>7.7802514024500682E-3</v>
      </c>
      <c r="I27" s="3">
        <f t="shared" ca="1" si="39"/>
        <v>8.3937857264956839E-3</v>
      </c>
      <c r="J27" s="3">
        <f t="shared" ca="1" si="39"/>
        <v>1.0305906407162502E-2</v>
      </c>
      <c r="K27" s="3">
        <f t="shared" ca="1" si="39"/>
        <v>9.4574365288607985E-3</v>
      </c>
      <c r="L27" s="3">
        <f t="shared" ca="1" si="39"/>
        <v>1.1781102689089336E-2</v>
      </c>
      <c r="M27" s="3">
        <f t="shared" ca="1" si="39"/>
        <v>1.2034081667899717E-2</v>
      </c>
      <c r="N27" s="3">
        <f t="shared" ca="1" si="39"/>
        <v>1.3648817299451596E-2</v>
      </c>
      <c r="O27" s="3">
        <f t="shared" ca="1" si="39"/>
        <v>1.3290536234283432E-2</v>
      </c>
      <c r="P27" s="3">
        <f t="shared" ca="1" si="39"/>
        <v>1.703124567490847E-2</v>
      </c>
      <c r="Q27" s="3">
        <f t="shared" ca="1" si="39"/>
        <v>1.4697542759158622E-2</v>
      </c>
      <c r="R27" s="3">
        <f t="shared" ca="1" si="39"/>
        <v>1.8621640761603775E-2</v>
      </c>
      <c r="S27" s="3">
        <f t="shared" ca="1" si="39"/>
        <v>1.7974623961019315E-2</v>
      </c>
      <c r="T27" s="3">
        <f t="shared" ca="1" si="39"/>
        <v>1.9865897829356192E-2</v>
      </c>
      <c r="U27" s="3">
        <f t="shared" ca="1" si="39"/>
        <v>2.01326223782048E-2</v>
      </c>
      <c r="V27" s="3">
        <f t="shared" ca="1" si="39"/>
        <v>2.0775093634206009E-2</v>
      </c>
      <c r="W27" s="3">
        <f t="shared" ca="1" si="39"/>
        <v>2.3315303737024354E-2</v>
      </c>
      <c r="X27" s="3">
        <f t="shared" ca="1" si="39"/>
        <v>2.780248361150137E-2</v>
      </c>
      <c r="Y27" s="3">
        <f t="shared" ca="1" si="39"/>
        <v>2.7622876784429626E-2</v>
      </c>
      <c r="Z27" s="3">
        <f t="shared" ca="1" si="39"/>
        <v>3.9996041050596544E-2</v>
      </c>
      <c r="AA27" s="3">
        <f t="shared" ca="1" si="39"/>
        <v>3.3800642611107497E-2</v>
      </c>
      <c r="AB27" s="3">
        <f t="shared" ca="1" si="39"/>
        <v>4.9496902853881072E-2</v>
      </c>
      <c r="AC27" s="3">
        <f t="shared" ca="1" si="39"/>
        <v>3.891689734655944E-2</v>
      </c>
      <c r="AD27" s="3">
        <f t="shared" ca="1" si="39"/>
        <v>5.7601783380544738E-2</v>
      </c>
      <c r="AE27" s="3">
        <f t="shared" ca="1" si="39"/>
        <v>4.4456434264770556E-2</v>
      </c>
      <c r="AF27" s="3">
        <f t="shared" ca="1" si="39"/>
        <v>6.7742438070994268E-2</v>
      </c>
      <c r="AG27" s="3">
        <f t="shared" ca="1" si="39"/>
        <v>4.927831102065168E-2</v>
      </c>
      <c r="AH27" s="3">
        <f t="shared" ca="1" si="39"/>
        <v>9.4779419900159909E-2</v>
      </c>
      <c r="AI27" s="3">
        <f t="shared" ca="1" si="39"/>
        <v>7.9244355294694077E-2</v>
      </c>
      <c r="AJ27" s="3">
        <f t="shared" ca="1" si="39"/>
        <v>0.16252379099502634</v>
      </c>
    </row>
    <row r="28" spans="1:36" x14ac:dyDescent="0.35">
      <c r="A28" t="s">
        <v>63</v>
      </c>
      <c r="B28" t="s">
        <v>61</v>
      </c>
      <c r="C28" s="4" t="s">
        <v>65</v>
      </c>
      <c r="D28" s="3">
        <f t="shared" ref="D28:AJ28" ca="1" si="40">MIN(0.99,D9+$D$3)</f>
        <v>4.9540699713419706E-3</v>
      </c>
      <c r="E28" s="3">
        <f t="shared" ca="1" si="40"/>
        <v>5.1101369961082319E-3</v>
      </c>
      <c r="F28" s="3">
        <f t="shared" ca="1" si="40"/>
        <v>5.9487545081022249E-3</v>
      </c>
      <c r="G28" s="3">
        <f t="shared" ca="1" si="40"/>
        <v>7.776429321561802E-3</v>
      </c>
      <c r="H28" s="3">
        <f t="shared" ca="1" si="40"/>
        <v>8.749336580337861E-3</v>
      </c>
      <c r="I28" s="3">
        <f t="shared" ca="1" si="40"/>
        <v>9.3558110404592665E-3</v>
      </c>
      <c r="J28" s="3">
        <f t="shared" ca="1" si="40"/>
        <v>1.1234537678672378E-2</v>
      </c>
      <c r="K28" s="3">
        <f t="shared" ca="1" si="40"/>
        <v>1.0444168350584787E-2</v>
      </c>
      <c r="L28" s="3">
        <f t="shared" ca="1" si="40"/>
        <v>1.2778581501296512E-2</v>
      </c>
      <c r="M28" s="3">
        <f t="shared" ca="1" si="40"/>
        <v>1.3002035166470898E-2</v>
      </c>
      <c r="N28" s="3">
        <f t="shared" ca="1" si="40"/>
        <v>1.4588906878827614E-2</v>
      </c>
      <c r="O28" s="3">
        <f t="shared" ca="1" si="40"/>
        <v>1.4289181528543467E-2</v>
      </c>
      <c r="P28" s="3">
        <f t="shared" ca="1" si="40"/>
        <v>1.7942786634161954E-2</v>
      </c>
      <c r="Q28" s="3">
        <f t="shared" ca="1" si="40"/>
        <v>1.5657136824203586E-2</v>
      </c>
      <c r="R28" s="3">
        <f t="shared" ca="1" si="40"/>
        <v>1.9591319478188471E-2</v>
      </c>
      <c r="S28" s="3">
        <f t="shared" ca="1" si="40"/>
        <v>1.8944868804001536E-2</v>
      </c>
      <c r="T28" s="3">
        <f t="shared" ca="1" si="40"/>
        <v>2.0800399583439905E-2</v>
      </c>
      <c r="U28" s="3">
        <f t="shared" ca="1" si="40"/>
        <v>2.1085726551751772E-2</v>
      </c>
      <c r="V28" s="3">
        <f t="shared" ca="1" si="40"/>
        <v>2.1687093194803705E-2</v>
      </c>
      <c r="W28" s="3">
        <f t="shared" ca="1" si="40"/>
        <v>2.4247994100138965E-2</v>
      </c>
      <c r="X28" s="3">
        <f t="shared" ca="1" si="40"/>
        <v>2.8716616327660399E-2</v>
      </c>
      <c r="Y28" s="3">
        <f t="shared" ca="1" si="40"/>
        <v>2.8587227003849188E-2</v>
      </c>
      <c r="Z28" s="3">
        <f t="shared" ca="1" si="40"/>
        <v>4.0920027957217116E-2</v>
      </c>
      <c r="AA28" s="3">
        <f t="shared" ca="1" si="40"/>
        <v>3.4736104808399511E-2</v>
      </c>
      <c r="AB28" s="3">
        <f t="shared" ca="1" si="40"/>
        <v>5.0490494768695715E-2</v>
      </c>
      <c r="AC28" s="3">
        <f t="shared" ca="1" si="40"/>
        <v>3.9872059943949489E-2</v>
      </c>
      <c r="AD28" s="3">
        <f t="shared" ca="1" si="40"/>
        <v>5.8598570105742959E-2</v>
      </c>
      <c r="AE28" s="3">
        <f t="shared" ca="1" si="40"/>
        <v>4.5365763454489304E-2</v>
      </c>
      <c r="AF28" s="3">
        <f t="shared" ca="1" si="40"/>
        <v>6.8663120739429775E-2</v>
      </c>
      <c r="AG28" s="3">
        <f t="shared" ca="1" si="40"/>
        <v>5.0210434025078965E-2</v>
      </c>
      <c r="AH28" s="3">
        <f t="shared" ca="1" si="40"/>
        <v>9.5755326672847751E-2</v>
      </c>
      <c r="AI28" s="3">
        <f t="shared" ca="1" si="40"/>
        <v>8.0192890267339875E-2</v>
      </c>
      <c r="AJ28" s="3">
        <f t="shared" ca="1" si="40"/>
        <v>0.16343915012959737</v>
      </c>
    </row>
    <row r="29" spans="1:36" x14ac:dyDescent="0.35">
      <c r="A29" t="s">
        <v>63</v>
      </c>
      <c r="B29" t="s">
        <v>61</v>
      </c>
      <c r="C29" s="4" t="s">
        <v>66</v>
      </c>
      <c r="D29" s="3">
        <f t="shared" ref="D29:AJ29" ca="1" si="41">MIN(0.99,D10+$D$3)</f>
        <v>5.9408998628065028E-3</v>
      </c>
      <c r="E29" s="3">
        <f t="shared" ca="1" si="41"/>
        <v>6.0608295355028177E-3</v>
      </c>
      <c r="F29" s="3">
        <f t="shared" ca="1" si="41"/>
        <v>6.8796732145457338E-3</v>
      </c>
      <c r="G29" s="3">
        <f t="shared" ca="1" si="41"/>
        <v>8.7617967837207919E-3</v>
      </c>
      <c r="H29" s="3">
        <f t="shared" ca="1" si="41"/>
        <v>9.7262610793288976E-3</v>
      </c>
      <c r="I29" s="3">
        <f t="shared" ca="1" si="41"/>
        <v>1.0351324871094209E-2</v>
      </c>
      <c r="J29" s="3">
        <f t="shared" ca="1" si="41"/>
        <v>1.217247783791673E-2</v>
      </c>
      <c r="K29" s="3">
        <f t="shared" ca="1" si="41"/>
        <v>1.1402495628977105E-2</v>
      </c>
      <c r="L29" s="3">
        <f t="shared" ca="1" si="41"/>
        <v>1.3744964077456488E-2</v>
      </c>
      <c r="M29" s="3">
        <f t="shared" ca="1" si="41"/>
        <v>1.400142820233901E-2</v>
      </c>
      <c r="N29" s="3">
        <f t="shared" ca="1" si="41"/>
        <v>1.5518915057852637E-2</v>
      </c>
      <c r="O29" s="3">
        <f t="shared" ca="1" si="41"/>
        <v>1.5191680426251152E-2</v>
      </c>
      <c r="P29" s="3">
        <f t="shared" ca="1" si="41"/>
        <v>1.8857311795233846E-2</v>
      </c>
      <c r="Q29" s="3">
        <f t="shared" ca="1" si="41"/>
        <v>1.6576499024461809E-2</v>
      </c>
      <c r="R29" s="3">
        <f t="shared" ca="1" si="41"/>
        <v>2.0578529853583324E-2</v>
      </c>
      <c r="S29" s="3">
        <f t="shared" ca="1" si="41"/>
        <v>1.9894603800589709E-2</v>
      </c>
      <c r="T29" s="3">
        <f t="shared" ca="1" si="41"/>
        <v>2.1712655790225004E-2</v>
      </c>
      <c r="U29" s="3">
        <f t="shared" ca="1" si="41"/>
        <v>2.2051990414317619E-2</v>
      </c>
      <c r="V29" s="3">
        <f t="shared" ca="1" si="41"/>
        <v>2.2666602015827344E-2</v>
      </c>
      <c r="W29" s="3">
        <f t="shared" ca="1" si="41"/>
        <v>2.5151863157419841E-2</v>
      </c>
      <c r="X29" s="3">
        <f t="shared" ca="1" si="41"/>
        <v>2.970305340646455E-2</v>
      </c>
      <c r="Y29" s="3">
        <f t="shared" ca="1" si="41"/>
        <v>2.9539635815050917E-2</v>
      </c>
      <c r="Z29" s="3">
        <f t="shared" ca="1" si="41"/>
        <v>4.1834900619736888E-2</v>
      </c>
      <c r="AA29" s="3">
        <f t="shared" ca="1" si="41"/>
        <v>3.5640382643401192E-2</v>
      </c>
      <c r="AB29" s="3">
        <f t="shared" ca="1" si="41"/>
        <v>5.1391309932094856E-2</v>
      </c>
      <c r="AC29" s="3">
        <f t="shared" ca="1" si="41"/>
        <v>4.0820184770632269E-2</v>
      </c>
      <c r="AD29" s="3">
        <f t="shared" ca="1" si="41"/>
        <v>5.9576960101887767E-2</v>
      </c>
      <c r="AE29" s="3">
        <f t="shared" ca="1" si="41"/>
        <v>4.635378348383884E-2</v>
      </c>
      <c r="AF29" s="3">
        <f t="shared" ca="1" si="41"/>
        <v>6.9643988169807797E-2</v>
      </c>
      <c r="AG29" s="3">
        <f t="shared" ca="1" si="41"/>
        <v>5.1158667078643097E-2</v>
      </c>
      <c r="AH29" s="3">
        <f t="shared" ca="1" si="41"/>
        <v>9.6709874180042954E-2</v>
      </c>
      <c r="AI29" s="3">
        <f t="shared" ca="1" si="41"/>
        <v>8.1104090294839004E-2</v>
      </c>
      <c r="AJ29" s="3">
        <f t="shared" ca="1" si="41"/>
        <v>0.1644159432940831</v>
      </c>
    </row>
    <row r="30" spans="1:36" x14ac:dyDescent="0.35">
      <c r="A30" t="s">
        <v>63</v>
      </c>
      <c r="B30" t="s">
        <v>61</v>
      </c>
      <c r="C30" s="4">
        <v>3</v>
      </c>
      <c r="D30" s="3">
        <f t="shared" ref="D30:AJ30" ca="1" si="42">MIN(0.99,D11+$D$3)</f>
        <v>6.8877707775052768E-3</v>
      </c>
      <c r="E30" s="3">
        <f t="shared" ca="1" si="42"/>
        <v>7.0442182980871891E-3</v>
      </c>
      <c r="F30" s="3">
        <f t="shared" ca="1" si="42"/>
        <v>7.8347225185215127E-3</v>
      </c>
      <c r="G30" s="3">
        <f t="shared" ca="1" si="42"/>
        <v>9.6819820530668031E-3</v>
      </c>
      <c r="H30" s="3">
        <f t="shared" ca="1" si="42"/>
        <v>1.0684966909623131E-2</v>
      </c>
      <c r="I30" s="3">
        <f t="shared" ca="1" si="42"/>
        <v>1.1310749757280095E-2</v>
      </c>
      <c r="J30" s="3">
        <f t="shared" ca="1" si="42"/>
        <v>1.3157788933287912E-2</v>
      </c>
      <c r="K30" s="3">
        <f t="shared" ca="1" si="42"/>
        <v>1.238277155139449E-2</v>
      </c>
      <c r="L30" s="3">
        <f t="shared" ca="1" si="42"/>
        <v>1.4669842556968377E-2</v>
      </c>
      <c r="M30" s="3">
        <f t="shared" ca="1" si="42"/>
        <v>1.4979525851252371E-2</v>
      </c>
      <c r="N30" s="3">
        <f t="shared" ca="1" si="42"/>
        <v>1.6440157318579209E-2</v>
      </c>
      <c r="O30" s="3">
        <f t="shared" ca="1" si="42"/>
        <v>1.610032304746712E-2</v>
      </c>
      <c r="P30" s="3">
        <f t="shared" ca="1" si="42"/>
        <v>1.978152461642187E-2</v>
      </c>
      <c r="Q30" s="3">
        <f t="shared" ca="1" si="42"/>
        <v>1.7510646585385113E-2</v>
      </c>
      <c r="R30" s="3">
        <f t="shared" ca="1" si="42"/>
        <v>2.1517304153261887E-2</v>
      </c>
      <c r="S30" s="3">
        <f t="shared" ca="1" si="42"/>
        <v>2.0865593929799319E-2</v>
      </c>
      <c r="T30" s="3">
        <f t="shared" ca="1" si="42"/>
        <v>2.2659002695709501E-2</v>
      </c>
      <c r="U30" s="3">
        <f t="shared" ca="1" si="42"/>
        <v>2.297911818734601E-2</v>
      </c>
      <c r="V30" s="3">
        <f t="shared" ca="1" si="42"/>
        <v>2.3610341685468373E-2</v>
      </c>
      <c r="W30" s="3">
        <f t="shared" ca="1" si="42"/>
        <v>2.6090880708737021E-2</v>
      </c>
      <c r="X30" s="3">
        <f t="shared" ca="1" si="42"/>
        <v>3.0660460334774205E-2</v>
      </c>
      <c r="Y30" s="3">
        <f t="shared" ca="1" si="42"/>
        <v>3.0499673950878735E-2</v>
      </c>
      <c r="Z30" s="3">
        <f t="shared" ca="1" si="42"/>
        <v>4.2831002965083603E-2</v>
      </c>
      <c r="AA30" s="3">
        <f t="shared" ca="1" si="42"/>
        <v>3.658701677137096E-2</v>
      </c>
      <c r="AB30" s="3">
        <f t="shared" ca="1" si="42"/>
        <v>5.238105732891072E-2</v>
      </c>
      <c r="AC30" s="3">
        <f t="shared" ca="1" si="42"/>
        <v>4.1778784584749443E-2</v>
      </c>
      <c r="AD30" s="3">
        <f t="shared" ca="1" si="42"/>
        <v>6.0533992833571415E-2</v>
      </c>
      <c r="AE30" s="3">
        <f t="shared" ca="1" si="42"/>
        <v>4.7330187820649801E-2</v>
      </c>
      <c r="AF30" s="3">
        <f t="shared" ca="1" si="42"/>
        <v>7.0580617085565511E-2</v>
      </c>
      <c r="AG30" s="3">
        <f t="shared" ca="1" si="42"/>
        <v>5.209170169213298E-2</v>
      </c>
      <c r="AH30" s="3">
        <f t="shared" ca="1" si="42"/>
        <v>9.7685785645031858E-2</v>
      </c>
      <c r="AI30" s="3">
        <f t="shared" ca="1" si="42"/>
        <v>8.201996065402789E-2</v>
      </c>
      <c r="AJ30" s="3">
        <f t="shared" ca="1" si="42"/>
        <v>0.16534749304180785</v>
      </c>
    </row>
    <row r="31" spans="1:36" x14ac:dyDescent="0.35">
      <c r="A31" t="s">
        <v>63</v>
      </c>
      <c r="B31" t="s">
        <v>61</v>
      </c>
      <c r="C31" s="4" t="s">
        <v>67</v>
      </c>
      <c r="D31" s="3">
        <f t="shared" ref="D31:AJ31" ca="1" si="43">MIN(0.99,D12+$D$3)</f>
        <v>7.7933202467820274E-3</v>
      </c>
      <c r="E31" s="3">
        <f t="shared" ca="1" si="43"/>
        <v>7.9927178459998655E-3</v>
      </c>
      <c r="F31" s="3">
        <f t="shared" ca="1" si="43"/>
        <v>8.7802844383812074E-3</v>
      </c>
      <c r="G31" s="3">
        <f t="shared" ca="1" si="43"/>
        <v>1.0680918048633387E-2</v>
      </c>
      <c r="H31" s="3">
        <f t="shared" ca="1" si="43"/>
        <v>1.1667933924075689E-2</v>
      </c>
      <c r="I31" s="3">
        <f t="shared" ca="1" si="43"/>
        <v>1.2277335313225671E-2</v>
      </c>
      <c r="J31" s="3">
        <f t="shared" ca="1" si="43"/>
        <v>1.4155216669435457E-2</v>
      </c>
      <c r="K31" s="3">
        <f t="shared" ca="1" si="43"/>
        <v>1.336425106810089E-2</v>
      </c>
      <c r="L31" s="3">
        <f t="shared" ca="1" si="43"/>
        <v>1.5653668166451952E-2</v>
      </c>
      <c r="M31" s="3">
        <f t="shared" ca="1" si="43"/>
        <v>1.5890467353905154E-2</v>
      </c>
      <c r="N31" s="3">
        <f t="shared" ca="1" si="43"/>
        <v>1.7439097114423575E-2</v>
      </c>
      <c r="O31" s="3">
        <f t="shared" ca="1" si="43"/>
        <v>1.706778247016626E-2</v>
      </c>
      <c r="P31" s="3">
        <f t="shared" ca="1" si="43"/>
        <v>2.0734426177822032E-2</v>
      </c>
      <c r="Q31" s="3">
        <f t="shared" ca="1" si="43"/>
        <v>1.8500932672616516E-2</v>
      </c>
      <c r="R31" s="3">
        <f t="shared" ca="1" si="43"/>
        <v>2.2453702223788664E-2</v>
      </c>
      <c r="S31" s="3">
        <f t="shared" ca="1" si="43"/>
        <v>2.1797006871431261E-2</v>
      </c>
      <c r="T31" s="3">
        <f t="shared" ca="1" si="43"/>
        <v>2.3578868964832952E-2</v>
      </c>
      <c r="U31" s="3">
        <f t="shared" ca="1" si="43"/>
        <v>2.3954011895133746E-2</v>
      </c>
      <c r="V31" s="3">
        <f t="shared" ca="1" si="43"/>
        <v>2.4518822959543739E-2</v>
      </c>
      <c r="W31" s="3">
        <f t="shared" ca="1" si="43"/>
        <v>2.7079790125747089E-2</v>
      </c>
      <c r="X31" s="3">
        <f t="shared" ca="1" si="43"/>
        <v>3.1600135549229212E-2</v>
      </c>
      <c r="Y31" s="3">
        <f t="shared" ca="1" si="43"/>
        <v>3.144663144100112E-2</v>
      </c>
      <c r="Z31" s="3">
        <f t="shared" ca="1" si="43"/>
        <v>4.3780444080212852E-2</v>
      </c>
      <c r="AA31" s="3">
        <f t="shared" ca="1" si="43"/>
        <v>3.7497018556339495E-2</v>
      </c>
      <c r="AB31" s="3">
        <f t="shared" ca="1" si="43"/>
        <v>5.3361753001937573E-2</v>
      </c>
      <c r="AC31" s="3">
        <f t="shared" ca="1" si="43"/>
        <v>4.2718794988542454E-2</v>
      </c>
      <c r="AD31" s="3">
        <f t="shared" ca="1" si="43"/>
        <v>6.1524271696736202E-2</v>
      </c>
      <c r="AE31" s="3">
        <f t="shared" ca="1" si="43"/>
        <v>4.8283239914990943E-2</v>
      </c>
      <c r="AF31" s="3">
        <f t="shared" ca="1" si="43"/>
        <v>7.1539267146398508E-2</v>
      </c>
      <c r="AG31" s="3">
        <f t="shared" ca="1" si="43"/>
        <v>5.3070346964075886E-2</v>
      </c>
      <c r="AH31" s="3">
        <f t="shared" ca="1" si="43"/>
        <v>9.8646775038974316E-2</v>
      </c>
      <c r="AI31" s="3">
        <f t="shared" ca="1" si="43"/>
        <v>8.2930861367088132E-2</v>
      </c>
      <c r="AJ31" s="3">
        <f t="shared" ca="1" si="43"/>
        <v>0.16626608336829315</v>
      </c>
    </row>
    <row r="32" spans="1:36" x14ac:dyDescent="0.35">
      <c r="A32" t="s">
        <v>63</v>
      </c>
      <c r="B32" t="s">
        <v>61</v>
      </c>
      <c r="C32" s="4" t="s">
        <v>68</v>
      </c>
      <c r="D32" s="3">
        <f t="shared" ref="D32:AJ32" ca="1" si="44">MIN(0.99,D13+$D$3)</f>
        <v>8.7084317379732719E-3</v>
      </c>
      <c r="E32" s="3">
        <f t="shared" ca="1" si="44"/>
        <v>8.9141588581370564E-3</v>
      </c>
      <c r="F32" s="3">
        <f t="shared" ca="1" si="44"/>
        <v>9.7506335492500568E-3</v>
      </c>
      <c r="G32" s="3">
        <f t="shared" ca="1" si="44"/>
        <v>1.1613716964452184E-2</v>
      </c>
      <c r="H32" s="3">
        <f t="shared" ca="1" si="44"/>
        <v>1.2626299653767402E-2</v>
      </c>
      <c r="I32" s="3">
        <f t="shared" ca="1" si="44"/>
        <v>1.3192922609758101E-2</v>
      </c>
      <c r="J32" s="3">
        <f t="shared" ca="1" si="44"/>
        <v>1.5095272017823499E-2</v>
      </c>
      <c r="K32" s="3">
        <f t="shared" ca="1" si="44"/>
        <v>1.4289609381358086E-2</v>
      </c>
      <c r="L32" s="3">
        <f t="shared" ca="1" si="44"/>
        <v>1.6626356707338592E-2</v>
      </c>
      <c r="M32" s="3">
        <f t="shared" ca="1" si="44"/>
        <v>1.6809470648564983E-2</v>
      </c>
      <c r="N32" s="3">
        <f t="shared" ca="1" si="44"/>
        <v>1.8391742812403637E-2</v>
      </c>
      <c r="O32" s="3">
        <f t="shared" ca="1" si="44"/>
        <v>1.7987951813989402E-2</v>
      </c>
      <c r="P32" s="3">
        <f t="shared" ca="1" si="44"/>
        <v>2.1638989119504105E-2</v>
      </c>
      <c r="Q32" s="3">
        <f t="shared" ca="1" si="44"/>
        <v>1.94238648333213E-2</v>
      </c>
      <c r="R32" s="3">
        <f t="shared" ca="1" si="44"/>
        <v>2.3422912796594444E-2</v>
      </c>
      <c r="S32" s="3">
        <f t="shared" ca="1" si="44"/>
        <v>2.27868031663323E-2</v>
      </c>
      <c r="T32" s="3">
        <f t="shared" ca="1" si="44"/>
        <v>2.4524092272848831E-2</v>
      </c>
      <c r="U32" s="3">
        <f t="shared" ca="1" si="44"/>
        <v>2.4905242692745945E-2</v>
      </c>
      <c r="V32" s="3">
        <f t="shared" ca="1" si="44"/>
        <v>2.5518107876395003E-2</v>
      </c>
      <c r="W32" s="3">
        <f t="shared" ca="1" si="44"/>
        <v>2.7988775697220601E-2</v>
      </c>
      <c r="X32" s="3">
        <f t="shared" ca="1" si="44"/>
        <v>3.2592495878250957E-2</v>
      </c>
      <c r="Y32" s="3">
        <f t="shared" ca="1" si="44"/>
        <v>3.2432444536015459E-2</v>
      </c>
      <c r="Z32" s="3">
        <f t="shared" ca="1" si="44"/>
        <v>4.4711747457911656E-2</v>
      </c>
      <c r="AA32" s="3">
        <f t="shared" ca="1" si="44"/>
        <v>3.8464118434743635E-2</v>
      </c>
      <c r="AB32" s="3">
        <f t="shared" ca="1" si="44"/>
        <v>5.4345955475484001E-2</v>
      </c>
      <c r="AC32" s="3">
        <f t="shared" ca="1" si="44"/>
        <v>4.3694397160940888E-2</v>
      </c>
      <c r="AD32" s="3">
        <f t="shared" ca="1" si="44"/>
        <v>6.2518290758750761E-2</v>
      </c>
      <c r="AE32" s="3">
        <f t="shared" ca="1" si="44"/>
        <v>4.925604859548019E-2</v>
      </c>
      <c r="AF32" s="3">
        <f t="shared" ca="1" si="44"/>
        <v>7.2501390339330146E-2</v>
      </c>
      <c r="AG32" s="3">
        <f t="shared" ca="1" si="44"/>
        <v>5.3972768810459724E-2</v>
      </c>
      <c r="AH32" s="3">
        <f t="shared" ca="1" si="44"/>
        <v>9.9610229339929982E-2</v>
      </c>
      <c r="AI32" s="3">
        <f t="shared" ca="1" si="44"/>
        <v>8.3886936872006296E-2</v>
      </c>
      <c r="AJ32" s="3">
        <f t="shared" ca="1" si="44"/>
        <v>0.16717444105908202</v>
      </c>
    </row>
    <row r="33" spans="1:36" x14ac:dyDescent="0.35">
      <c r="A33" t="s">
        <v>63</v>
      </c>
      <c r="B33" t="s">
        <v>61</v>
      </c>
      <c r="C33" s="4">
        <v>4</v>
      </c>
      <c r="D33" s="3">
        <f t="shared" ref="D33:AJ33" ca="1" si="45">MIN(0.99,D14+$D$3)</f>
        <v>9.6677100182772334E-3</v>
      </c>
      <c r="E33" s="3">
        <f t="shared" ca="1" si="45"/>
        <v>9.9135343469601254E-3</v>
      </c>
      <c r="F33" s="3">
        <f t="shared" ca="1" si="45"/>
        <v>1.0687261470318472E-2</v>
      </c>
      <c r="G33" s="3">
        <f t="shared" ca="1" si="45"/>
        <v>1.2590837431547961E-2</v>
      </c>
      <c r="H33" s="3">
        <f t="shared" ca="1" si="45"/>
        <v>1.3614074446901322E-2</v>
      </c>
      <c r="I33" s="3">
        <f t="shared" ca="1" si="45"/>
        <v>1.417398816164191E-2</v>
      </c>
      <c r="J33" s="3">
        <f t="shared" ca="1" si="45"/>
        <v>1.6004839022599936E-2</v>
      </c>
      <c r="K33" s="3">
        <f t="shared" ca="1" si="45"/>
        <v>1.5285906576457887E-2</v>
      </c>
      <c r="L33" s="3">
        <f t="shared" ca="1" si="45"/>
        <v>1.7541807990204456E-2</v>
      </c>
      <c r="M33" s="3">
        <f t="shared" ca="1" si="45"/>
        <v>1.7803565576580319E-2</v>
      </c>
      <c r="N33" s="3">
        <f t="shared" ca="1" si="45"/>
        <v>1.9344309965267887E-2</v>
      </c>
      <c r="O33" s="3">
        <f t="shared" ca="1" si="45"/>
        <v>1.8928168871605811E-2</v>
      </c>
      <c r="P33" s="3">
        <f t="shared" ca="1" si="45"/>
        <v>2.2587517428433995E-2</v>
      </c>
      <c r="Q33" s="3">
        <f t="shared" ca="1" si="45"/>
        <v>2.0384172015897054E-2</v>
      </c>
      <c r="R33" s="3">
        <f t="shared" ca="1" si="45"/>
        <v>2.438936787465831E-2</v>
      </c>
      <c r="S33" s="3">
        <f t="shared" ca="1" si="45"/>
        <v>2.3751578555934166E-2</v>
      </c>
      <c r="T33" s="3">
        <f t="shared" ca="1" si="45"/>
        <v>2.5464714261268093E-2</v>
      </c>
      <c r="U33" s="3">
        <f t="shared" ca="1" si="45"/>
        <v>2.5808127986813225E-2</v>
      </c>
      <c r="V33" s="3">
        <f t="shared" ca="1" si="45"/>
        <v>2.6516033601478039E-2</v>
      </c>
      <c r="W33" s="3">
        <f t="shared" ca="1" si="45"/>
        <v>2.8922501814760183E-2</v>
      </c>
      <c r="X33" s="3">
        <f t="shared" ca="1" si="45"/>
        <v>3.3543995423398885E-2</v>
      </c>
      <c r="Y33" s="3">
        <f t="shared" ca="1" si="45"/>
        <v>3.3392047842902048E-2</v>
      </c>
      <c r="Z33" s="3">
        <f t="shared" ca="1" si="45"/>
        <v>4.5705449436738793E-2</v>
      </c>
      <c r="AA33" s="3">
        <f t="shared" ca="1" si="45"/>
        <v>3.9427592755868601E-2</v>
      </c>
      <c r="AB33" s="3">
        <f t="shared" ca="1" si="45"/>
        <v>5.5310897289710767E-2</v>
      </c>
      <c r="AC33" s="3">
        <f t="shared" ca="1" si="45"/>
        <v>4.4689802367854997E-2</v>
      </c>
      <c r="AD33" s="3">
        <f t="shared" ca="1" si="45"/>
        <v>6.3478755302205578E-2</v>
      </c>
      <c r="AE33" s="3">
        <f t="shared" ca="1" si="45"/>
        <v>5.0158401286225805E-2</v>
      </c>
      <c r="AF33" s="3">
        <f t="shared" ca="1" si="45"/>
        <v>7.3451511318269005E-2</v>
      </c>
      <c r="AG33" s="3">
        <f t="shared" ca="1" si="45"/>
        <v>5.49338558089097E-2</v>
      </c>
      <c r="AH33" s="3">
        <f t="shared" ca="1" si="45"/>
        <v>0.10055755726151425</v>
      </c>
      <c r="AI33" s="3">
        <f t="shared" ca="1" si="45"/>
        <v>8.488672293547446E-2</v>
      </c>
      <c r="AJ33" s="3">
        <f t="shared" ca="1" si="45"/>
        <v>0.16807521773095641</v>
      </c>
    </row>
    <row r="34" spans="1:36" x14ac:dyDescent="0.35">
      <c r="A34" t="s">
        <v>63</v>
      </c>
      <c r="B34" t="s">
        <v>61</v>
      </c>
      <c r="C34" s="4" t="s">
        <v>69</v>
      </c>
      <c r="D34" s="3">
        <f t="shared" ref="D34:AJ34" ca="1" si="46">MIN(0.99,D15+$D$3)</f>
        <v>1.058419471076236E-2</v>
      </c>
      <c r="E34" s="3">
        <f t="shared" ca="1" si="46"/>
        <v>1.0849201397244448E-2</v>
      </c>
      <c r="F34" s="3">
        <f t="shared" ca="1" si="46"/>
        <v>1.1626829121369607E-2</v>
      </c>
      <c r="G34" s="3">
        <f t="shared" ca="1" si="46"/>
        <v>1.3558847639654831E-2</v>
      </c>
      <c r="H34" s="3">
        <f t="shared" ca="1" si="46"/>
        <v>1.4581648252572306E-2</v>
      </c>
      <c r="I34" s="3">
        <f t="shared" ca="1" si="46"/>
        <v>1.5121003460088097E-2</v>
      </c>
      <c r="J34" s="3">
        <f t="shared" ca="1" si="46"/>
        <v>1.6968389396059168E-2</v>
      </c>
      <c r="K34" s="3">
        <f t="shared" ca="1" si="46"/>
        <v>1.6282601822707993E-2</v>
      </c>
      <c r="L34" s="3">
        <f t="shared" ca="1" si="46"/>
        <v>1.8528125036651057E-2</v>
      </c>
      <c r="M34" s="3">
        <f t="shared" ca="1" si="46"/>
        <v>1.8752972928767112E-2</v>
      </c>
      <c r="N34" s="3">
        <f t="shared" ca="1" si="46"/>
        <v>2.0274698007103069E-2</v>
      </c>
      <c r="O34" s="3">
        <f t="shared" ca="1" si="46"/>
        <v>1.9867015017448381E-2</v>
      </c>
      <c r="P34" s="3">
        <f t="shared" ca="1" si="46"/>
        <v>2.3537198093096658E-2</v>
      </c>
      <c r="Q34" s="3">
        <f t="shared" ca="1" si="46"/>
        <v>2.1334874162220744E-2</v>
      </c>
      <c r="R34" s="3">
        <f t="shared" ca="1" si="46"/>
        <v>2.537259865369151E-2</v>
      </c>
      <c r="S34" s="3">
        <f t="shared" ca="1" si="46"/>
        <v>2.4706846782769801E-2</v>
      </c>
      <c r="T34" s="3">
        <f t="shared" ca="1" si="46"/>
        <v>2.6419041456490457E-2</v>
      </c>
      <c r="U34" s="3">
        <f t="shared" ca="1" si="46"/>
        <v>2.6734398693723096E-2</v>
      </c>
      <c r="V34" s="3">
        <f t="shared" ca="1" si="46"/>
        <v>2.751242174892201E-2</v>
      </c>
      <c r="W34" s="3">
        <f t="shared" ca="1" si="46"/>
        <v>2.9886282897960081E-2</v>
      </c>
      <c r="X34" s="3">
        <f t="shared" ca="1" si="46"/>
        <v>3.4485402574463801E-2</v>
      </c>
      <c r="Y34" s="3">
        <f t="shared" ca="1" si="46"/>
        <v>3.4319198919238014E-2</v>
      </c>
      <c r="Z34" s="3">
        <f t="shared" ca="1" si="46"/>
        <v>4.6679182807404455E-2</v>
      </c>
      <c r="AA34" s="3">
        <f t="shared" ca="1" si="46"/>
        <v>4.0356001933157706E-2</v>
      </c>
      <c r="AB34" s="3">
        <f t="shared" ca="1" si="46"/>
        <v>5.6301583185981857E-2</v>
      </c>
      <c r="AC34" s="3">
        <f t="shared" ca="1" si="46"/>
        <v>4.5635272908592678E-2</v>
      </c>
      <c r="AD34" s="3">
        <f t="shared" ca="1" si="46"/>
        <v>6.4445138765231447E-2</v>
      </c>
      <c r="AE34" s="3">
        <f t="shared" ca="1" si="46"/>
        <v>5.111876933540839E-2</v>
      </c>
      <c r="AF34" s="3">
        <f t="shared" ca="1" si="46"/>
        <v>7.4448129820980785E-2</v>
      </c>
      <c r="AG34" s="3">
        <f t="shared" ca="1" si="46"/>
        <v>5.5902818959252143E-2</v>
      </c>
      <c r="AH34" s="3">
        <f t="shared" ca="1" si="46"/>
        <v>0.10145765390513774</v>
      </c>
      <c r="AI34" s="3">
        <f t="shared" ca="1" si="46"/>
        <v>8.5868729882693354E-2</v>
      </c>
      <c r="AJ34" s="3">
        <f t="shared" ca="1" si="46"/>
        <v>0.16897915607839867</v>
      </c>
    </row>
    <row r="35" spans="1:36" x14ac:dyDescent="0.35">
      <c r="A35" t="s">
        <v>63</v>
      </c>
      <c r="B35" t="s">
        <v>61</v>
      </c>
      <c r="C35" s="4" t="s">
        <v>70</v>
      </c>
      <c r="D35" s="3">
        <f t="shared" ref="D35:AJ35" ca="1" si="47">MIN(0.99,D16+$D$3)</f>
        <v>1.152311206135068E-2</v>
      </c>
      <c r="E35" s="3">
        <f t="shared" ca="1" si="47"/>
        <v>1.1816882642038964E-2</v>
      </c>
      <c r="F35" s="3">
        <f t="shared" ca="1" si="47"/>
        <v>1.2599630135323728E-2</v>
      </c>
      <c r="G35" s="3">
        <f t="shared" ca="1" si="47"/>
        <v>1.4553263184614945E-2</v>
      </c>
      <c r="H35" s="3">
        <f t="shared" ca="1" si="47"/>
        <v>1.5482467910668464E-2</v>
      </c>
      <c r="I35" s="3">
        <f t="shared" ca="1" si="47"/>
        <v>1.6038911721264777E-2</v>
      </c>
      <c r="J35" s="3">
        <f t="shared" ca="1" si="47"/>
        <v>1.7899360507581685E-2</v>
      </c>
      <c r="K35" s="3">
        <f t="shared" ca="1" si="47"/>
        <v>1.7208539089533299E-2</v>
      </c>
      <c r="L35" s="3">
        <f t="shared" ca="1" si="47"/>
        <v>1.9483431198743271E-2</v>
      </c>
      <c r="M35" s="3">
        <f t="shared" ca="1" si="47"/>
        <v>1.9738074974102321E-2</v>
      </c>
      <c r="N35" s="3">
        <f t="shared" ca="1" si="47"/>
        <v>2.1263701713317831E-2</v>
      </c>
      <c r="O35" s="3">
        <f t="shared" ca="1" si="47"/>
        <v>2.0775425950075789E-2</v>
      </c>
      <c r="P35" s="3">
        <f t="shared" ca="1" si="47"/>
        <v>2.4491083639963395E-2</v>
      </c>
      <c r="Q35" s="3">
        <f t="shared" ca="1" si="47"/>
        <v>2.2319204983845937E-2</v>
      </c>
      <c r="R35" s="3">
        <f t="shared" ca="1" si="47"/>
        <v>2.6307908545845252E-2</v>
      </c>
      <c r="S35" s="3">
        <f t="shared" ca="1" si="47"/>
        <v>2.5644330597377862E-2</v>
      </c>
      <c r="T35" s="3">
        <f t="shared" ca="1" si="47"/>
        <v>2.7413589174759841E-2</v>
      </c>
      <c r="U35" s="3">
        <f t="shared" ca="1" si="47"/>
        <v>2.7724282230919672E-2</v>
      </c>
      <c r="V35" s="3">
        <f t="shared" ca="1" si="47"/>
        <v>2.8495899234573532E-2</v>
      </c>
      <c r="W35" s="3">
        <f t="shared" ca="1" si="47"/>
        <v>3.0824362858411235E-2</v>
      </c>
      <c r="X35" s="3">
        <f t="shared" ca="1" si="47"/>
        <v>3.5394770239329604E-2</v>
      </c>
      <c r="Y35" s="3">
        <f t="shared" ca="1" si="47"/>
        <v>3.5232931345332133E-2</v>
      </c>
      <c r="Z35" s="3">
        <f t="shared" ca="1" si="47"/>
        <v>4.7645068465414935E-2</v>
      </c>
      <c r="AA35" s="3">
        <f t="shared" ca="1" si="47"/>
        <v>4.1337076730445059E-2</v>
      </c>
      <c r="AB35" s="3">
        <f t="shared" ca="1" si="47"/>
        <v>5.7258669423476162E-2</v>
      </c>
      <c r="AC35" s="3">
        <f t="shared" ca="1" si="47"/>
        <v>4.6580582467148142E-2</v>
      </c>
      <c r="AD35" s="3">
        <f t="shared" ca="1" si="47"/>
        <v>6.5352392710119944E-2</v>
      </c>
      <c r="AE35" s="3">
        <f t="shared" ca="1" si="47"/>
        <v>5.2024271440943647E-2</v>
      </c>
      <c r="AF35" s="3">
        <f t="shared" ca="1" si="47"/>
        <v>7.5391289563658134E-2</v>
      </c>
      <c r="AG35" s="3">
        <f t="shared" ca="1" si="47"/>
        <v>5.6815575790499166E-2</v>
      </c>
      <c r="AH35" s="3">
        <f t="shared" ca="1" si="47"/>
        <v>0.10238236159914148</v>
      </c>
      <c r="AI35" s="3">
        <f t="shared" ca="1" si="47"/>
        <v>8.6814487978789073E-2</v>
      </c>
      <c r="AJ35" s="3">
        <f t="shared" ca="1" si="47"/>
        <v>0.16991369937451087</v>
      </c>
    </row>
    <row r="36" spans="1:36" x14ac:dyDescent="0.35">
      <c r="A36" t="s">
        <v>63</v>
      </c>
      <c r="B36" t="s">
        <v>61</v>
      </c>
      <c r="C36" s="4">
        <v>5</v>
      </c>
      <c r="D36" s="3">
        <f t="shared" ref="D36:AJ36" ca="1" si="48">MIN(0.99,D17+$D$3)</f>
        <v>1.2492190711387265E-2</v>
      </c>
      <c r="E36" s="3">
        <f t="shared" ca="1" si="48"/>
        <v>1.2757829781691502E-2</v>
      </c>
      <c r="F36" s="3">
        <f t="shared" ca="1" si="48"/>
        <v>1.3535935912396442E-2</v>
      </c>
      <c r="G36" s="3">
        <f t="shared" ca="1" si="48"/>
        <v>1.5548794499744112E-2</v>
      </c>
      <c r="H36" s="3">
        <f t="shared" ca="1" si="48"/>
        <v>1.6452822905508601E-2</v>
      </c>
      <c r="I36" s="3">
        <f t="shared" ca="1" si="48"/>
        <v>1.6975220516922095E-2</v>
      </c>
      <c r="J36" s="3">
        <f t="shared" ca="1" si="48"/>
        <v>1.8827210669389388E-2</v>
      </c>
      <c r="K36" s="3">
        <f t="shared" ca="1" si="48"/>
        <v>1.8196292521258931E-2</v>
      </c>
      <c r="L36" s="3">
        <f t="shared" ca="1" si="48"/>
        <v>2.0386328314593451E-2</v>
      </c>
      <c r="M36" s="3">
        <f t="shared" ca="1" si="48"/>
        <v>2.0683003004481362E-2</v>
      </c>
      <c r="N36" s="3">
        <f t="shared" ca="1" si="48"/>
        <v>2.2263515245694001E-2</v>
      </c>
      <c r="O36" s="3">
        <f t="shared" ca="1" si="48"/>
        <v>2.1758951880278762E-2</v>
      </c>
      <c r="P36" s="3">
        <f t="shared" ca="1" si="48"/>
        <v>2.5469748278415621E-2</v>
      </c>
      <c r="Q36" s="3">
        <f t="shared" ca="1" si="48"/>
        <v>2.3314213924002777E-2</v>
      </c>
      <c r="R36" s="3">
        <f t="shared" ca="1" si="48"/>
        <v>2.726287947512283E-2</v>
      </c>
      <c r="S36" s="3">
        <f t="shared" ca="1" si="48"/>
        <v>2.6589166453362897E-2</v>
      </c>
      <c r="T36" s="3">
        <f t="shared" ca="1" si="48"/>
        <v>2.8367105554384767E-2</v>
      </c>
      <c r="U36" s="3">
        <f t="shared" ca="1" si="48"/>
        <v>2.8719100639236588E-2</v>
      </c>
      <c r="V36" s="3">
        <f t="shared" ca="1" si="48"/>
        <v>2.9425901175665424E-2</v>
      </c>
      <c r="W36" s="3">
        <f t="shared" ca="1" si="48"/>
        <v>3.1822284727731326E-2</v>
      </c>
      <c r="X36" s="3">
        <f t="shared" ca="1" si="48"/>
        <v>3.634239061207313E-2</v>
      </c>
      <c r="Y36" s="3">
        <f t="shared" ca="1" si="48"/>
        <v>3.6134115882922931E-2</v>
      </c>
      <c r="Z36" s="3">
        <f t="shared" ca="1" si="48"/>
        <v>4.8580327123027622E-2</v>
      </c>
      <c r="AA36" s="3">
        <f t="shared" ca="1" si="48"/>
        <v>4.2303936951549381E-2</v>
      </c>
      <c r="AB36" s="3">
        <f t="shared" ca="1" si="48"/>
        <v>5.8244664619405327E-2</v>
      </c>
      <c r="AC36" s="3">
        <f t="shared" ca="1" si="48"/>
        <v>4.7512824361098278E-2</v>
      </c>
      <c r="AD36" s="3">
        <f t="shared" ca="1" si="48"/>
        <v>6.6333139568749408E-2</v>
      </c>
      <c r="AE36" s="3">
        <f t="shared" ca="1" si="48"/>
        <v>5.3013341785540874E-2</v>
      </c>
      <c r="AF36" s="3">
        <f t="shared" ca="1" si="48"/>
        <v>7.6308349184547777E-2</v>
      </c>
      <c r="AG36" s="3">
        <f t="shared" ca="1" si="48"/>
        <v>5.7795013893240217E-2</v>
      </c>
      <c r="AH36" s="3">
        <f t="shared" ca="1" si="48"/>
        <v>0.10329886226862743</v>
      </c>
      <c r="AI36" s="3">
        <f t="shared" ca="1" si="48"/>
        <v>8.7719990894986777E-2</v>
      </c>
      <c r="AJ36" s="3">
        <f t="shared" ca="1" si="48"/>
        <v>0.17088647927439454</v>
      </c>
    </row>
    <row r="37" spans="1:36" x14ac:dyDescent="0.35">
      <c r="A37" t="s">
        <v>63</v>
      </c>
      <c r="B37" t="s">
        <v>61</v>
      </c>
      <c r="C37" s="4" t="s">
        <v>71</v>
      </c>
      <c r="D37" s="3">
        <f t="shared" ref="D37:AJ37" ca="1" si="49">MIN(0.99,D18+$D$3)</f>
        <v>1.3484454900301319E-2</v>
      </c>
      <c r="E37" s="3">
        <f t="shared" ca="1" si="49"/>
        <v>1.3686051836511552E-2</v>
      </c>
      <c r="F37" s="3">
        <f t="shared" ca="1" si="49"/>
        <v>1.4478260473116851E-2</v>
      </c>
      <c r="G37" s="3">
        <f t="shared" ca="1" si="49"/>
        <v>1.6489371479568388E-2</v>
      </c>
      <c r="H37" s="3">
        <f t="shared" ca="1" si="49"/>
        <v>1.7362343993236724E-2</v>
      </c>
      <c r="I37" s="3">
        <f t="shared" ca="1" si="49"/>
        <v>1.7911255881639516E-2</v>
      </c>
      <c r="J37" s="3">
        <f t="shared" ca="1" si="49"/>
        <v>1.9777221799076566E-2</v>
      </c>
      <c r="K37" s="3">
        <f t="shared" ca="1" si="49"/>
        <v>1.9152562866536736E-2</v>
      </c>
      <c r="L37" s="3">
        <f t="shared" ca="1" si="49"/>
        <v>2.1377989724146691E-2</v>
      </c>
      <c r="M37" s="3">
        <f t="shared" ca="1" si="49"/>
        <v>2.1663672245828183E-2</v>
      </c>
      <c r="N37" s="3">
        <f t="shared" ca="1" si="49"/>
        <v>2.3257238766008406E-2</v>
      </c>
      <c r="O37" s="3">
        <f t="shared" ca="1" si="49"/>
        <v>2.2707783696861456E-2</v>
      </c>
      <c r="P37" s="3">
        <f t="shared" ca="1" si="49"/>
        <v>2.6381512587715813E-2</v>
      </c>
      <c r="Q37" s="3">
        <f t="shared" ca="1" si="49"/>
        <v>2.427375573810293E-2</v>
      </c>
      <c r="R37" s="3">
        <f t="shared" ca="1" si="49"/>
        <v>2.8224006454352274E-2</v>
      </c>
      <c r="S37" s="3">
        <f t="shared" ca="1" si="49"/>
        <v>2.75546801410829E-2</v>
      </c>
      <c r="T37" s="3">
        <f t="shared" ca="1" si="49"/>
        <v>2.9280803373116514E-2</v>
      </c>
      <c r="U37" s="3">
        <f t="shared" ca="1" si="49"/>
        <v>2.9647362019711406E-2</v>
      </c>
      <c r="V37" s="3">
        <f t="shared" ca="1" si="49"/>
        <v>3.0391946009736163E-2</v>
      </c>
      <c r="W37" s="3">
        <f t="shared" ca="1" si="49"/>
        <v>3.2821584433293756E-2</v>
      </c>
      <c r="X37" s="3">
        <f t="shared" ca="1" si="49"/>
        <v>3.729920617439627E-2</v>
      </c>
      <c r="Y37" s="3">
        <f t="shared" ca="1" si="49"/>
        <v>3.7077544099665155E-2</v>
      </c>
      <c r="Z37" s="3">
        <f t="shared" ca="1" si="49"/>
        <v>4.9552309449170648E-2</v>
      </c>
      <c r="AA37" s="3">
        <f t="shared" ca="1" si="49"/>
        <v>4.3292686553740696E-2</v>
      </c>
      <c r="AB37" s="3">
        <f t="shared" ca="1" si="49"/>
        <v>5.9174241081540679E-2</v>
      </c>
      <c r="AC37" s="3">
        <f t="shared" ca="1" si="49"/>
        <v>4.8414869977706047E-2</v>
      </c>
      <c r="AD37" s="3">
        <f t="shared" ca="1" si="49"/>
        <v>6.72443621911617E-2</v>
      </c>
      <c r="AE37" s="3">
        <f t="shared" ca="1" si="49"/>
        <v>5.3963008350562537E-2</v>
      </c>
      <c r="AF37" s="3">
        <f t="shared" ca="1" si="49"/>
        <v>7.7271686897043446E-2</v>
      </c>
      <c r="AG37" s="3">
        <f t="shared" ca="1" si="49"/>
        <v>5.8747341133391556E-2</v>
      </c>
      <c r="AH37" s="3">
        <f t="shared" ca="1" si="49"/>
        <v>0.10423751749255068</v>
      </c>
      <c r="AI37" s="3">
        <f t="shared" ca="1" si="49"/>
        <v>8.8714647270720814E-2</v>
      </c>
      <c r="AJ37" s="3">
        <f t="shared" ca="1" si="49"/>
        <v>0.17188108553655043</v>
      </c>
    </row>
    <row r="38" spans="1:36" x14ac:dyDescent="0.35">
      <c r="A38" t="s">
        <v>63</v>
      </c>
      <c r="B38" t="s">
        <v>61</v>
      </c>
      <c r="C38" s="4" t="s">
        <v>72</v>
      </c>
      <c r="D38" s="3">
        <f t="shared" ref="D38:AJ38" ca="1" si="50">MIN(0.99,D19+$D$3)</f>
        <v>1.4438939243967913E-2</v>
      </c>
      <c r="E38" s="3">
        <f t="shared" ca="1" si="50"/>
        <v>1.4644712168429972E-2</v>
      </c>
      <c r="F38" s="3">
        <f t="shared" ca="1" si="50"/>
        <v>1.5415597778274209E-2</v>
      </c>
      <c r="G38" s="3">
        <f t="shared" ca="1" si="50"/>
        <v>1.7473693954814004E-2</v>
      </c>
      <c r="H38" s="3">
        <f t="shared" ca="1" si="50"/>
        <v>1.8352076935953296E-2</v>
      </c>
      <c r="I38" s="3">
        <f t="shared" ca="1" si="50"/>
        <v>1.8847010510658353E-2</v>
      </c>
      <c r="J38" s="3">
        <f t="shared" ca="1" si="50"/>
        <v>2.0767276567622259E-2</v>
      </c>
      <c r="K38" s="3">
        <f t="shared" ca="1" si="50"/>
        <v>2.0072023986234092E-2</v>
      </c>
      <c r="L38" s="3">
        <f t="shared" ca="1" si="50"/>
        <v>2.232867921800882E-2</v>
      </c>
      <c r="M38" s="3">
        <f t="shared" ca="1" si="50"/>
        <v>2.2636657786686231E-2</v>
      </c>
      <c r="N38" s="3">
        <f t="shared" ca="1" si="50"/>
        <v>2.4235393058275916E-2</v>
      </c>
      <c r="O38" s="3">
        <f t="shared" ca="1" si="50"/>
        <v>2.3693052747464929E-2</v>
      </c>
      <c r="P38" s="3">
        <f t="shared" ca="1" si="50"/>
        <v>2.7353375629964972E-2</v>
      </c>
      <c r="Q38" s="3">
        <f t="shared" ca="1" si="50"/>
        <v>2.5179666982170914E-2</v>
      </c>
      <c r="R38" s="3">
        <f t="shared" ca="1" si="50"/>
        <v>2.915725819865745E-2</v>
      </c>
      <c r="S38" s="3">
        <f t="shared" ca="1" si="50"/>
        <v>2.8501915946190424E-2</v>
      </c>
      <c r="T38" s="3">
        <f t="shared" ca="1" si="50"/>
        <v>3.0280352248944882E-2</v>
      </c>
      <c r="U38" s="3">
        <f t="shared" ca="1" si="50"/>
        <v>3.0595759629499345E-2</v>
      </c>
      <c r="V38" s="3">
        <f t="shared" ca="1" si="50"/>
        <v>3.1319788123702424E-2</v>
      </c>
      <c r="W38" s="3">
        <f t="shared" ca="1" si="50"/>
        <v>3.3811262402210759E-2</v>
      </c>
      <c r="X38" s="3">
        <f t="shared" ca="1" si="50"/>
        <v>3.8237038666692889E-2</v>
      </c>
      <c r="Y38" s="3">
        <f t="shared" ca="1" si="50"/>
        <v>3.8074734196958247E-2</v>
      </c>
      <c r="Z38" s="3">
        <f t="shared" ca="1" si="50"/>
        <v>5.0477911135174712E-2</v>
      </c>
      <c r="AA38" s="3">
        <f t="shared" ca="1" si="50"/>
        <v>4.4274771267108472E-2</v>
      </c>
      <c r="AB38" s="3">
        <f t="shared" ca="1" si="50"/>
        <v>6.011793286938532E-2</v>
      </c>
      <c r="AC38" s="3">
        <f t="shared" ca="1" si="50"/>
        <v>4.9414404917709973E-2</v>
      </c>
      <c r="AD38" s="3">
        <f t="shared" ca="1" si="50"/>
        <v>6.8209359896021809E-2</v>
      </c>
      <c r="AE38" s="3">
        <f t="shared" ca="1" si="50"/>
        <v>5.4932612433054764E-2</v>
      </c>
      <c r="AF38" s="3">
        <f t="shared" ca="1" si="50"/>
        <v>7.8246337262454085E-2</v>
      </c>
      <c r="AG38" s="3">
        <f t="shared" ca="1" si="50"/>
        <v>5.9701428021291705E-2</v>
      </c>
      <c r="AH38" s="3">
        <f t="shared" ca="1" si="50"/>
        <v>0.10514310721984885</v>
      </c>
      <c r="AI38" s="3">
        <f t="shared" ca="1" si="50"/>
        <v>8.9662237692319527E-2</v>
      </c>
      <c r="AJ38" s="3">
        <f t="shared" ca="1" si="50"/>
        <v>0.17283654999430001</v>
      </c>
    </row>
    <row r="39" spans="1:36" x14ac:dyDescent="0.35">
      <c r="A39" t="s">
        <v>63</v>
      </c>
      <c r="B39" t="s">
        <v>61</v>
      </c>
      <c r="C39" s="4">
        <v>6</v>
      </c>
      <c r="D39" s="3">
        <f t="shared" ref="D39:AJ39" ca="1" si="51">MIN(0.99,D20+$D$3)</f>
        <v>1.5412748521250436E-2</v>
      </c>
      <c r="E39" s="3">
        <f t="shared" ca="1" si="51"/>
        <v>1.5563121751142179E-2</v>
      </c>
      <c r="F39" s="3">
        <f t="shared" ca="1" si="51"/>
        <v>1.6345193633923127E-2</v>
      </c>
      <c r="G39" s="3">
        <f t="shared" ca="1" si="51"/>
        <v>1.8422006573476837E-2</v>
      </c>
      <c r="H39" s="3">
        <f t="shared" ca="1" si="51"/>
        <v>1.9268702262347958E-2</v>
      </c>
      <c r="I39" s="3">
        <f t="shared" ca="1" si="51"/>
        <v>1.9770235805852448E-2</v>
      </c>
      <c r="J39" s="3">
        <f t="shared" ca="1" si="51"/>
        <v>2.1671972122494977E-2</v>
      </c>
      <c r="K39" s="3">
        <f t="shared" ca="1" si="51"/>
        <v>2.1007063927246449E-2</v>
      </c>
      <c r="L39" s="3">
        <f t="shared" ca="1" si="51"/>
        <v>2.3271303248341989E-2</v>
      </c>
      <c r="M39" s="3">
        <f t="shared" ca="1" si="51"/>
        <v>2.3610365876717658E-2</v>
      </c>
      <c r="N39" s="3">
        <f t="shared" ca="1" si="51"/>
        <v>2.5203749435113658E-2</v>
      </c>
      <c r="O39" s="3">
        <f t="shared" ca="1" si="51"/>
        <v>2.469143999502172E-2</v>
      </c>
      <c r="P39" s="3">
        <f t="shared" ca="1" si="51"/>
        <v>2.8270604251097724E-2</v>
      </c>
      <c r="Q39" s="3">
        <f t="shared" ca="1" si="51"/>
        <v>2.6179408448813446E-2</v>
      </c>
      <c r="R39" s="3">
        <f t="shared" ca="1" si="51"/>
        <v>3.014236974163003E-2</v>
      </c>
      <c r="S39" s="3">
        <f t="shared" ca="1" si="51"/>
        <v>2.9466851635476576E-2</v>
      </c>
      <c r="T39" s="3">
        <f t="shared" ca="1" si="51"/>
        <v>3.1269073544278707E-2</v>
      </c>
      <c r="U39" s="3">
        <f t="shared" ca="1" si="51"/>
        <v>3.1571096995211538E-2</v>
      </c>
      <c r="V39" s="3">
        <f t="shared" ca="1" si="51"/>
        <v>3.2289308142138887E-2</v>
      </c>
      <c r="W39" s="3">
        <f t="shared" ca="1" si="51"/>
        <v>3.4804533323171107E-2</v>
      </c>
      <c r="X39" s="3">
        <f t="shared" ca="1" si="51"/>
        <v>3.9229769125465379E-2</v>
      </c>
      <c r="Y39" s="3">
        <f t="shared" ca="1" si="51"/>
        <v>3.9001000442242958E-2</v>
      </c>
      <c r="Z39" s="3">
        <f t="shared" ca="1" si="51"/>
        <v>5.142792437724196E-2</v>
      </c>
      <c r="AA39" s="3">
        <f t="shared" ca="1" si="51"/>
        <v>4.5250966004294894E-2</v>
      </c>
      <c r="AB39" s="3">
        <f t="shared" ca="1" si="51"/>
        <v>6.1053966335099762E-2</v>
      </c>
      <c r="AC39" s="3">
        <f t="shared" ca="1" si="51"/>
        <v>5.0388499773208653E-2</v>
      </c>
      <c r="AD39" s="3">
        <f t="shared" ca="1" si="51"/>
        <v>6.9155431487015279E-2</v>
      </c>
      <c r="AE39" s="3">
        <f t="shared" ca="1" si="51"/>
        <v>5.5920315427896973E-2</v>
      </c>
      <c r="AF39" s="3">
        <f t="shared" ca="1" si="51"/>
        <v>7.9213708733095772E-2</v>
      </c>
      <c r="AG39" s="3">
        <f t="shared" ca="1" si="51"/>
        <v>6.0606942220334976E-2</v>
      </c>
      <c r="AH39" s="3">
        <f t="shared" ca="1" si="51"/>
        <v>0.10613563349026996</v>
      </c>
      <c r="AI39" s="3">
        <f t="shared" ca="1" si="51"/>
        <v>9.0629591952280195E-2</v>
      </c>
      <c r="AJ39" s="3">
        <f t="shared" ca="1" si="51"/>
        <v>0.17378064281299038</v>
      </c>
    </row>
    <row r="40" spans="1:36" x14ac:dyDescent="0.35">
      <c r="A40" t="s">
        <v>63</v>
      </c>
      <c r="B40" t="s">
        <v>61</v>
      </c>
      <c r="C40" s="4" t="s">
        <v>73</v>
      </c>
      <c r="D40" s="3">
        <f t="shared" ref="D40:AJ40" ca="1" si="52">MIN(0.99,D21+$D$3)</f>
        <v>1.6405762019646157E-2</v>
      </c>
      <c r="E40" s="3">
        <f t="shared" ca="1" si="52"/>
        <v>1.6557962367549254E-2</v>
      </c>
      <c r="F40" s="3">
        <f t="shared" ca="1" si="52"/>
        <v>1.7285233794687379E-2</v>
      </c>
      <c r="G40" s="3">
        <f t="shared" ca="1" si="52"/>
        <v>1.932319102101621E-2</v>
      </c>
      <c r="H40" s="3">
        <f t="shared" ca="1" si="52"/>
        <v>2.0190680806712893E-2</v>
      </c>
      <c r="I40" s="3">
        <f t="shared" ca="1" si="52"/>
        <v>2.072116057938856E-2</v>
      </c>
      <c r="J40" s="3">
        <f t="shared" ca="1" si="52"/>
        <v>2.266209330122336E-2</v>
      </c>
      <c r="K40" s="3">
        <f t="shared" ca="1" si="52"/>
        <v>2.1907845358551035E-2</v>
      </c>
      <c r="L40" s="3">
        <f t="shared" ca="1" si="52"/>
        <v>2.4223102569838728E-2</v>
      </c>
      <c r="M40" s="3">
        <f t="shared" ca="1" si="52"/>
        <v>2.4596153588644951E-2</v>
      </c>
      <c r="N40" s="3">
        <f t="shared" ca="1" si="52"/>
        <v>2.6179215680414415E-2</v>
      </c>
      <c r="O40" s="3">
        <f t="shared" ca="1" si="52"/>
        <v>2.56730537031034E-2</v>
      </c>
      <c r="P40" s="3">
        <f t="shared" ca="1" si="52"/>
        <v>2.9219756104586308E-2</v>
      </c>
      <c r="Q40" s="3">
        <f t="shared" ca="1" si="52"/>
        <v>2.7155382846520384E-2</v>
      </c>
      <c r="R40" s="3">
        <f t="shared" ca="1" si="52"/>
        <v>3.109245908045408E-2</v>
      </c>
      <c r="S40" s="3">
        <f t="shared" ca="1" si="52"/>
        <v>3.0426304819436378E-2</v>
      </c>
      <c r="T40" s="3">
        <f t="shared" ca="1" si="52"/>
        <v>3.2176411470082017E-2</v>
      </c>
      <c r="U40" s="3">
        <f t="shared" ca="1" si="52"/>
        <v>3.24963884312948E-2</v>
      </c>
      <c r="V40" s="3">
        <f t="shared" ca="1" si="52"/>
        <v>3.3229871673949279E-2</v>
      </c>
      <c r="W40" s="3">
        <f t="shared" ca="1" si="52"/>
        <v>3.5782459582558428E-2</v>
      </c>
      <c r="X40" s="3">
        <f t="shared" ca="1" si="52"/>
        <v>4.0181579702867821E-2</v>
      </c>
      <c r="Y40" s="3">
        <f t="shared" ca="1" si="52"/>
        <v>3.9902737204013536E-2</v>
      </c>
      <c r="Z40" s="3">
        <f t="shared" ca="1" si="52"/>
        <v>5.2426583367858985E-2</v>
      </c>
      <c r="AA40" s="3">
        <f t="shared" ca="1" si="52"/>
        <v>4.6225144233269538E-2</v>
      </c>
      <c r="AB40" s="3">
        <f t="shared" ca="1" si="52"/>
        <v>6.1995697239400613E-2</v>
      </c>
      <c r="AC40" s="3">
        <f t="shared" ca="1" si="52"/>
        <v>5.1375085525391356E-2</v>
      </c>
      <c r="AD40" s="3">
        <f t="shared" ca="1" si="52"/>
        <v>7.0094084240374208E-2</v>
      </c>
      <c r="AE40" s="3">
        <f t="shared" ca="1" si="52"/>
        <v>5.6894842995068792E-2</v>
      </c>
      <c r="AF40" s="3">
        <f t="shared" ca="1" si="52"/>
        <v>8.0136199180755943E-2</v>
      </c>
      <c r="AG40" s="3">
        <f t="shared" ca="1" si="52"/>
        <v>6.1584020613767262E-2</v>
      </c>
      <c r="AH40" s="3">
        <f t="shared" ca="1" si="52"/>
        <v>0.10705028626100148</v>
      </c>
      <c r="AI40" s="3">
        <f t="shared" ca="1" si="52"/>
        <v>9.1596133129247845E-2</v>
      </c>
      <c r="AJ40" s="3">
        <f t="shared" ca="1" si="52"/>
        <v>0.17469399884461831</v>
      </c>
    </row>
    <row r="41" spans="1:36" x14ac:dyDescent="0.35">
      <c r="A41" t="s">
        <v>63</v>
      </c>
      <c r="B41" t="s">
        <v>61</v>
      </c>
      <c r="C41" s="4" t="s">
        <v>74</v>
      </c>
      <c r="D41" s="3">
        <f t="shared" ref="D41:AJ41" ca="1" si="53">MIN(0.99,D22+$D$3)</f>
        <v>1.7323956046054512E-2</v>
      </c>
      <c r="E41" s="3">
        <f t="shared" ca="1" si="53"/>
        <v>1.7535229102321068E-2</v>
      </c>
      <c r="F41" s="3">
        <f t="shared" ca="1" si="53"/>
        <v>1.8221165352956325E-2</v>
      </c>
      <c r="G41" s="3">
        <f t="shared" ca="1" si="53"/>
        <v>2.0264475917527423E-2</v>
      </c>
      <c r="H41" s="3">
        <f t="shared" ca="1" si="53"/>
        <v>2.1110506505250169E-2</v>
      </c>
      <c r="I41" s="3">
        <f t="shared" ca="1" si="53"/>
        <v>2.1691737270141193E-2</v>
      </c>
      <c r="J41" s="3">
        <f t="shared" ca="1" si="53"/>
        <v>2.364251769787705E-2</v>
      </c>
      <c r="K41" s="3">
        <f t="shared" ca="1" si="53"/>
        <v>2.2867936768599013E-2</v>
      </c>
      <c r="L41" s="3">
        <f t="shared" ca="1" si="53"/>
        <v>2.5205066646935174E-2</v>
      </c>
      <c r="M41" s="3">
        <f t="shared" ca="1" si="53"/>
        <v>2.5575381582484867E-2</v>
      </c>
      <c r="N41" s="3">
        <f t="shared" ca="1" si="53"/>
        <v>2.7120671372874106E-2</v>
      </c>
      <c r="O41" s="3">
        <f t="shared" ca="1" si="53"/>
        <v>2.6611253627850044E-2</v>
      </c>
      <c r="P41" s="3">
        <f t="shared" ca="1" si="53"/>
        <v>3.0211963898851463E-2</v>
      </c>
      <c r="Q41" s="3">
        <f t="shared" ca="1" si="53"/>
        <v>2.8099948449425979E-2</v>
      </c>
      <c r="R41" s="3">
        <f t="shared" ca="1" si="53"/>
        <v>3.2028976195700901E-2</v>
      </c>
      <c r="S41" s="3">
        <f t="shared" ca="1" si="53"/>
        <v>3.140706832325689E-2</v>
      </c>
      <c r="T41" s="3">
        <f t="shared" ca="1" si="53"/>
        <v>3.3133904671322628E-2</v>
      </c>
      <c r="U41" s="3">
        <f t="shared" ca="1" si="53"/>
        <v>3.3427922067647178E-2</v>
      </c>
      <c r="V41" s="3">
        <f t="shared" ca="1" si="53"/>
        <v>3.4215559904088345E-2</v>
      </c>
      <c r="W41" s="3">
        <f t="shared" ca="1" si="53"/>
        <v>3.6771454650514797E-2</v>
      </c>
      <c r="X41" s="3">
        <f t="shared" ca="1" si="53"/>
        <v>4.1160612506787111E-2</v>
      </c>
      <c r="Y41" s="3">
        <f t="shared" ca="1" si="53"/>
        <v>4.0873468736625299E-2</v>
      </c>
      <c r="Z41" s="3">
        <f t="shared" ca="1" si="53"/>
        <v>5.3341536100527401E-2</v>
      </c>
      <c r="AA41" s="3">
        <f t="shared" ca="1" si="53"/>
        <v>4.7176968016531047E-2</v>
      </c>
      <c r="AB41" s="3">
        <f t="shared" ca="1" si="53"/>
        <v>6.2990123550503346E-2</v>
      </c>
      <c r="AC41" s="3">
        <f t="shared" ca="1" si="53"/>
        <v>5.230946716053525E-2</v>
      </c>
      <c r="AD41" s="3">
        <f t="shared" ca="1" si="53"/>
        <v>7.101861267141768E-2</v>
      </c>
      <c r="AE41" s="3">
        <f t="shared" ca="1" si="53"/>
        <v>5.7894683369195933E-2</v>
      </c>
      <c r="AF41" s="3">
        <f t="shared" ca="1" si="53"/>
        <v>8.1077977675205651E-2</v>
      </c>
      <c r="AG41" s="3">
        <f t="shared" ca="1" si="53"/>
        <v>6.2580887614734751E-2</v>
      </c>
      <c r="AH41" s="3">
        <f t="shared" ca="1" si="53"/>
        <v>0.10803892370317526</v>
      </c>
      <c r="AI41" s="3">
        <f t="shared" ca="1" si="53"/>
        <v>9.2555354491516806E-2</v>
      </c>
      <c r="AJ41" s="3">
        <f t="shared" ca="1" si="53"/>
        <v>0.17568148716991491</v>
      </c>
    </row>
    <row r="42" spans="1:36" x14ac:dyDescent="0.35">
      <c r="A42" t="s">
        <v>63</v>
      </c>
      <c r="B42" t="s">
        <v>61</v>
      </c>
      <c r="C42" s="4">
        <v>7</v>
      </c>
      <c r="D42" s="3">
        <f t="shared" ref="D42:AJ42" ca="1" si="54">MIN(0.99,D23+$D$3)</f>
        <v>1.8249132611260172E-2</v>
      </c>
      <c r="E42" s="3">
        <f t="shared" ca="1" si="54"/>
        <v>1.8438560177040257E-2</v>
      </c>
      <c r="F42" s="3">
        <f t="shared" ca="1" si="54"/>
        <v>1.9167307037448986E-2</v>
      </c>
      <c r="G42" s="3">
        <f t="shared" ca="1" si="54"/>
        <v>2.1206866279079407E-2</v>
      </c>
      <c r="H42" s="3">
        <f t="shared" ca="1" si="54"/>
        <v>2.2020857107338213E-2</v>
      </c>
      <c r="I42" s="3">
        <f t="shared" ca="1" si="54"/>
        <v>2.2615049282589571E-2</v>
      </c>
      <c r="J42" s="3">
        <f t="shared" ca="1" si="54"/>
        <v>2.4562881362628634E-2</v>
      </c>
      <c r="K42" s="3">
        <f t="shared" ca="1" si="54"/>
        <v>2.382925141479417E-2</v>
      </c>
      <c r="L42" s="3">
        <f t="shared" ca="1" si="54"/>
        <v>2.6150841408044762E-2</v>
      </c>
      <c r="M42" s="3">
        <f t="shared" ca="1" si="54"/>
        <v>2.6546153712486947E-2</v>
      </c>
      <c r="N42" s="3">
        <f t="shared" ca="1" si="54"/>
        <v>2.8048457546872421E-2</v>
      </c>
      <c r="O42" s="3">
        <f t="shared" ca="1" si="54"/>
        <v>2.7582384724031617E-2</v>
      </c>
      <c r="P42" s="3">
        <f t="shared" ca="1" si="54"/>
        <v>3.1197256956899361E-2</v>
      </c>
      <c r="Q42" s="3">
        <f t="shared" ca="1" si="54"/>
        <v>2.9033954922346471E-2</v>
      </c>
      <c r="R42" s="3">
        <f t="shared" ca="1" si="54"/>
        <v>3.3000488040691028E-2</v>
      </c>
      <c r="S42" s="3">
        <f t="shared" ca="1" si="54"/>
        <v>3.2371136863709821E-2</v>
      </c>
      <c r="T42" s="3">
        <f t="shared" ca="1" si="54"/>
        <v>3.4036881929668625E-2</v>
      </c>
      <c r="U42" s="3">
        <f t="shared" ca="1" si="54"/>
        <v>3.4345473026688771E-2</v>
      </c>
      <c r="V42" s="3">
        <f t="shared" ca="1" si="54"/>
        <v>3.512061896288679E-2</v>
      </c>
      <c r="W42" s="3">
        <f t="shared" ca="1" si="54"/>
        <v>3.7757978177912405E-2</v>
      </c>
      <c r="X42" s="3">
        <f t="shared" ca="1" si="54"/>
        <v>4.2100155021842001E-2</v>
      </c>
      <c r="Y42" s="3">
        <f t="shared" ca="1" si="54"/>
        <v>4.1854638814472614E-2</v>
      </c>
      <c r="Z42" s="3">
        <f t="shared" ca="1" si="54"/>
        <v>5.4299628502379495E-2</v>
      </c>
      <c r="AA42" s="3">
        <f t="shared" ca="1" si="54"/>
        <v>4.8152630594573004E-2</v>
      </c>
      <c r="AB42" s="3">
        <f t="shared" ca="1" si="54"/>
        <v>6.39715544245259E-2</v>
      </c>
      <c r="AC42" s="3">
        <f t="shared" ca="1" si="54"/>
        <v>5.320976495534175E-2</v>
      </c>
      <c r="AD42" s="3">
        <f t="shared" ca="1" si="54"/>
        <v>7.2011199391606107E-2</v>
      </c>
      <c r="AE42" s="3">
        <f t="shared" ca="1" si="54"/>
        <v>5.8852019697130574E-2</v>
      </c>
      <c r="AF42" s="3">
        <f t="shared" ca="1" si="54"/>
        <v>8.202710514678517E-2</v>
      </c>
      <c r="AG42" s="3">
        <f t="shared" ca="1" si="54"/>
        <v>6.3498877495653416E-2</v>
      </c>
      <c r="AH42" s="3">
        <f t="shared" ca="1" si="54"/>
        <v>0.10895603170317866</v>
      </c>
      <c r="AI42" s="3">
        <f t="shared" ca="1" si="54"/>
        <v>9.3523830848000131E-2</v>
      </c>
      <c r="AJ42" s="3">
        <f t="shared" ca="1" si="54"/>
        <v>0.17658775377187291</v>
      </c>
    </row>
    <row r="43" spans="1:36" x14ac:dyDescent="0.35">
      <c r="A43" t="s">
        <v>63</v>
      </c>
      <c r="B43" t="s">
        <v>61</v>
      </c>
      <c r="C43" s="4" t="s">
        <v>75</v>
      </c>
      <c r="D43" s="3">
        <f t="shared" ref="D43:AJ43" ca="1" si="55">MIN(0.99,D24+$D$3)</f>
        <v>1.9173515240078768E-2</v>
      </c>
      <c r="E43" s="3">
        <f t="shared" ca="1" si="55"/>
        <v>1.9425565539717436E-2</v>
      </c>
      <c r="F43" s="3">
        <f t="shared" ca="1" si="55"/>
        <v>2.0128920500227521E-2</v>
      </c>
      <c r="G43" s="3">
        <f t="shared" ca="1" si="55"/>
        <v>2.2184058288031414E-2</v>
      </c>
      <c r="H43" s="3">
        <f t="shared" ca="1" si="55"/>
        <v>2.2970581475759186E-2</v>
      </c>
      <c r="I43" s="3">
        <f t="shared" ca="1" si="55"/>
        <v>2.3612922986726397E-2</v>
      </c>
      <c r="J43" s="3">
        <f t="shared" ca="1" si="55"/>
        <v>2.5481913114381704E-2</v>
      </c>
      <c r="K43" s="3">
        <f t="shared" ca="1" si="55"/>
        <v>2.4798744670392048E-2</v>
      </c>
      <c r="L43" s="3">
        <f t="shared" ca="1" si="55"/>
        <v>2.713635147667335E-2</v>
      </c>
      <c r="M43" s="3">
        <f t="shared" ca="1" si="55"/>
        <v>2.7524005411690068E-2</v>
      </c>
      <c r="N43" s="3">
        <f t="shared" ca="1" si="55"/>
        <v>2.8970748386507223E-2</v>
      </c>
      <c r="O43" s="3">
        <f t="shared" ca="1" si="55"/>
        <v>2.85015697181338E-2</v>
      </c>
      <c r="P43" s="3">
        <f t="shared" ca="1" si="55"/>
        <v>3.2106118465884785E-2</v>
      </c>
      <c r="Q43" s="3">
        <f t="shared" ca="1" si="55"/>
        <v>3.0021151687803241E-2</v>
      </c>
      <c r="R43" s="3">
        <f t="shared" ca="1" si="55"/>
        <v>3.3979056287930312E-2</v>
      </c>
      <c r="S43" s="3">
        <f t="shared" ca="1" si="55"/>
        <v>3.3283130039264863E-2</v>
      </c>
      <c r="T43" s="3">
        <f t="shared" ca="1" si="55"/>
        <v>3.4994875366362241E-2</v>
      </c>
      <c r="U43" s="3">
        <f t="shared" ca="1" si="55"/>
        <v>3.5257359654965702E-2</v>
      </c>
      <c r="V43" s="3">
        <f t="shared" ca="1" si="55"/>
        <v>3.6102435220611524E-2</v>
      </c>
      <c r="W43" s="3">
        <f t="shared" ca="1" si="55"/>
        <v>3.8732426519784362E-2</v>
      </c>
      <c r="X43" s="3">
        <f t="shared" ca="1" si="55"/>
        <v>4.3028191410779022E-2</v>
      </c>
      <c r="Y43" s="3">
        <f t="shared" ca="1" si="55"/>
        <v>4.2841017177211761E-2</v>
      </c>
      <c r="Z43" s="3">
        <f t="shared" ca="1" si="55"/>
        <v>5.5272737189043297E-2</v>
      </c>
      <c r="AA43" s="3">
        <f t="shared" ca="1" si="55"/>
        <v>4.9106211977127077E-2</v>
      </c>
      <c r="AB43" s="3">
        <f t="shared" ca="1" si="55"/>
        <v>6.487983806694772E-2</v>
      </c>
      <c r="AC43" s="3">
        <f t="shared" ca="1" si="55"/>
        <v>5.4155949060795724E-2</v>
      </c>
      <c r="AD43" s="3">
        <f t="shared" ca="1" si="55"/>
        <v>7.2953719039918777E-2</v>
      </c>
      <c r="AE43" s="3">
        <f t="shared" ca="1" si="55"/>
        <v>5.9792016361654265E-2</v>
      </c>
      <c r="AF43" s="3">
        <f t="shared" ca="1" si="55"/>
        <v>8.2943189695669314E-2</v>
      </c>
      <c r="AG43" s="3">
        <f t="shared" ca="1" si="55"/>
        <v>6.4460060821368875E-2</v>
      </c>
      <c r="AH43" s="3">
        <f t="shared" ca="1" si="55"/>
        <v>0.10995166993859172</v>
      </c>
      <c r="AI43" s="3">
        <f t="shared" ca="1" si="55"/>
        <v>9.4485857987751679E-2</v>
      </c>
      <c r="AJ43" s="3">
        <f t="shared" ca="1" si="55"/>
        <v>0.17756008038992085</v>
      </c>
    </row>
    <row r="44" spans="1:36" x14ac:dyDescent="0.35">
      <c r="A44" t="s">
        <v>63</v>
      </c>
      <c r="B44" t="s">
        <v>62</v>
      </c>
      <c r="C44" s="4">
        <v>1</v>
      </c>
      <c r="D44" s="3">
        <f t="shared" ref="D44:AJ44" ca="1" si="56">MIN(0.99,D25+$D$3)</f>
        <v>2.9961925261164923E-3</v>
      </c>
      <c r="E44" s="3">
        <f t="shared" ca="1" si="56"/>
        <v>3.1974098181846815E-3</v>
      </c>
      <c r="F44" s="3">
        <f t="shared" ca="1" si="56"/>
        <v>4.0832363239344457E-3</v>
      </c>
      <c r="G44" s="3">
        <f t="shared" ca="1" si="56"/>
        <v>5.8526701021292321E-3</v>
      </c>
      <c r="H44" s="3">
        <f t="shared" ca="1" si="56"/>
        <v>6.8391247497064161E-3</v>
      </c>
      <c r="I44" s="3">
        <f t="shared" ca="1" si="56"/>
        <v>7.5122360950446885E-3</v>
      </c>
      <c r="J44" s="3">
        <f t="shared" ca="1" si="56"/>
        <v>9.4523031365108534E-3</v>
      </c>
      <c r="K44" s="3">
        <f t="shared" ca="1" si="56"/>
        <v>8.4839569147496172E-3</v>
      </c>
      <c r="L44" s="3">
        <f t="shared" ca="1" si="56"/>
        <v>1.0813706971466788E-2</v>
      </c>
      <c r="M44" s="3">
        <f t="shared" ca="1" si="56"/>
        <v>1.1195744570271341E-2</v>
      </c>
      <c r="N44" s="3">
        <f t="shared" ca="1" si="56"/>
        <v>1.2724206565655212E-2</v>
      </c>
      <c r="O44" s="3">
        <f t="shared" ca="1" si="56"/>
        <v>1.2377714372117623E-2</v>
      </c>
      <c r="P44" s="3">
        <f t="shared" ca="1" si="56"/>
        <v>1.6098658743641314E-2</v>
      </c>
      <c r="Q44" s="3">
        <f t="shared" ca="1" si="56"/>
        <v>1.3714259578835566E-2</v>
      </c>
      <c r="R44" s="3">
        <f t="shared" ca="1" si="56"/>
        <v>1.7701306611202582E-2</v>
      </c>
      <c r="S44" s="3">
        <f t="shared" ca="1" si="56"/>
        <v>1.7128887270818918E-2</v>
      </c>
      <c r="T44" s="3">
        <f t="shared" ca="1" si="56"/>
        <v>1.8872832134011489E-2</v>
      </c>
      <c r="U44" s="3">
        <f t="shared" ca="1" si="56"/>
        <v>1.9220704287567843E-2</v>
      </c>
      <c r="V44" s="3">
        <f t="shared" ca="1" si="56"/>
        <v>1.9840293164901983E-2</v>
      </c>
      <c r="W44" s="3">
        <f t="shared" ca="1" si="56"/>
        <v>2.2398351374836013E-2</v>
      </c>
      <c r="X44" s="3">
        <f t="shared" ca="1" si="56"/>
        <v>2.6938856585739135E-2</v>
      </c>
      <c r="Y44" s="3">
        <f t="shared" ca="1" si="56"/>
        <v>2.6697914449769752E-2</v>
      </c>
      <c r="Z44" s="3">
        <f t="shared" ca="1" si="56"/>
        <v>3.9139695702027258E-2</v>
      </c>
      <c r="AA44" s="3">
        <f t="shared" ca="1" si="56"/>
        <v>3.2813314714986094E-2</v>
      </c>
      <c r="AB44" s="3">
        <f t="shared" ca="1" si="56"/>
        <v>4.8587150293817882E-2</v>
      </c>
      <c r="AC44" s="3">
        <f t="shared" ca="1" si="56"/>
        <v>3.8052930424463907E-2</v>
      </c>
      <c r="AD44" s="3">
        <f t="shared" ca="1" si="56"/>
        <v>5.677987719182169E-2</v>
      </c>
      <c r="AE44" s="3">
        <f t="shared" ca="1" si="56"/>
        <v>4.3605562614879106E-2</v>
      </c>
      <c r="AF44" s="3">
        <f t="shared" ca="1" si="56"/>
        <v>6.68870500207705E-2</v>
      </c>
      <c r="AG44" s="3">
        <f t="shared" ca="1" si="56"/>
        <v>4.8376729336196439E-2</v>
      </c>
      <c r="AH44" s="3">
        <f t="shared" ca="1" si="56"/>
        <v>9.3904894070206218E-2</v>
      </c>
      <c r="AI44" s="3">
        <f t="shared" ca="1" si="56"/>
        <v>7.8319268873131398E-2</v>
      </c>
      <c r="AJ44" s="3">
        <f t="shared" ca="1" si="56"/>
        <v>0.16160356655079078</v>
      </c>
    </row>
    <row r="45" spans="1:36" x14ac:dyDescent="0.35">
      <c r="A45" t="s">
        <v>63</v>
      </c>
      <c r="B45" t="s">
        <v>62</v>
      </c>
      <c r="C45" s="4" t="s">
        <v>64</v>
      </c>
      <c r="D45" s="3">
        <f t="shared" ref="D45:AJ45" ca="1" si="57">MIN(0.99,D26+$D$3)</f>
        <v>3.9848742333430092E-3</v>
      </c>
      <c r="E45" s="3">
        <f t="shared" ca="1" si="57"/>
        <v>4.1716670236145604E-3</v>
      </c>
      <c r="F45" s="3">
        <f t="shared" ca="1" si="57"/>
        <v>5.0017814471618963E-3</v>
      </c>
      <c r="G45" s="3">
        <f t="shared" ca="1" si="57"/>
        <v>6.847091764261487E-3</v>
      </c>
      <c r="H45" s="3">
        <f t="shared" ca="1" si="57"/>
        <v>7.8242791102472228E-3</v>
      </c>
      <c r="I45" s="3">
        <f t="shared" ca="1" si="57"/>
        <v>8.4930904307263209E-3</v>
      </c>
      <c r="J45" s="3">
        <f t="shared" ca="1" si="57"/>
        <v>1.0353388482173338E-2</v>
      </c>
      <c r="K45" s="3">
        <f t="shared" ca="1" si="57"/>
        <v>9.4639589679728145E-3</v>
      </c>
      <c r="L45" s="3">
        <f t="shared" ca="1" si="57"/>
        <v>1.1785777443219472E-2</v>
      </c>
      <c r="M45" s="3">
        <f t="shared" ca="1" si="57"/>
        <v>1.212705110426943E-2</v>
      </c>
      <c r="N45" s="3">
        <f t="shared" ca="1" si="57"/>
        <v>1.3648911225738754E-2</v>
      </c>
      <c r="O45" s="3">
        <f t="shared" ca="1" si="57"/>
        <v>1.3296920606186202E-2</v>
      </c>
      <c r="P45" s="3">
        <f t="shared" ca="1" si="57"/>
        <v>1.7064665053622068E-2</v>
      </c>
      <c r="Q45" s="3">
        <f t="shared" ca="1" si="57"/>
        <v>1.4711674379586624E-2</v>
      </c>
      <c r="R45" s="3">
        <f t="shared" ca="1" si="57"/>
        <v>1.8622677274524786E-2</v>
      </c>
      <c r="S45" s="3">
        <f t="shared" ca="1" si="57"/>
        <v>1.8060404341883881E-2</v>
      </c>
      <c r="T45" s="3">
        <f t="shared" ca="1" si="57"/>
        <v>1.986845431940874E-2</v>
      </c>
      <c r="U45" s="3">
        <f t="shared" ca="1" si="57"/>
        <v>2.0217349733234882E-2</v>
      </c>
      <c r="V45" s="3">
        <f t="shared" ca="1" si="57"/>
        <v>2.0785450574590275E-2</v>
      </c>
      <c r="W45" s="3">
        <f t="shared" ca="1" si="57"/>
        <v>2.332721273151106E-2</v>
      </c>
      <c r="X45" s="3">
        <f t="shared" ca="1" si="57"/>
        <v>2.7879878861498203E-2</v>
      </c>
      <c r="Y45" s="3">
        <f t="shared" ca="1" si="57"/>
        <v>2.7676137494072092E-2</v>
      </c>
      <c r="Z45" s="3">
        <f t="shared" ca="1" si="57"/>
        <v>4.0077512684179507E-2</v>
      </c>
      <c r="AA45" s="3">
        <f t="shared" ca="1" si="57"/>
        <v>3.3802602404972362E-2</v>
      </c>
      <c r="AB45" s="3">
        <f t="shared" ca="1" si="57"/>
        <v>4.954541805769138E-2</v>
      </c>
      <c r="AC45" s="3">
        <f t="shared" ca="1" si="57"/>
        <v>3.9006240935845538E-2</v>
      </c>
      <c r="AD45" s="3">
        <f t="shared" ca="1" si="57"/>
        <v>5.7698649372670795E-2</v>
      </c>
      <c r="AE45" s="3">
        <f t="shared" ca="1" si="57"/>
        <v>4.4548727048766841E-2</v>
      </c>
      <c r="AF45" s="3">
        <f t="shared" ca="1" si="57"/>
        <v>6.7793451296864579E-2</v>
      </c>
      <c r="AG45" s="3">
        <f t="shared" ca="1" si="57"/>
        <v>4.9364198902286993E-2</v>
      </c>
      <c r="AH45" s="3">
        <f t="shared" ca="1" si="57"/>
        <v>9.4837043497600151E-2</v>
      </c>
      <c r="AI45" s="3">
        <f t="shared" ca="1" si="57"/>
        <v>7.9315821421110683E-2</v>
      </c>
      <c r="AJ45" s="3">
        <f t="shared" ca="1" si="57"/>
        <v>0.16255461004394525</v>
      </c>
    </row>
    <row r="46" spans="1:36" x14ac:dyDescent="0.35">
      <c r="A46" t="s">
        <v>63</v>
      </c>
      <c r="B46" t="s">
        <v>62</v>
      </c>
      <c r="C46" s="4">
        <v>2</v>
      </c>
      <c r="D46" s="3">
        <f t="shared" ref="D46:AJ46" ca="1" si="58">MIN(0.99,D27+$D$3)</f>
        <v>4.9695075818331986E-3</v>
      </c>
      <c r="E46" s="3">
        <f t="shared" ca="1" si="58"/>
        <v>5.1477100073897093E-3</v>
      </c>
      <c r="F46" s="3">
        <f t="shared" ca="1" si="58"/>
        <v>5.9872416965429092E-3</v>
      </c>
      <c r="G46" s="3">
        <f t="shared" ca="1" si="58"/>
        <v>7.7944460292626964E-3</v>
      </c>
      <c r="H46" s="3">
        <f t="shared" ca="1" si="58"/>
        <v>8.7802514024500691E-3</v>
      </c>
      <c r="I46" s="3">
        <f t="shared" ca="1" si="58"/>
        <v>9.3937857264956848E-3</v>
      </c>
      <c r="J46" s="3">
        <f t="shared" ca="1" si="58"/>
        <v>1.1305906407162503E-2</v>
      </c>
      <c r="K46" s="3">
        <f t="shared" ca="1" si="58"/>
        <v>1.0457436528860799E-2</v>
      </c>
      <c r="L46" s="3">
        <f t="shared" ca="1" si="58"/>
        <v>1.2781102689089337E-2</v>
      </c>
      <c r="M46" s="3">
        <f t="shared" ca="1" si="58"/>
        <v>1.3034081667899718E-2</v>
      </c>
      <c r="N46" s="3">
        <f t="shared" ca="1" si="58"/>
        <v>1.4648817299451597E-2</v>
      </c>
      <c r="O46" s="3">
        <f t="shared" ca="1" si="58"/>
        <v>1.4290536234283432E-2</v>
      </c>
      <c r="P46" s="3">
        <f t="shared" ca="1" si="58"/>
        <v>1.8031245674908471E-2</v>
      </c>
      <c r="Q46" s="3">
        <f t="shared" ca="1" si="58"/>
        <v>1.5697542759158623E-2</v>
      </c>
      <c r="R46" s="3">
        <f t="shared" ca="1" si="58"/>
        <v>1.9621640761603776E-2</v>
      </c>
      <c r="S46" s="3">
        <f t="shared" ca="1" si="58"/>
        <v>1.8974623961019316E-2</v>
      </c>
      <c r="T46" s="3">
        <f t="shared" ca="1" si="58"/>
        <v>2.0865897829356193E-2</v>
      </c>
      <c r="U46" s="3">
        <f t="shared" ca="1" si="58"/>
        <v>2.1132622378204801E-2</v>
      </c>
      <c r="V46" s="3">
        <f t="shared" ca="1" si="58"/>
        <v>2.1775093634206009E-2</v>
      </c>
      <c r="W46" s="3">
        <f t="shared" ca="1" si="58"/>
        <v>2.4315303737024355E-2</v>
      </c>
      <c r="X46" s="3">
        <f t="shared" ca="1" si="58"/>
        <v>2.8802483611501371E-2</v>
      </c>
      <c r="Y46" s="3">
        <f t="shared" ca="1" si="58"/>
        <v>2.8622876784429627E-2</v>
      </c>
      <c r="Z46" s="3">
        <f t="shared" ca="1" si="58"/>
        <v>4.0996041050596545E-2</v>
      </c>
      <c r="AA46" s="3">
        <f t="shared" ca="1" si="58"/>
        <v>3.4800642611107498E-2</v>
      </c>
      <c r="AB46" s="3">
        <f t="shared" ca="1" si="58"/>
        <v>5.0496902853881073E-2</v>
      </c>
      <c r="AC46" s="3">
        <f t="shared" ca="1" si="58"/>
        <v>3.9916897346559441E-2</v>
      </c>
      <c r="AD46" s="3">
        <f t="shared" ca="1" si="58"/>
        <v>5.8601783380544739E-2</v>
      </c>
      <c r="AE46" s="3">
        <f t="shared" ca="1" si="58"/>
        <v>4.5456434264770557E-2</v>
      </c>
      <c r="AF46" s="3">
        <f t="shared" ca="1" si="58"/>
        <v>6.8742438070994269E-2</v>
      </c>
      <c r="AG46" s="3">
        <f t="shared" ca="1" si="58"/>
        <v>5.0278311020651681E-2</v>
      </c>
      <c r="AH46" s="3">
        <f t="shared" ca="1" si="58"/>
        <v>9.5779419900159909E-2</v>
      </c>
      <c r="AI46" s="3">
        <f t="shared" ca="1" si="58"/>
        <v>8.0244355294694078E-2</v>
      </c>
      <c r="AJ46" s="3">
        <f t="shared" ca="1" si="58"/>
        <v>0.16352379099502634</v>
      </c>
    </row>
    <row r="47" spans="1:36" x14ac:dyDescent="0.35">
      <c r="A47" t="s">
        <v>63</v>
      </c>
      <c r="B47" t="s">
        <v>62</v>
      </c>
      <c r="C47" s="4" t="s">
        <v>65</v>
      </c>
      <c r="D47" s="3">
        <f t="shared" ref="D47:AJ47" ca="1" si="59">MIN(0.99,D28+$D$3)</f>
        <v>5.9540699713419706E-3</v>
      </c>
      <c r="E47" s="3">
        <f t="shared" ca="1" si="59"/>
        <v>6.1101369961082319E-3</v>
      </c>
      <c r="F47" s="3">
        <f t="shared" ca="1" si="59"/>
        <v>6.9487545081022249E-3</v>
      </c>
      <c r="G47" s="3">
        <f t="shared" ca="1" si="59"/>
        <v>8.776429321561802E-3</v>
      </c>
      <c r="H47" s="3">
        <f t="shared" ca="1" si="59"/>
        <v>9.7493365803378619E-3</v>
      </c>
      <c r="I47" s="3">
        <f t="shared" ca="1" si="59"/>
        <v>1.0355811040459267E-2</v>
      </c>
      <c r="J47" s="3">
        <f t="shared" ca="1" si="59"/>
        <v>1.2234537678672379E-2</v>
      </c>
      <c r="K47" s="3">
        <f t="shared" ca="1" si="59"/>
        <v>1.1444168350584788E-2</v>
      </c>
      <c r="L47" s="3">
        <f t="shared" ca="1" si="59"/>
        <v>1.3778581501296513E-2</v>
      </c>
      <c r="M47" s="3">
        <f t="shared" ca="1" si="59"/>
        <v>1.4002035166470899E-2</v>
      </c>
      <c r="N47" s="3">
        <f t="shared" ca="1" si="59"/>
        <v>1.5588906878827614E-2</v>
      </c>
      <c r="O47" s="3">
        <f t="shared" ca="1" si="59"/>
        <v>1.5289181528543468E-2</v>
      </c>
      <c r="P47" s="3">
        <f t="shared" ca="1" si="59"/>
        <v>1.8942786634161955E-2</v>
      </c>
      <c r="Q47" s="3">
        <f t="shared" ca="1" si="59"/>
        <v>1.6657136824203587E-2</v>
      </c>
      <c r="R47" s="3">
        <f t="shared" ca="1" si="59"/>
        <v>2.0591319478188472E-2</v>
      </c>
      <c r="S47" s="3">
        <f t="shared" ca="1" si="59"/>
        <v>1.9944868804001536E-2</v>
      </c>
      <c r="T47" s="3">
        <f t="shared" ca="1" si="59"/>
        <v>2.1800399583439906E-2</v>
      </c>
      <c r="U47" s="3">
        <f t="shared" ca="1" si="59"/>
        <v>2.2085726551751773E-2</v>
      </c>
      <c r="V47" s="3">
        <f t="shared" ca="1" si="59"/>
        <v>2.2687093194803706E-2</v>
      </c>
      <c r="W47" s="3">
        <f t="shared" ca="1" si="59"/>
        <v>2.5247994100138966E-2</v>
      </c>
      <c r="X47" s="3">
        <f t="shared" ca="1" si="59"/>
        <v>2.97166163276604E-2</v>
      </c>
      <c r="Y47" s="3">
        <f t="shared" ca="1" si="59"/>
        <v>2.9587227003849189E-2</v>
      </c>
      <c r="Z47" s="3">
        <f t="shared" ca="1" si="59"/>
        <v>4.1920027957217117E-2</v>
      </c>
      <c r="AA47" s="3">
        <f t="shared" ca="1" si="59"/>
        <v>3.5736104808399512E-2</v>
      </c>
      <c r="AB47" s="3">
        <f t="shared" ca="1" si="59"/>
        <v>5.1490494768695716E-2</v>
      </c>
      <c r="AC47" s="3">
        <f t="shared" ca="1" si="59"/>
        <v>4.087205994394949E-2</v>
      </c>
      <c r="AD47" s="3">
        <f t="shared" ca="1" si="59"/>
        <v>5.959857010574296E-2</v>
      </c>
      <c r="AE47" s="3">
        <f t="shared" ca="1" si="59"/>
        <v>4.6365763454489305E-2</v>
      </c>
      <c r="AF47" s="3">
        <f t="shared" ca="1" si="59"/>
        <v>6.9663120739429776E-2</v>
      </c>
      <c r="AG47" s="3">
        <f t="shared" ca="1" si="59"/>
        <v>5.1210434025078966E-2</v>
      </c>
      <c r="AH47" s="3">
        <f t="shared" ca="1" si="59"/>
        <v>9.6755326672847752E-2</v>
      </c>
      <c r="AI47" s="3">
        <f t="shared" ca="1" si="59"/>
        <v>8.1192890267339876E-2</v>
      </c>
      <c r="AJ47" s="3">
        <f t="shared" ca="1" si="59"/>
        <v>0.16443915012959737</v>
      </c>
    </row>
    <row r="48" spans="1:36" x14ac:dyDescent="0.35">
      <c r="A48" t="s">
        <v>63</v>
      </c>
      <c r="B48" t="s">
        <v>62</v>
      </c>
      <c r="C48" s="4" t="s">
        <v>66</v>
      </c>
      <c r="D48" s="3">
        <f t="shared" ref="D48:AJ48" ca="1" si="60">MIN(0.99,D29+$D$3)</f>
        <v>6.9408998628065028E-3</v>
      </c>
      <c r="E48" s="3">
        <f t="shared" ca="1" si="60"/>
        <v>7.0608295355028177E-3</v>
      </c>
      <c r="F48" s="3">
        <f t="shared" ca="1" si="60"/>
        <v>7.8796732145457338E-3</v>
      </c>
      <c r="G48" s="3">
        <f t="shared" ca="1" si="60"/>
        <v>9.7617967837207928E-3</v>
      </c>
      <c r="H48" s="3">
        <f t="shared" ca="1" si="60"/>
        <v>1.0726261079328898E-2</v>
      </c>
      <c r="I48" s="3">
        <f t="shared" ca="1" si="60"/>
        <v>1.135132487109421E-2</v>
      </c>
      <c r="J48" s="3">
        <f t="shared" ca="1" si="60"/>
        <v>1.3172477837916731E-2</v>
      </c>
      <c r="K48" s="3">
        <f t="shared" ca="1" si="60"/>
        <v>1.2402495628977106E-2</v>
      </c>
      <c r="L48" s="3">
        <f t="shared" ca="1" si="60"/>
        <v>1.4744964077456488E-2</v>
      </c>
      <c r="M48" s="3">
        <f t="shared" ca="1" si="60"/>
        <v>1.5001428202339011E-2</v>
      </c>
      <c r="N48" s="3">
        <f t="shared" ca="1" si="60"/>
        <v>1.6518915057852638E-2</v>
      </c>
      <c r="O48" s="3">
        <f t="shared" ca="1" si="60"/>
        <v>1.6191680426251152E-2</v>
      </c>
      <c r="P48" s="3">
        <f t="shared" ca="1" si="60"/>
        <v>1.9857311795233847E-2</v>
      </c>
      <c r="Q48" s="3">
        <f t="shared" ca="1" si="60"/>
        <v>1.757649902446181E-2</v>
      </c>
      <c r="R48" s="3">
        <f t="shared" ca="1" si="60"/>
        <v>2.1578529853583325E-2</v>
      </c>
      <c r="S48" s="3">
        <f t="shared" ca="1" si="60"/>
        <v>2.089460380058971E-2</v>
      </c>
      <c r="T48" s="3">
        <f t="shared" ca="1" si="60"/>
        <v>2.2712655790225005E-2</v>
      </c>
      <c r="U48" s="3">
        <f t="shared" ca="1" si="60"/>
        <v>2.305199041431762E-2</v>
      </c>
      <c r="V48" s="3">
        <f t="shared" ca="1" si="60"/>
        <v>2.3666602015827345E-2</v>
      </c>
      <c r="W48" s="3">
        <f t="shared" ca="1" si="60"/>
        <v>2.6151863157419842E-2</v>
      </c>
      <c r="X48" s="3">
        <f t="shared" ca="1" si="60"/>
        <v>3.0703053406464551E-2</v>
      </c>
      <c r="Y48" s="3">
        <f t="shared" ca="1" si="60"/>
        <v>3.0539635815050918E-2</v>
      </c>
      <c r="Z48" s="3">
        <f t="shared" ca="1" si="60"/>
        <v>4.2834900619736889E-2</v>
      </c>
      <c r="AA48" s="3">
        <f t="shared" ca="1" si="60"/>
        <v>3.6640382643401193E-2</v>
      </c>
      <c r="AB48" s="3">
        <f t="shared" ca="1" si="60"/>
        <v>5.2391309932094857E-2</v>
      </c>
      <c r="AC48" s="3">
        <f t="shared" ca="1" si="60"/>
        <v>4.182018477063227E-2</v>
      </c>
      <c r="AD48" s="3">
        <f t="shared" ca="1" si="60"/>
        <v>6.0576960101887768E-2</v>
      </c>
      <c r="AE48" s="3">
        <f t="shared" ca="1" si="60"/>
        <v>4.7353783483838841E-2</v>
      </c>
      <c r="AF48" s="3">
        <f t="shared" ca="1" si="60"/>
        <v>7.0643988169807798E-2</v>
      </c>
      <c r="AG48" s="3">
        <f t="shared" ca="1" si="60"/>
        <v>5.2158667078643098E-2</v>
      </c>
      <c r="AH48" s="3">
        <f t="shared" ca="1" si="60"/>
        <v>9.7709874180042955E-2</v>
      </c>
      <c r="AI48" s="3">
        <f t="shared" ca="1" si="60"/>
        <v>8.2104090294839005E-2</v>
      </c>
      <c r="AJ48" s="3">
        <f t="shared" ca="1" si="60"/>
        <v>0.1654159432940831</v>
      </c>
    </row>
    <row r="49" spans="1:36" x14ac:dyDescent="0.35">
      <c r="A49" t="s">
        <v>63</v>
      </c>
      <c r="B49" t="s">
        <v>62</v>
      </c>
      <c r="C49" s="4">
        <v>3</v>
      </c>
      <c r="D49" s="3">
        <f t="shared" ref="D49:AJ49" ca="1" si="61">MIN(0.99,D30+$D$3)</f>
        <v>7.8877707775052777E-3</v>
      </c>
      <c r="E49" s="3">
        <f t="shared" ca="1" si="61"/>
        <v>8.0442182980871892E-3</v>
      </c>
      <c r="F49" s="3">
        <f t="shared" ca="1" si="61"/>
        <v>8.8347225185215136E-3</v>
      </c>
      <c r="G49" s="3">
        <f t="shared" ca="1" si="61"/>
        <v>1.0681982053066804E-2</v>
      </c>
      <c r="H49" s="3">
        <f t="shared" ca="1" si="61"/>
        <v>1.1684966909623132E-2</v>
      </c>
      <c r="I49" s="3">
        <f t="shared" ca="1" si="61"/>
        <v>1.2310749757280096E-2</v>
      </c>
      <c r="J49" s="3">
        <f t="shared" ca="1" si="61"/>
        <v>1.4157788933287913E-2</v>
      </c>
      <c r="K49" s="3">
        <f t="shared" ca="1" si="61"/>
        <v>1.3382771551394491E-2</v>
      </c>
      <c r="L49" s="3">
        <f t="shared" ca="1" si="61"/>
        <v>1.5669842556968377E-2</v>
      </c>
      <c r="M49" s="3">
        <f t="shared" ca="1" si="61"/>
        <v>1.5979525851252372E-2</v>
      </c>
      <c r="N49" s="3">
        <f t="shared" ca="1" si="61"/>
        <v>1.7440157318579209E-2</v>
      </c>
      <c r="O49" s="3">
        <f t="shared" ca="1" si="61"/>
        <v>1.7100323047467121E-2</v>
      </c>
      <c r="P49" s="3">
        <f t="shared" ca="1" si="61"/>
        <v>2.0781524616421871E-2</v>
      </c>
      <c r="Q49" s="3">
        <f t="shared" ca="1" si="61"/>
        <v>1.8510646585385114E-2</v>
      </c>
      <c r="R49" s="3">
        <f t="shared" ca="1" si="61"/>
        <v>2.2517304153261888E-2</v>
      </c>
      <c r="S49" s="3">
        <f t="shared" ca="1" si="61"/>
        <v>2.186559392979932E-2</v>
      </c>
      <c r="T49" s="3">
        <f t="shared" ca="1" si="61"/>
        <v>2.3659002695709502E-2</v>
      </c>
      <c r="U49" s="3">
        <f t="shared" ca="1" si="61"/>
        <v>2.3979118187346011E-2</v>
      </c>
      <c r="V49" s="3">
        <f t="shared" ca="1" si="61"/>
        <v>2.4610341685468374E-2</v>
      </c>
      <c r="W49" s="3">
        <f t="shared" ca="1" si="61"/>
        <v>2.7090880708737022E-2</v>
      </c>
      <c r="X49" s="3">
        <f t="shared" ca="1" si="61"/>
        <v>3.1660460334774203E-2</v>
      </c>
      <c r="Y49" s="3">
        <f t="shared" ca="1" si="61"/>
        <v>3.1499673950878736E-2</v>
      </c>
      <c r="Z49" s="3">
        <f t="shared" ca="1" si="61"/>
        <v>4.3831002965083604E-2</v>
      </c>
      <c r="AA49" s="3">
        <f t="shared" ca="1" si="61"/>
        <v>3.7587016771370961E-2</v>
      </c>
      <c r="AB49" s="3">
        <f t="shared" ca="1" si="61"/>
        <v>5.3381057328910721E-2</v>
      </c>
      <c r="AC49" s="3">
        <f t="shared" ca="1" si="61"/>
        <v>4.2778784584749444E-2</v>
      </c>
      <c r="AD49" s="3">
        <f t="shared" ca="1" si="61"/>
        <v>6.1533992833571416E-2</v>
      </c>
      <c r="AE49" s="3">
        <f t="shared" ca="1" si="61"/>
        <v>4.8330187820649802E-2</v>
      </c>
      <c r="AF49" s="3">
        <f t="shared" ca="1" si="61"/>
        <v>7.1580617085565512E-2</v>
      </c>
      <c r="AG49" s="3">
        <f t="shared" ca="1" si="61"/>
        <v>5.3091701692132981E-2</v>
      </c>
      <c r="AH49" s="3">
        <f t="shared" ca="1" si="61"/>
        <v>9.8685785645031859E-2</v>
      </c>
      <c r="AI49" s="3">
        <f t="shared" ca="1" si="61"/>
        <v>8.3019960654027891E-2</v>
      </c>
      <c r="AJ49" s="3">
        <f t="shared" ca="1" si="61"/>
        <v>0.16634749304180785</v>
      </c>
    </row>
    <row r="50" spans="1:36" x14ac:dyDescent="0.35">
      <c r="A50" t="s">
        <v>63</v>
      </c>
      <c r="B50" t="s">
        <v>62</v>
      </c>
      <c r="C50" s="4" t="s">
        <v>67</v>
      </c>
      <c r="D50" s="3">
        <f t="shared" ref="D50:AJ50" ca="1" si="62">MIN(0.99,D31+$D$3)</f>
        <v>8.7933202467820274E-3</v>
      </c>
      <c r="E50" s="3">
        <f t="shared" ca="1" si="62"/>
        <v>8.9927178459998647E-3</v>
      </c>
      <c r="F50" s="3">
        <f t="shared" ca="1" si="62"/>
        <v>9.7802844383812065E-3</v>
      </c>
      <c r="G50" s="3">
        <f t="shared" ca="1" si="62"/>
        <v>1.1680918048633387E-2</v>
      </c>
      <c r="H50" s="3">
        <f t="shared" ca="1" si="62"/>
        <v>1.266793392407569E-2</v>
      </c>
      <c r="I50" s="3">
        <f t="shared" ca="1" si="62"/>
        <v>1.3277335313225672E-2</v>
      </c>
      <c r="J50" s="3">
        <f t="shared" ca="1" si="62"/>
        <v>1.5155216669435458E-2</v>
      </c>
      <c r="K50" s="3">
        <f t="shared" ca="1" si="62"/>
        <v>1.4364251068100891E-2</v>
      </c>
      <c r="L50" s="3">
        <f t="shared" ca="1" si="62"/>
        <v>1.6653668166451953E-2</v>
      </c>
      <c r="M50" s="3">
        <f t="shared" ca="1" si="62"/>
        <v>1.6890467353905154E-2</v>
      </c>
      <c r="N50" s="3">
        <f t="shared" ca="1" si="62"/>
        <v>1.8439097114423576E-2</v>
      </c>
      <c r="O50" s="3">
        <f t="shared" ca="1" si="62"/>
        <v>1.8067782470166261E-2</v>
      </c>
      <c r="P50" s="3">
        <f t="shared" ca="1" si="62"/>
        <v>2.1734426177822033E-2</v>
      </c>
      <c r="Q50" s="3">
        <f t="shared" ca="1" si="62"/>
        <v>1.9500932672616517E-2</v>
      </c>
      <c r="R50" s="3">
        <f t="shared" ca="1" si="62"/>
        <v>2.3453702223788665E-2</v>
      </c>
      <c r="S50" s="3">
        <f t="shared" ca="1" si="62"/>
        <v>2.2797006871431262E-2</v>
      </c>
      <c r="T50" s="3">
        <f t="shared" ca="1" si="62"/>
        <v>2.4578868964832953E-2</v>
      </c>
      <c r="U50" s="3">
        <f t="shared" ca="1" si="62"/>
        <v>2.4954011895133747E-2</v>
      </c>
      <c r="V50" s="3">
        <f t="shared" ca="1" si="62"/>
        <v>2.551882295954374E-2</v>
      </c>
      <c r="W50" s="3">
        <f t="shared" ca="1" si="62"/>
        <v>2.807979012574709E-2</v>
      </c>
      <c r="X50" s="3">
        <f t="shared" ca="1" si="62"/>
        <v>3.2600135549229213E-2</v>
      </c>
      <c r="Y50" s="3">
        <f t="shared" ca="1" si="62"/>
        <v>3.2446631441001121E-2</v>
      </c>
      <c r="Z50" s="3">
        <f t="shared" ca="1" si="62"/>
        <v>4.4780444080212853E-2</v>
      </c>
      <c r="AA50" s="3">
        <f t="shared" ca="1" si="62"/>
        <v>3.8497018556339496E-2</v>
      </c>
      <c r="AB50" s="3">
        <f t="shared" ca="1" si="62"/>
        <v>5.4361753001937574E-2</v>
      </c>
      <c r="AC50" s="3">
        <f t="shared" ca="1" si="62"/>
        <v>4.3718794988542455E-2</v>
      </c>
      <c r="AD50" s="3">
        <f t="shared" ca="1" si="62"/>
        <v>6.2524271696736203E-2</v>
      </c>
      <c r="AE50" s="3">
        <f t="shared" ca="1" si="62"/>
        <v>4.9283239914990944E-2</v>
      </c>
      <c r="AF50" s="3">
        <f t="shared" ca="1" si="62"/>
        <v>7.2539267146398509E-2</v>
      </c>
      <c r="AG50" s="3">
        <f t="shared" ca="1" si="62"/>
        <v>5.4070346964075887E-2</v>
      </c>
      <c r="AH50" s="3">
        <f t="shared" ca="1" si="62"/>
        <v>9.9646775038974317E-2</v>
      </c>
      <c r="AI50" s="3">
        <f t="shared" ca="1" si="62"/>
        <v>8.3930861367088133E-2</v>
      </c>
      <c r="AJ50" s="3">
        <f t="shared" ca="1" si="62"/>
        <v>0.16726608336829316</v>
      </c>
    </row>
    <row r="51" spans="1:36" x14ac:dyDescent="0.35">
      <c r="A51" t="s">
        <v>63</v>
      </c>
      <c r="B51" t="s">
        <v>62</v>
      </c>
      <c r="C51" s="4" t="s">
        <v>68</v>
      </c>
      <c r="D51" s="3">
        <f t="shared" ref="D51:AJ51" ca="1" si="63">MIN(0.99,D32+$D$3)</f>
        <v>9.7084317379732728E-3</v>
      </c>
      <c r="E51" s="3">
        <f t="shared" ca="1" si="63"/>
        <v>9.9141588581370572E-3</v>
      </c>
      <c r="F51" s="3">
        <f t="shared" ca="1" si="63"/>
        <v>1.0750633549250058E-2</v>
      </c>
      <c r="G51" s="3">
        <f t="shared" ca="1" si="63"/>
        <v>1.2613716964452185E-2</v>
      </c>
      <c r="H51" s="3">
        <f t="shared" ca="1" si="63"/>
        <v>1.3626299653767403E-2</v>
      </c>
      <c r="I51" s="3">
        <f t="shared" ca="1" si="63"/>
        <v>1.4192922609758102E-2</v>
      </c>
      <c r="J51" s="3">
        <f t="shared" ca="1" si="63"/>
        <v>1.60952720178235E-2</v>
      </c>
      <c r="K51" s="3">
        <f t="shared" ca="1" si="63"/>
        <v>1.5289609381358087E-2</v>
      </c>
      <c r="L51" s="3">
        <f t="shared" ca="1" si="63"/>
        <v>1.7626356707338593E-2</v>
      </c>
      <c r="M51" s="3">
        <f t="shared" ca="1" si="63"/>
        <v>1.7809470648564984E-2</v>
      </c>
      <c r="N51" s="3">
        <f t="shared" ca="1" si="63"/>
        <v>1.9391742812403637E-2</v>
      </c>
      <c r="O51" s="3">
        <f t="shared" ca="1" si="63"/>
        <v>1.8987951813989403E-2</v>
      </c>
      <c r="P51" s="3">
        <f t="shared" ca="1" si="63"/>
        <v>2.2638989119504106E-2</v>
      </c>
      <c r="Q51" s="3">
        <f t="shared" ca="1" si="63"/>
        <v>2.0423864833321301E-2</v>
      </c>
      <c r="R51" s="3">
        <f t="shared" ca="1" si="63"/>
        <v>2.4422912796594445E-2</v>
      </c>
      <c r="S51" s="3">
        <f t="shared" ca="1" si="63"/>
        <v>2.3786803166332301E-2</v>
      </c>
      <c r="T51" s="3">
        <f t="shared" ca="1" si="63"/>
        <v>2.5524092272848832E-2</v>
      </c>
      <c r="U51" s="3">
        <f t="shared" ca="1" si="63"/>
        <v>2.5905242692745946E-2</v>
      </c>
      <c r="V51" s="3">
        <f t="shared" ca="1" si="63"/>
        <v>2.6518107876395004E-2</v>
      </c>
      <c r="W51" s="3">
        <f t="shared" ca="1" si="63"/>
        <v>2.8988775697220602E-2</v>
      </c>
      <c r="X51" s="3">
        <f t="shared" ca="1" si="63"/>
        <v>3.3592495878250958E-2</v>
      </c>
      <c r="Y51" s="3">
        <f t="shared" ca="1" si="63"/>
        <v>3.343244453601546E-2</v>
      </c>
      <c r="Z51" s="3">
        <f t="shared" ca="1" si="63"/>
        <v>4.5711747457911657E-2</v>
      </c>
      <c r="AA51" s="3">
        <f t="shared" ca="1" si="63"/>
        <v>3.9464118434743636E-2</v>
      </c>
      <c r="AB51" s="3">
        <f t="shared" ca="1" si="63"/>
        <v>5.5345955475484002E-2</v>
      </c>
      <c r="AC51" s="3">
        <f t="shared" ca="1" si="63"/>
        <v>4.4694397160940889E-2</v>
      </c>
      <c r="AD51" s="3">
        <f t="shared" ca="1" si="63"/>
        <v>6.3518290758750762E-2</v>
      </c>
      <c r="AE51" s="3">
        <f t="shared" ca="1" si="63"/>
        <v>5.0256048595480191E-2</v>
      </c>
      <c r="AF51" s="3">
        <f t="shared" ca="1" si="63"/>
        <v>7.3501390339330147E-2</v>
      </c>
      <c r="AG51" s="3">
        <f t="shared" ca="1" si="63"/>
        <v>5.4972768810459725E-2</v>
      </c>
      <c r="AH51" s="3">
        <f t="shared" ca="1" si="63"/>
        <v>0.10061022933992998</v>
      </c>
      <c r="AI51" s="3">
        <f t="shared" ca="1" si="63"/>
        <v>8.4886936872006297E-2</v>
      </c>
      <c r="AJ51" s="3">
        <f t="shared" ca="1" si="63"/>
        <v>0.16817444105908202</v>
      </c>
    </row>
    <row r="52" spans="1:36" x14ac:dyDescent="0.35">
      <c r="A52" t="s">
        <v>63</v>
      </c>
      <c r="B52" t="s">
        <v>62</v>
      </c>
      <c r="C52" s="4">
        <v>4</v>
      </c>
      <c r="D52" s="3">
        <f t="shared" ref="D52:AJ52" ca="1" si="64">MIN(0.99,D33+$D$3)</f>
        <v>1.0667710018277234E-2</v>
      </c>
      <c r="E52" s="3">
        <f t="shared" ca="1" si="64"/>
        <v>1.0913534346960126E-2</v>
      </c>
      <c r="F52" s="3">
        <f t="shared" ca="1" si="64"/>
        <v>1.1687261470318473E-2</v>
      </c>
      <c r="G52" s="3">
        <f t="shared" ca="1" si="64"/>
        <v>1.3590837431547962E-2</v>
      </c>
      <c r="H52" s="3">
        <f t="shared" ca="1" si="64"/>
        <v>1.4614074446901323E-2</v>
      </c>
      <c r="I52" s="3">
        <f t="shared" ca="1" si="64"/>
        <v>1.5173988161641911E-2</v>
      </c>
      <c r="J52" s="3">
        <f t="shared" ca="1" si="64"/>
        <v>1.7004839022599937E-2</v>
      </c>
      <c r="K52" s="3">
        <f t="shared" ca="1" si="64"/>
        <v>1.6285906576457888E-2</v>
      </c>
      <c r="L52" s="3">
        <f t="shared" ca="1" si="64"/>
        <v>1.8541807990204457E-2</v>
      </c>
      <c r="M52" s="3">
        <f t="shared" ca="1" si="64"/>
        <v>1.8803565576580319E-2</v>
      </c>
      <c r="N52" s="3">
        <f t="shared" ca="1" si="64"/>
        <v>2.0344309965267888E-2</v>
      </c>
      <c r="O52" s="3">
        <f t="shared" ca="1" si="64"/>
        <v>1.9928168871605811E-2</v>
      </c>
      <c r="P52" s="3">
        <f t="shared" ca="1" si="64"/>
        <v>2.3587517428433995E-2</v>
      </c>
      <c r="Q52" s="3">
        <f t="shared" ca="1" si="64"/>
        <v>2.1384172015897054E-2</v>
      </c>
      <c r="R52" s="3">
        <f t="shared" ca="1" si="64"/>
        <v>2.5389367874658311E-2</v>
      </c>
      <c r="S52" s="3">
        <f t="shared" ca="1" si="64"/>
        <v>2.4751578555934167E-2</v>
      </c>
      <c r="T52" s="3">
        <f t="shared" ca="1" si="64"/>
        <v>2.6464714261268094E-2</v>
      </c>
      <c r="U52" s="3">
        <f t="shared" ca="1" si="64"/>
        <v>2.6808127986813226E-2</v>
      </c>
      <c r="V52" s="3">
        <f t="shared" ca="1" si="64"/>
        <v>2.751603360147804E-2</v>
      </c>
      <c r="W52" s="3">
        <f t="shared" ca="1" si="64"/>
        <v>2.9922501814760184E-2</v>
      </c>
      <c r="X52" s="3">
        <f t="shared" ca="1" si="64"/>
        <v>3.4543995423398886E-2</v>
      </c>
      <c r="Y52" s="3">
        <f t="shared" ca="1" si="64"/>
        <v>3.4392047842902049E-2</v>
      </c>
      <c r="Z52" s="3">
        <f t="shared" ca="1" si="64"/>
        <v>4.6705449436738794E-2</v>
      </c>
      <c r="AA52" s="3">
        <f t="shared" ca="1" si="64"/>
        <v>4.0427592755868602E-2</v>
      </c>
      <c r="AB52" s="3">
        <f t="shared" ca="1" si="64"/>
        <v>5.6310897289710768E-2</v>
      </c>
      <c r="AC52" s="3">
        <f t="shared" ca="1" si="64"/>
        <v>4.5689802367854998E-2</v>
      </c>
      <c r="AD52" s="3">
        <f t="shared" ca="1" si="64"/>
        <v>6.4478755302205579E-2</v>
      </c>
      <c r="AE52" s="3">
        <f t="shared" ca="1" si="64"/>
        <v>5.1158401286225806E-2</v>
      </c>
      <c r="AF52" s="3">
        <f t="shared" ca="1" si="64"/>
        <v>7.4451511318269006E-2</v>
      </c>
      <c r="AG52" s="3">
        <f t="shared" ca="1" si="64"/>
        <v>5.5933855808909701E-2</v>
      </c>
      <c r="AH52" s="3">
        <f t="shared" ca="1" si="64"/>
        <v>0.10155755726151425</v>
      </c>
      <c r="AI52" s="3">
        <f t="shared" ca="1" si="64"/>
        <v>8.588672293547446E-2</v>
      </c>
      <c r="AJ52" s="3">
        <f t="shared" ca="1" si="64"/>
        <v>0.16907521773095641</v>
      </c>
    </row>
    <row r="53" spans="1:36" x14ac:dyDescent="0.35">
      <c r="A53" t="s">
        <v>63</v>
      </c>
      <c r="B53" t="s">
        <v>62</v>
      </c>
      <c r="C53" s="4" t="s">
        <v>69</v>
      </c>
      <c r="D53" s="3">
        <f t="shared" ref="D53:AJ53" ca="1" si="65">MIN(0.99,D34+$D$3)</f>
        <v>1.1584194710762361E-2</v>
      </c>
      <c r="E53" s="3">
        <f t="shared" ca="1" si="65"/>
        <v>1.1849201397244449E-2</v>
      </c>
      <c r="F53" s="3">
        <f t="shared" ca="1" si="65"/>
        <v>1.2626829121369608E-2</v>
      </c>
      <c r="G53" s="3">
        <f t="shared" ca="1" si="65"/>
        <v>1.4558847639654832E-2</v>
      </c>
      <c r="H53" s="3">
        <f t="shared" ca="1" si="65"/>
        <v>1.5581648252572307E-2</v>
      </c>
      <c r="I53" s="3">
        <f t="shared" ca="1" si="65"/>
        <v>1.6121003460088098E-2</v>
      </c>
      <c r="J53" s="3">
        <f t="shared" ca="1" si="65"/>
        <v>1.7968389396059169E-2</v>
      </c>
      <c r="K53" s="3">
        <f t="shared" ca="1" si="65"/>
        <v>1.7282601822707994E-2</v>
      </c>
      <c r="L53" s="3">
        <f t="shared" ca="1" si="65"/>
        <v>1.9528125036651058E-2</v>
      </c>
      <c r="M53" s="3">
        <f t="shared" ca="1" si="65"/>
        <v>1.9752972928767112E-2</v>
      </c>
      <c r="N53" s="3">
        <f t="shared" ca="1" si="65"/>
        <v>2.127469800710307E-2</v>
      </c>
      <c r="O53" s="3">
        <f t="shared" ca="1" si="65"/>
        <v>2.0867015017448382E-2</v>
      </c>
      <c r="P53" s="3">
        <f t="shared" ca="1" si="65"/>
        <v>2.4537198093096659E-2</v>
      </c>
      <c r="Q53" s="3">
        <f t="shared" ca="1" si="65"/>
        <v>2.2334874162220745E-2</v>
      </c>
      <c r="R53" s="3">
        <f t="shared" ca="1" si="65"/>
        <v>2.6372598653691511E-2</v>
      </c>
      <c r="S53" s="3">
        <f t="shared" ca="1" si="65"/>
        <v>2.5706846782769802E-2</v>
      </c>
      <c r="T53" s="3">
        <f t="shared" ca="1" si="65"/>
        <v>2.7419041456490458E-2</v>
      </c>
      <c r="U53" s="3">
        <f t="shared" ca="1" si="65"/>
        <v>2.7734398693723097E-2</v>
      </c>
      <c r="V53" s="3">
        <f t="shared" ca="1" si="65"/>
        <v>2.8512421748922011E-2</v>
      </c>
      <c r="W53" s="3">
        <f t="shared" ca="1" si="65"/>
        <v>3.0886282897960082E-2</v>
      </c>
      <c r="X53" s="3">
        <f t="shared" ca="1" si="65"/>
        <v>3.5485402574463802E-2</v>
      </c>
      <c r="Y53" s="3">
        <f t="shared" ca="1" si="65"/>
        <v>3.5319198919238015E-2</v>
      </c>
      <c r="Z53" s="3">
        <f t="shared" ca="1" si="65"/>
        <v>4.7679182807404456E-2</v>
      </c>
      <c r="AA53" s="3">
        <f t="shared" ca="1" si="65"/>
        <v>4.1356001933157707E-2</v>
      </c>
      <c r="AB53" s="3">
        <f t="shared" ca="1" si="65"/>
        <v>5.7301583185981858E-2</v>
      </c>
      <c r="AC53" s="3">
        <f t="shared" ca="1" si="65"/>
        <v>4.6635272908592679E-2</v>
      </c>
      <c r="AD53" s="3">
        <f t="shared" ca="1" si="65"/>
        <v>6.5445138765231448E-2</v>
      </c>
      <c r="AE53" s="3">
        <f t="shared" ca="1" si="65"/>
        <v>5.2118769335408391E-2</v>
      </c>
      <c r="AF53" s="3">
        <f t="shared" ca="1" si="65"/>
        <v>7.5448129820980786E-2</v>
      </c>
      <c r="AG53" s="3">
        <f t="shared" ca="1" si="65"/>
        <v>5.6902818959252144E-2</v>
      </c>
      <c r="AH53" s="3">
        <f t="shared" ca="1" si="65"/>
        <v>0.10245765390513774</v>
      </c>
      <c r="AI53" s="3">
        <f t="shared" ca="1" si="65"/>
        <v>8.6868729882693355E-2</v>
      </c>
      <c r="AJ53" s="3">
        <f t="shared" ca="1" si="65"/>
        <v>0.16997915607839867</v>
      </c>
    </row>
    <row r="54" spans="1:36" x14ac:dyDescent="0.35">
      <c r="A54" t="s">
        <v>63</v>
      </c>
      <c r="B54" t="s">
        <v>62</v>
      </c>
      <c r="C54" s="4" t="s">
        <v>70</v>
      </c>
      <c r="D54" s="3">
        <f t="shared" ref="D54:AJ54" ca="1" si="66">MIN(0.99,D35+$D$3)</f>
        <v>1.2523112061350681E-2</v>
      </c>
      <c r="E54" s="3">
        <f t="shared" ca="1" si="66"/>
        <v>1.2816882642038965E-2</v>
      </c>
      <c r="F54" s="3">
        <f t="shared" ca="1" si="66"/>
        <v>1.3599630135323729E-2</v>
      </c>
      <c r="G54" s="3">
        <f t="shared" ca="1" si="66"/>
        <v>1.5553263184614946E-2</v>
      </c>
      <c r="H54" s="3">
        <f t="shared" ca="1" si="66"/>
        <v>1.6482467910668465E-2</v>
      </c>
      <c r="I54" s="3">
        <f t="shared" ca="1" si="66"/>
        <v>1.7038911721264777E-2</v>
      </c>
      <c r="J54" s="3">
        <f t="shared" ca="1" si="66"/>
        <v>1.8899360507581685E-2</v>
      </c>
      <c r="K54" s="3">
        <f t="shared" ca="1" si="66"/>
        <v>1.82085390895333E-2</v>
      </c>
      <c r="L54" s="3">
        <f t="shared" ca="1" si="66"/>
        <v>2.0483431198743272E-2</v>
      </c>
      <c r="M54" s="3">
        <f t="shared" ca="1" si="66"/>
        <v>2.0738074974102322E-2</v>
      </c>
      <c r="N54" s="3">
        <f t="shared" ca="1" si="66"/>
        <v>2.2263701713317832E-2</v>
      </c>
      <c r="O54" s="3">
        <f t="shared" ca="1" si="66"/>
        <v>2.177542595007579E-2</v>
      </c>
      <c r="P54" s="3">
        <f t="shared" ca="1" si="66"/>
        <v>2.5491083639963396E-2</v>
      </c>
      <c r="Q54" s="3">
        <f t="shared" ca="1" si="66"/>
        <v>2.3319204983845938E-2</v>
      </c>
      <c r="R54" s="3">
        <f t="shared" ca="1" si="66"/>
        <v>2.7307908545845253E-2</v>
      </c>
      <c r="S54" s="3">
        <f t="shared" ca="1" si="66"/>
        <v>2.6644330597377863E-2</v>
      </c>
      <c r="T54" s="3">
        <f t="shared" ca="1" si="66"/>
        <v>2.8413589174759842E-2</v>
      </c>
      <c r="U54" s="3">
        <f t="shared" ca="1" si="66"/>
        <v>2.8724282230919673E-2</v>
      </c>
      <c r="V54" s="3">
        <f t="shared" ca="1" si="66"/>
        <v>2.9495899234573533E-2</v>
      </c>
      <c r="W54" s="3">
        <f t="shared" ca="1" si="66"/>
        <v>3.1824362858411233E-2</v>
      </c>
      <c r="X54" s="3">
        <f t="shared" ca="1" si="66"/>
        <v>3.6394770239329605E-2</v>
      </c>
      <c r="Y54" s="3">
        <f t="shared" ca="1" si="66"/>
        <v>3.6232931345332134E-2</v>
      </c>
      <c r="Z54" s="3">
        <f t="shared" ca="1" si="66"/>
        <v>4.8645068465414935E-2</v>
      </c>
      <c r="AA54" s="3">
        <f t="shared" ca="1" si="66"/>
        <v>4.233707673044506E-2</v>
      </c>
      <c r="AB54" s="3">
        <f t="shared" ca="1" si="66"/>
        <v>5.8258669423476163E-2</v>
      </c>
      <c r="AC54" s="3">
        <f t="shared" ca="1" si="66"/>
        <v>4.7580582467148143E-2</v>
      </c>
      <c r="AD54" s="3">
        <f t="shared" ca="1" si="66"/>
        <v>6.6352392710119945E-2</v>
      </c>
      <c r="AE54" s="3">
        <f t="shared" ca="1" si="66"/>
        <v>5.3024271440943647E-2</v>
      </c>
      <c r="AF54" s="3">
        <f t="shared" ca="1" si="66"/>
        <v>7.6391289563658135E-2</v>
      </c>
      <c r="AG54" s="3">
        <f t="shared" ca="1" si="66"/>
        <v>5.7815575790499167E-2</v>
      </c>
      <c r="AH54" s="3">
        <f t="shared" ca="1" si="66"/>
        <v>0.10338236159914148</v>
      </c>
      <c r="AI54" s="3">
        <f t="shared" ca="1" si="66"/>
        <v>8.7814487978789074E-2</v>
      </c>
      <c r="AJ54" s="3">
        <f t="shared" ca="1" si="66"/>
        <v>0.17091369937451087</v>
      </c>
    </row>
    <row r="55" spans="1:36" x14ac:dyDescent="0.35">
      <c r="A55" t="s">
        <v>63</v>
      </c>
      <c r="B55" t="s">
        <v>62</v>
      </c>
      <c r="C55" s="4">
        <v>5</v>
      </c>
      <c r="D55" s="3">
        <f t="shared" ref="D55:AJ55" ca="1" si="67">MIN(0.99,D36+$D$3)</f>
        <v>1.3492190711387266E-2</v>
      </c>
      <c r="E55" s="3">
        <f t="shared" ca="1" si="67"/>
        <v>1.3757829781691502E-2</v>
      </c>
      <c r="F55" s="3">
        <f t="shared" ca="1" si="67"/>
        <v>1.4535935912396443E-2</v>
      </c>
      <c r="G55" s="3">
        <f t="shared" ca="1" si="67"/>
        <v>1.6548794499744113E-2</v>
      </c>
      <c r="H55" s="3">
        <f t="shared" ca="1" si="67"/>
        <v>1.7452822905508602E-2</v>
      </c>
      <c r="I55" s="3">
        <f t="shared" ca="1" si="67"/>
        <v>1.7975220516922095E-2</v>
      </c>
      <c r="J55" s="3">
        <f t="shared" ca="1" si="67"/>
        <v>1.9827210669389389E-2</v>
      </c>
      <c r="K55" s="3">
        <f t="shared" ca="1" si="67"/>
        <v>1.9196292521258932E-2</v>
      </c>
      <c r="L55" s="3">
        <f t="shared" ca="1" si="67"/>
        <v>2.1386328314593452E-2</v>
      </c>
      <c r="M55" s="3">
        <f t="shared" ca="1" si="67"/>
        <v>2.1683003004481363E-2</v>
      </c>
      <c r="N55" s="3">
        <f t="shared" ca="1" si="67"/>
        <v>2.3263515245694002E-2</v>
      </c>
      <c r="O55" s="3">
        <f t="shared" ca="1" si="67"/>
        <v>2.2758951880278763E-2</v>
      </c>
      <c r="P55" s="3">
        <f t="shared" ca="1" si="67"/>
        <v>2.6469748278415622E-2</v>
      </c>
      <c r="Q55" s="3">
        <f t="shared" ca="1" si="67"/>
        <v>2.4314213924002778E-2</v>
      </c>
      <c r="R55" s="3">
        <f t="shared" ca="1" si="67"/>
        <v>2.8262879475122831E-2</v>
      </c>
      <c r="S55" s="3">
        <f t="shared" ca="1" si="67"/>
        <v>2.7589166453362898E-2</v>
      </c>
      <c r="T55" s="3">
        <f t="shared" ca="1" si="67"/>
        <v>2.9367105554384768E-2</v>
      </c>
      <c r="U55" s="3">
        <f t="shared" ca="1" si="67"/>
        <v>2.9719100639236589E-2</v>
      </c>
      <c r="V55" s="3">
        <f t="shared" ca="1" si="67"/>
        <v>3.0425901175665425E-2</v>
      </c>
      <c r="W55" s="3">
        <f t="shared" ca="1" si="67"/>
        <v>3.2822284727731327E-2</v>
      </c>
      <c r="X55" s="3">
        <f t="shared" ca="1" si="67"/>
        <v>3.7342390612073131E-2</v>
      </c>
      <c r="Y55" s="3">
        <f t="shared" ca="1" si="67"/>
        <v>3.7134115882922931E-2</v>
      </c>
      <c r="Z55" s="3">
        <f t="shared" ca="1" si="67"/>
        <v>4.9580327123027623E-2</v>
      </c>
      <c r="AA55" s="3">
        <f t="shared" ca="1" si="67"/>
        <v>4.3303936951549382E-2</v>
      </c>
      <c r="AB55" s="3">
        <f t="shared" ca="1" si="67"/>
        <v>5.9244664619405328E-2</v>
      </c>
      <c r="AC55" s="3">
        <f t="shared" ca="1" si="67"/>
        <v>4.8512824361098279E-2</v>
      </c>
      <c r="AD55" s="3">
        <f t="shared" ca="1" si="67"/>
        <v>6.7333139568749409E-2</v>
      </c>
      <c r="AE55" s="3">
        <f t="shared" ca="1" si="67"/>
        <v>5.4013341785540875E-2</v>
      </c>
      <c r="AF55" s="3">
        <f t="shared" ca="1" si="67"/>
        <v>7.7308349184547778E-2</v>
      </c>
      <c r="AG55" s="3">
        <f t="shared" ca="1" si="67"/>
        <v>5.8795013893240218E-2</v>
      </c>
      <c r="AH55" s="3">
        <f t="shared" ca="1" si="67"/>
        <v>0.10429886226862743</v>
      </c>
      <c r="AI55" s="3">
        <f t="shared" ca="1" si="67"/>
        <v>8.8719990894986778E-2</v>
      </c>
      <c r="AJ55" s="3">
        <f t="shared" ca="1" si="67"/>
        <v>0.17188647927439454</v>
      </c>
    </row>
    <row r="56" spans="1:36" x14ac:dyDescent="0.35">
      <c r="A56" t="s">
        <v>63</v>
      </c>
      <c r="B56" t="s">
        <v>62</v>
      </c>
      <c r="C56" s="4" t="s">
        <v>71</v>
      </c>
      <c r="D56" s="3">
        <f t="shared" ref="D56:AJ56" ca="1" si="68">MIN(0.99,D37+$D$3)</f>
        <v>1.448445490030132E-2</v>
      </c>
      <c r="E56" s="3">
        <f t="shared" ca="1" si="68"/>
        <v>1.4686051836511553E-2</v>
      </c>
      <c r="F56" s="3">
        <f t="shared" ca="1" si="68"/>
        <v>1.5478260473116852E-2</v>
      </c>
      <c r="G56" s="3">
        <f t="shared" ca="1" si="68"/>
        <v>1.7489371479568389E-2</v>
      </c>
      <c r="H56" s="3">
        <f t="shared" ca="1" si="68"/>
        <v>1.8362343993236725E-2</v>
      </c>
      <c r="I56" s="3">
        <f t="shared" ca="1" si="68"/>
        <v>1.8911255881639517E-2</v>
      </c>
      <c r="J56" s="3">
        <f t="shared" ca="1" si="68"/>
        <v>2.0777221799076567E-2</v>
      </c>
      <c r="K56" s="3">
        <f t="shared" ca="1" si="68"/>
        <v>2.0152562866536737E-2</v>
      </c>
      <c r="L56" s="3">
        <f t="shared" ca="1" si="68"/>
        <v>2.2377989724146691E-2</v>
      </c>
      <c r="M56" s="3">
        <f t="shared" ca="1" si="68"/>
        <v>2.2663672245828183E-2</v>
      </c>
      <c r="N56" s="3">
        <f t="shared" ca="1" si="68"/>
        <v>2.4257238766008406E-2</v>
      </c>
      <c r="O56" s="3">
        <f t="shared" ca="1" si="68"/>
        <v>2.3707783696861457E-2</v>
      </c>
      <c r="P56" s="3">
        <f t="shared" ca="1" si="68"/>
        <v>2.7381512587715814E-2</v>
      </c>
      <c r="Q56" s="3">
        <f t="shared" ca="1" si="68"/>
        <v>2.5273755738102931E-2</v>
      </c>
      <c r="R56" s="3">
        <f t="shared" ca="1" si="68"/>
        <v>2.9224006454352275E-2</v>
      </c>
      <c r="S56" s="3">
        <f t="shared" ca="1" si="68"/>
        <v>2.8554680141082901E-2</v>
      </c>
      <c r="T56" s="3">
        <f t="shared" ca="1" si="68"/>
        <v>3.0280803373116515E-2</v>
      </c>
      <c r="U56" s="3">
        <f t="shared" ca="1" si="68"/>
        <v>3.0647362019711407E-2</v>
      </c>
      <c r="V56" s="3">
        <f t="shared" ca="1" si="68"/>
        <v>3.139194600973616E-2</v>
      </c>
      <c r="W56" s="3">
        <f t="shared" ca="1" si="68"/>
        <v>3.3821584433293757E-2</v>
      </c>
      <c r="X56" s="3">
        <f t="shared" ca="1" si="68"/>
        <v>3.8299206174396271E-2</v>
      </c>
      <c r="Y56" s="3">
        <f t="shared" ca="1" si="68"/>
        <v>3.8077544099665156E-2</v>
      </c>
      <c r="Z56" s="3">
        <f t="shared" ca="1" si="68"/>
        <v>5.0552309449170649E-2</v>
      </c>
      <c r="AA56" s="3">
        <f t="shared" ca="1" si="68"/>
        <v>4.4292686553740697E-2</v>
      </c>
      <c r="AB56" s="3">
        <f t="shared" ca="1" si="68"/>
        <v>6.017424108154068E-2</v>
      </c>
      <c r="AC56" s="3">
        <f t="shared" ca="1" si="68"/>
        <v>4.9414869977706048E-2</v>
      </c>
      <c r="AD56" s="3">
        <f t="shared" ca="1" si="68"/>
        <v>6.82443621911617E-2</v>
      </c>
      <c r="AE56" s="3">
        <f t="shared" ca="1" si="68"/>
        <v>5.4963008350562538E-2</v>
      </c>
      <c r="AF56" s="3">
        <f t="shared" ca="1" si="68"/>
        <v>7.8271686897043447E-2</v>
      </c>
      <c r="AG56" s="3">
        <f t="shared" ca="1" si="68"/>
        <v>5.9747341133391557E-2</v>
      </c>
      <c r="AH56" s="3">
        <f t="shared" ca="1" si="68"/>
        <v>0.10523751749255068</v>
      </c>
      <c r="AI56" s="3">
        <f t="shared" ca="1" si="68"/>
        <v>8.9714647270720815E-2</v>
      </c>
      <c r="AJ56" s="3">
        <f t="shared" ca="1" si="68"/>
        <v>0.17288108553655043</v>
      </c>
    </row>
    <row r="57" spans="1:36" x14ac:dyDescent="0.35">
      <c r="A57" t="s">
        <v>63</v>
      </c>
      <c r="B57" t="s">
        <v>62</v>
      </c>
      <c r="C57" s="4" t="s">
        <v>72</v>
      </c>
      <c r="D57" s="3">
        <f t="shared" ref="D57:AJ57" ca="1" si="69">MIN(0.99,D38+$D$3)</f>
        <v>1.5438939243967914E-2</v>
      </c>
      <c r="E57" s="3">
        <f t="shared" ca="1" si="69"/>
        <v>1.5644712168429973E-2</v>
      </c>
      <c r="F57" s="3">
        <f t="shared" ca="1" si="69"/>
        <v>1.6415597778274209E-2</v>
      </c>
      <c r="G57" s="3">
        <f t="shared" ca="1" si="69"/>
        <v>1.8473693954814005E-2</v>
      </c>
      <c r="H57" s="3">
        <f t="shared" ca="1" si="69"/>
        <v>1.9352076935953297E-2</v>
      </c>
      <c r="I57" s="3">
        <f t="shared" ca="1" si="69"/>
        <v>1.9847010510658354E-2</v>
      </c>
      <c r="J57" s="3">
        <f t="shared" ca="1" si="69"/>
        <v>2.176727656762226E-2</v>
      </c>
      <c r="K57" s="3">
        <f t="shared" ca="1" si="69"/>
        <v>2.1072023986234093E-2</v>
      </c>
      <c r="L57" s="3">
        <f t="shared" ca="1" si="69"/>
        <v>2.3328679218008821E-2</v>
      </c>
      <c r="M57" s="3">
        <f t="shared" ca="1" si="69"/>
        <v>2.3636657786686232E-2</v>
      </c>
      <c r="N57" s="3">
        <f t="shared" ca="1" si="69"/>
        <v>2.5235393058275917E-2</v>
      </c>
      <c r="O57" s="3">
        <f t="shared" ca="1" si="69"/>
        <v>2.469305274746493E-2</v>
      </c>
      <c r="P57" s="3">
        <f t="shared" ca="1" si="69"/>
        <v>2.8353375629964973E-2</v>
      </c>
      <c r="Q57" s="3">
        <f t="shared" ca="1" si="69"/>
        <v>2.6179666982170915E-2</v>
      </c>
      <c r="R57" s="3">
        <f t="shared" ca="1" si="69"/>
        <v>3.0157258198657451E-2</v>
      </c>
      <c r="S57" s="3">
        <f t="shared" ca="1" si="69"/>
        <v>2.9501915946190425E-2</v>
      </c>
      <c r="T57" s="3">
        <f t="shared" ca="1" si="69"/>
        <v>3.1280352248944883E-2</v>
      </c>
      <c r="U57" s="3">
        <f t="shared" ca="1" si="69"/>
        <v>3.1595759629499343E-2</v>
      </c>
      <c r="V57" s="3">
        <f t="shared" ca="1" si="69"/>
        <v>3.2319788123702425E-2</v>
      </c>
      <c r="W57" s="3">
        <f t="shared" ca="1" si="69"/>
        <v>3.481126240221076E-2</v>
      </c>
      <c r="X57" s="3">
        <f t="shared" ca="1" si="69"/>
        <v>3.923703866669289E-2</v>
      </c>
      <c r="Y57" s="3">
        <f t="shared" ca="1" si="69"/>
        <v>3.9074734196958248E-2</v>
      </c>
      <c r="Z57" s="3">
        <f t="shared" ca="1" si="69"/>
        <v>5.1477911135174713E-2</v>
      </c>
      <c r="AA57" s="3">
        <f t="shared" ca="1" si="69"/>
        <v>4.5274771267108473E-2</v>
      </c>
      <c r="AB57" s="3">
        <f t="shared" ca="1" si="69"/>
        <v>6.111793286938532E-2</v>
      </c>
      <c r="AC57" s="3">
        <f t="shared" ca="1" si="69"/>
        <v>5.0414404917709973E-2</v>
      </c>
      <c r="AD57" s="3">
        <f t="shared" ca="1" si="69"/>
        <v>6.920935989602181E-2</v>
      </c>
      <c r="AE57" s="3">
        <f t="shared" ca="1" si="69"/>
        <v>5.5932612433054765E-2</v>
      </c>
      <c r="AF57" s="3">
        <f t="shared" ca="1" si="69"/>
        <v>7.9246337262454086E-2</v>
      </c>
      <c r="AG57" s="3">
        <f t="shared" ca="1" si="69"/>
        <v>6.0701428021291706E-2</v>
      </c>
      <c r="AH57" s="3">
        <f t="shared" ca="1" si="69"/>
        <v>0.10614310721984885</v>
      </c>
      <c r="AI57" s="3">
        <f t="shared" ca="1" si="69"/>
        <v>9.0662237692319528E-2</v>
      </c>
      <c r="AJ57" s="3">
        <f t="shared" ca="1" si="69"/>
        <v>0.17383654999430001</v>
      </c>
    </row>
    <row r="58" spans="1:36" x14ac:dyDescent="0.35">
      <c r="A58" t="s">
        <v>63</v>
      </c>
      <c r="B58" t="s">
        <v>62</v>
      </c>
      <c r="C58" s="4">
        <v>6</v>
      </c>
      <c r="D58" s="3">
        <f t="shared" ref="D58:AJ58" ca="1" si="70">MIN(0.99,D39+$D$3)</f>
        <v>1.6412748521250436E-2</v>
      </c>
      <c r="E58" s="3">
        <f t="shared" ca="1" si="70"/>
        <v>1.656312175114218E-2</v>
      </c>
      <c r="F58" s="3">
        <f t="shared" ca="1" si="70"/>
        <v>1.7345193633923128E-2</v>
      </c>
      <c r="G58" s="3">
        <f t="shared" ca="1" si="70"/>
        <v>1.9422006573476838E-2</v>
      </c>
      <c r="H58" s="3">
        <f t="shared" ca="1" si="70"/>
        <v>2.0268702262347959E-2</v>
      </c>
      <c r="I58" s="3">
        <f t="shared" ca="1" si="70"/>
        <v>2.0770235805852449E-2</v>
      </c>
      <c r="J58" s="3">
        <f t="shared" ca="1" si="70"/>
        <v>2.2671972122494978E-2</v>
      </c>
      <c r="K58" s="3">
        <f t="shared" ca="1" si="70"/>
        <v>2.200706392724645E-2</v>
      </c>
      <c r="L58" s="3">
        <f t="shared" ca="1" si="70"/>
        <v>2.427130324834199E-2</v>
      </c>
      <c r="M58" s="3">
        <f t="shared" ca="1" si="70"/>
        <v>2.4610365876717659E-2</v>
      </c>
      <c r="N58" s="3">
        <f t="shared" ca="1" si="70"/>
        <v>2.6203749435113659E-2</v>
      </c>
      <c r="O58" s="3">
        <f t="shared" ca="1" si="70"/>
        <v>2.5691439995021721E-2</v>
      </c>
      <c r="P58" s="3">
        <f t="shared" ca="1" si="70"/>
        <v>2.9270604251097725E-2</v>
      </c>
      <c r="Q58" s="3">
        <f t="shared" ca="1" si="70"/>
        <v>2.7179408448813447E-2</v>
      </c>
      <c r="R58" s="3">
        <f t="shared" ca="1" si="70"/>
        <v>3.1142369741630031E-2</v>
      </c>
      <c r="S58" s="3">
        <f t="shared" ca="1" si="70"/>
        <v>3.0466851635476577E-2</v>
      </c>
      <c r="T58" s="3">
        <f t="shared" ca="1" si="70"/>
        <v>3.2269073544278708E-2</v>
      </c>
      <c r="U58" s="3">
        <f t="shared" ca="1" si="70"/>
        <v>3.2571096995211539E-2</v>
      </c>
      <c r="V58" s="3">
        <f t="shared" ca="1" si="70"/>
        <v>3.3289308142138888E-2</v>
      </c>
      <c r="W58" s="3">
        <f t="shared" ca="1" si="70"/>
        <v>3.5804533323171107E-2</v>
      </c>
      <c r="X58" s="3">
        <f t="shared" ca="1" si="70"/>
        <v>4.022976912546538E-2</v>
      </c>
      <c r="Y58" s="3">
        <f t="shared" ca="1" si="70"/>
        <v>4.0001000442242959E-2</v>
      </c>
      <c r="Z58" s="3">
        <f t="shared" ca="1" si="70"/>
        <v>5.2427924377241961E-2</v>
      </c>
      <c r="AA58" s="3">
        <f t="shared" ca="1" si="70"/>
        <v>4.6250966004294895E-2</v>
      </c>
      <c r="AB58" s="3">
        <f t="shared" ca="1" si="70"/>
        <v>6.2053966335099763E-2</v>
      </c>
      <c r="AC58" s="3">
        <f t="shared" ca="1" si="70"/>
        <v>5.1388499773208654E-2</v>
      </c>
      <c r="AD58" s="3">
        <f t="shared" ca="1" si="70"/>
        <v>7.015543148701528E-2</v>
      </c>
      <c r="AE58" s="3">
        <f t="shared" ca="1" si="70"/>
        <v>5.6920315427896974E-2</v>
      </c>
      <c r="AF58" s="3">
        <f t="shared" ca="1" si="70"/>
        <v>8.0213708733095773E-2</v>
      </c>
      <c r="AG58" s="3">
        <f t="shared" ca="1" si="70"/>
        <v>6.1606942220334977E-2</v>
      </c>
      <c r="AH58" s="3">
        <f t="shared" ca="1" si="70"/>
        <v>0.10713563349026996</v>
      </c>
      <c r="AI58" s="3">
        <f t="shared" ca="1" si="70"/>
        <v>9.1629591952280195E-2</v>
      </c>
      <c r="AJ58" s="3">
        <f t="shared" ca="1" si="70"/>
        <v>0.17478064281299038</v>
      </c>
    </row>
    <row r="59" spans="1:36" x14ac:dyDescent="0.35">
      <c r="A59" t="s">
        <v>63</v>
      </c>
      <c r="B59" t="s">
        <v>62</v>
      </c>
      <c r="C59" s="4" t="s">
        <v>73</v>
      </c>
      <c r="D59" s="3">
        <f t="shared" ref="D59:AJ59" ca="1" si="71">MIN(0.99,D40+$D$3)</f>
        <v>1.7405762019646158E-2</v>
      </c>
      <c r="E59" s="3">
        <f t="shared" ca="1" si="71"/>
        <v>1.7557962367549255E-2</v>
      </c>
      <c r="F59" s="3">
        <f t="shared" ca="1" si="71"/>
        <v>1.828523379468738E-2</v>
      </c>
      <c r="G59" s="3">
        <f t="shared" ca="1" si="71"/>
        <v>2.032319102101621E-2</v>
      </c>
      <c r="H59" s="3">
        <f t="shared" ca="1" si="71"/>
        <v>2.1190680806712894E-2</v>
      </c>
      <c r="I59" s="3">
        <f t="shared" ca="1" si="71"/>
        <v>2.1721160579388561E-2</v>
      </c>
      <c r="J59" s="3">
        <f t="shared" ca="1" si="71"/>
        <v>2.3662093301223361E-2</v>
      </c>
      <c r="K59" s="3">
        <f t="shared" ca="1" si="71"/>
        <v>2.2907845358551036E-2</v>
      </c>
      <c r="L59" s="3">
        <f t="shared" ca="1" si="71"/>
        <v>2.5223102569838729E-2</v>
      </c>
      <c r="M59" s="3">
        <f t="shared" ca="1" si="71"/>
        <v>2.5596153588644952E-2</v>
      </c>
      <c r="N59" s="3">
        <f t="shared" ca="1" si="71"/>
        <v>2.7179215680414415E-2</v>
      </c>
      <c r="O59" s="3">
        <f t="shared" ca="1" si="71"/>
        <v>2.6673053703103401E-2</v>
      </c>
      <c r="P59" s="3">
        <f t="shared" ca="1" si="71"/>
        <v>3.0219756104586309E-2</v>
      </c>
      <c r="Q59" s="3">
        <f t="shared" ca="1" si="71"/>
        <v>2.8155382846520385E-2</v>
      </c>
      <c r="R59" s="3">
        <f t="shared" ca="1" si="71"/>
        <v>3.2092459080454078E-2</v>
      </c>
      <c r="S59" s="3">
        <f t="shared" ca="1" si="71"/>
        <v>3.1426304819436375E-2</v>
      </c>
      <c r="T59" s="3">
        <f t="shared" ca="1" si="71"/>
        <v>3.3176411470082018E-2</v>
      </c>
      <c r="U59" s="3">
        <f t="shared" ca="1" si="71"/>
        <v>3.34963884312948E-2</v>
      </c>
      <c r="V59" s="3">
        <f t="shared" ca="1" si="71"/>
        <v>3.422987167394928E-2</v>
      </c>
      <c r="W59" s="3">
        <f t="shared" ca="1" si="71"/>
        <v>3.6782459582558429E-2</v>
      </c>
      <c r="X59" s="3">
        <f t="shared" ca="1" si="71"/>
        <v>4.1181579702867822E-2</v>
      </c>
      <c r="Y59" s="3">
        <f t="shared" ca="1" si="71"/>
        <v>4.0902737204013537E-2</v>
      </c>
      <c r="Z59" s="3">
        <f t="shared" ca="1" si="71"/>
        <v>5.3426583367858986E-2</v>
      </c>
      <c r="AA59" s="3">
        <f t="shared" ca="1" si="71"/>
        <v>4.7225144233269539E-2</v>
      </c>
      <c r="AB59" s="3">
        <f t="shared" ca="1" si="71"/>
        <v>6.2995697239400614E-2</v>
      </c>
      <c r="AC59" s="3">
        <f t="shared" ca="1" si="71"/>
        <v>5.2375085525391357E-2</v>
      </c>
      <c r="AD59" s="3">
        <f t="shared" ca="1" si="71"/>
        <v>7.1094084240374208E-2</v>
      </c>
      <c r="AE59" s="3">
        <f t="shared" ca="1" si="71"/>
        <v>5.7894842995068793E-2</v>
      </c>
      <c r="AF59" s="3">
        <f t="shared" ca="1" si="71"/>
        <v>8.1136199180755944E-2</v>
      </c>
      <c r="AG59" s="3">
        <f t="shared" ca="1" si="71"/>
        <v>6.2584020613767263E-2</v>
      </c>
      <c r="AH59" s="3">
        <f t="shared" ca="1" si="71"/>
        <v>0.10805028626100148</v>
      </c>
      <c r="AI59" s="3">
        <f t="shared" ca="1" si="71"/>
        <v>9.2596133129247846E-2</v>
      </c>
      <c r="AJ59" s="3">
        <f t="shared" ca="1" si="71"/>
        <v>0.17569399884461831</v>
      </c>
    </row>
    <row r="60" spans="1:36" x14ac:dyDescent="0.35">
      <c r="A60" t="s">
        <v>63</v>
      </c>
      <c r="B60" t="s">
        <v>62</v>
      </c>
      <c r="C60" s="4" t="s">
        <v>74</v>
      </c>
      <c r="D60" s="3">
        <f t="shared" ref="D60:AJ60" ca="1" si="72">MIN(0.99,D41+$D$3)</f>
        <v>1.8323956046054513E-2</v>
      </c>
      <c r="E60" s="3">
        <f t="shared" ca="1" si="72"/>
        <v>1.8535229102321069E-2</v>
      </c>
      <c r="F60" s="3">
        <f t="shared" ca="1" si="72"/>
        <v>1.9221165352956326E-2</v>
      </c>
      <c r="G60" s="3">
        <f t="shared" ca="1" si="72"/>
        <v>2.1264475917527424E-2</v>
      </c>
      <c r="H60" s="3">
        <f t="shared" ca="1" si="72"/>
        <v>2.211050650525017E-2</v>
      </c>
      <c r="I60" s="3">
        <f t="shared" ca="1" si="72"/>
        <v>2.2691737270141194E-2</v>
      </c>
      <c r="J60" s="3">
        <f t="shared" ca="1" si="72"/>
        <v>2.464251769787705E-2</v>
      </c>
      <c r="K60" s="3">
        <f t="shared" ca="1" si="72"/>
        <v>2.3867936768599014E-2</v>
      </c>
      <c r="L60" s="3">
        <f t="shared" ca="1" si="72"/>
        <v>2.6205066646935175E-2</v>
      </c>
      <c r="M60" s="3">
        <f t="shared" ca="1" si="72"/>
        <v>2.6575381582484868E-2</v>
      </c>
      <c r="N60" s="3">
        <f t="shared" ca="1" si="72"/>
        <v>2.8120671372874106E-2</v>
      </c>
      <c r="O60" s="3">
        <f t="shared" ca="1" si="72"/>
        <v>2.7611253627850045E-2</v>
      </c>
      <c r="P60" s="3">
        <f t="shared" ca="1" si="72"/>
        <v>3.1211963898851464E-2</v>
      </c>
      <c r="Q60" s="3">
        <f t="shared" ca="1" si="72"/>
        <v>2.909994844942598E-2</v>
      </c>
      <c r="R60" s="3">
        <f t="shared" ca="1" si="72"/>
        <v>3.3028976195700901E-2</v>
      </c>
      <c r="S60" s="3">
        <f t="shared" ca="1" si="72"/>
        <v>3.2407068323256891E-2</v>
      </c>
      <c r="T60" s="3">
        <f t="shared" ca="1" si="72"/>
        <v>3.4133904671322629E-2</v>
      </c>
      <c r="U60" s="3">
        <f t="shared" ca="1" si="72"/>
        <v>3.4427922067647179E-2</v>
      </c>
      <c r="V60" s="3">
        <f t="shared" ca="1" si="72"/>
        <v>3.5215559904088346E-2</v>
      </c>
      <c r="W60" s="3">
        <f t="shared" ca="1" si="72"/>
        <v>3.7771454650514798E-2</v>
      </c>
      <c r="X60" s="3">
        <f t="shared" ca="1" si="72"/>
        <v>4.2160612506787112E-2</v>
      </c>
      <c r="Y60" s="3">
        <f t="shared" ca="1" si="72"/>
        <v>4.1873468736625299E-2</v>
      </c>
      <c r="Z60" s="3">
        <f t="shared" ca="1" si="72"/>
        <v>5.4341536100527402E-2</v>
      </c>
      <c r="AA60" s="3">
        <f t="shared" ca="1" si="72"/>
        <v>4.8176968016531048E-2</v>
      </c>
      <c r="AB60" s="3">
        <f t="shared" ca="1" si="72"/>
        <v>6.3990123550503347E-2</v>
      </c>
      <c r="AC60" s="3">
        <f t="shared" ca="1" si="72"/>
        <v>5.3309467160535251E-2</v>
      </c>
      <c r="AD60" s="3">
        <f t="shared" ca="1" si="72"/>
        <v>7.2018612671417681E-2</v>
      </c>
      <c r="AE60" s="3">
        <f t="shared" ca="1" si="72"/>
        <v>5.8894683369195934E-2</v>
      </c>
      <c r="AF60" s="3">
        <f t="shared" ca="1" si="72"/>
        <v>8.2077977675205652E-2</v>
      </c>
      <c r="AG60" s="3">
        <f t="shared" ca="1" si="72"/>
        <v>6.3580887614734752E-2</v>
      </c>
      <c r="AH60" s="3">
        <f t="shared" ca="1" si="72"/>
        <v>0.10903892370317526</v>
      </c>
      <c r="AI60" s="3">
        <f t="shared" ca="1" si="72"/>
        <v>9.3555354491516807E-2</v>
      </c>
      <c r="AJ60" s="3">
        <f t="shared" ca="1" si="72"/>
        <v>0.17668148716991491</v>
      </c>
    </row>
    <row r="61" spans="1:36" x14ac:dyDescent="0.35">
      <c r="A61" t="s">
        <v>63</v>
      </c>
      <c r="B61" t="s">
        <v>62</v>
      </c>
      <c r="C61" s="4">
        <v>7</v>
      </c>
      <c r="D61" s="3">
        <f t="shared" ref="D61:AJ61" ca="1" si="73">MIN(0.99,D42+$D$3)</f>
        <v>1.9249132611260173E-2</v>
      </c>
      <c r="E61" s="3">
        <f t="shared" ca="1" si="73"/>
        <v>1.9438560177040258E-2</v>
      </c>
      <c r="F61" s="3">
        <f t="shared" ca="1" si="73"/>
        <v>2.0167307037448987E-2</v>
      </c>
      <c r="G61" s="3">
        <f t="shared" ca="1" si="73"/>
        <v>2.2206866279079408E-2</v>
      </c>
      <c r="H61" s="3">
        <f t="shared" ca="1" si="73"/>
        <v>2.3020857107338213E-2</v>
      </c>
      <c r="I61" s="3">
        <f t="shared" ca="1" si="73"/>
        <v>2.3615049282589572E-2</v>
      </c>
      <c r="J61" s="3">
        <f t="shared" ca="1" si="73"/>
        <v>2.5562881362628635E-2</v>
      </c>
      <c r="K61" s="3">
        <f t="shared" ca="1" si="73"/>
        <v>2.4829251414794171E-2</v>
      </c>
      <c r="L61" s="3">
        <f t="shared" ca="1" si="73"/>
        <v>2.7150841408044763E-2</v>
      </c>
      <c r="M61" s="3">
        <f t="shared" ca="1" si="73"/>
        <v>2.7546153712486948E-2</v>
      </c>
      <c r="N61" s="3">
        <f t="shared" ca="1" si="73"/>
        <v>2.9048457546872422E-2</v>
      </c>
      <c r="O61" s="3">
        <f t="shared" ca="1" si="73"/>
        <v>2.8582384724031618E-2</v>
      </c>
      <c r="P61" s="3">
        <f t="shared" ca="1" si="73"/>
        <v>3.2197256956899359E-2</v>
      </c>
      <c r="Q61" s="3">
        <f t="shared" ca="1" si="73"/>
        <v>3.0033954922346472E-2</v>
      </c>
      <c r="R61" s="3">
        <f t="shared" ca="1" si="73"/>
        <v>3.4000488040691029E-2</v>
      </c>
      <c r="S61" s="3">
        <f t="shared" ca="1" si="73"/>
        <v>3.3371136863709822E-2</v>
      </c>
      <c r="T61" s="3">
        <f t="shared" ca="1" si="73"/>
        <v>3.5036881929668626E-2</v>
      </c>
      <c r="U61" s="3">
        <f t="shared" ca="1" si="73"/>
        <v>3.5345473026688772E-2</v>
      </c>
      <c r="V61" s="3">
        <f t="shared" ca="1" si="73"/>
        <v>3.6120618962886791E-2</v>
      </c>
      <c r="W61" s="3">
        <f t="shared" ca="1" si="73"/>
        <v>3.8757978177912406E-2</v>
      </c>
      <c r="X61" s="3">
        <f t="shared" ca="1" si="73"/>
        <v>4.3100155021842002E-2</v>
      </c>
      <c r="Y61" s="3">
        <f t="shared" ca="1" si="73"/>
        <v>4.2854638814472615E-2</v>
      </c>
      <c r="Z61" s="3">
        <f t="shared" ca="1" si="73"/>
        <v>5.5299628502379496E-2</v>
      </c>
      <c r="AA61" s="3">
        <f t="shared" ca="1" si="73"/>
        <v>4.9152630594573005E-2</v>
      </c>
      <c r="AB61" s="3">
        <f t="shared" ca="1" si="73"/>
        <v>6.4971554424525901E-2</v>
      </c>
      <c r="AC61" s="3">
        <f t="shared" ca="1" si="73"/>
        <v>5.4209764955341751E-2</v>
      </c>
      <c r="AD61" s="3">
        <f t="shared" ca="1" si="73"/>
        <v>7.3011199391606108E-2</v>
      </c>
      <c r="AE61" s="3">
        <f t="shared" ca="1" si="73"/>
        <v>5.9852019697130575E-2</v>
      </c>
      <c r="AF61" s="3">
        <f t="shared" ca="1" si="73"/>
        <v>8.3027105146785171E-2</v>
      </c>
      <c r="AG61" s="3">
        <f t="shared" ca="1" si="73"/>
        <v>6.4498877495653417E-2</v>
      </c>
      <c r="AH61" s="3">
        <f t="shared" ca="1" si="73"/>
        <v>0.10995603170317866</v>
      </c>
      <c r="AI61" s="3">
        <f t="shared" ca="1" si="73"/>
        <v>9.4523830848000132E-2</v>
      </c>
      <c r="AJ61" s="3">
        <f t="shared" ca="1" si="73"/>
        <v>0.17758775377187291</v>
      </c>
    </row>
    <row r="62" spans="1:36" x14ac:dyDescent="0.35">
      <c r="A62" t="s">
        <v>63</v>
      </c>
      <c r="B62" t="s">
        <v>62</v>
      </c>
      <c r="C62" s="4" t="s">
        <v>75</v>
      </c>
      <c r="D62" s="3">
        <f t="shared" ref="D62:AJ62" ca="1" si="74">MIN(0.99,D43+$D$3)</f>
        <v>2.0173515240078769E-2</v>
      </c>
      <c r="E62" s="3">
        <f t="shared" ca="1" si="74"/>
        <v>2.0425565539717437E-2</v>
      </c>
      <c r="F62" s="3">
        <f t="shared" ca="1" si="74"/>
        <v>2.1128920500227522E-2</v>
      </c>
      <c r="G62" s="3">
        <f t="shared" ca="1" si="74"/>
        <v>2.3184058288031415E-2</v>
      </c>
      <c r="H62" s="3">
        <f t="shared" ca="1" si="74"/>
        <v>2.3970581475759187E-2</v>
      </c>
      <c r="I62" s="3">
        <f t="shared" ca="1" si="74"/>
        <v>2.4612922986726397E-2</v>
      </c>
      <c r="J62" s="3">
        <f t="shared" ca="1" si="74"/>
        <v>2.6481913114381705E-2</v>
      </c>
      <c r="K62" s="3">
        <f t="shared" ca="1" si="74"/>
        <v>2.5798744670392049E-2</v>
      </c>
      <c r="L62" s="3">
        <f t="shared" ca="1" si="74"/>
        <v>2.8136351476673351E-2</v>
      </c>
      <c r="M62" s="3">
        <f t="shared" ca="1" si="74"/>
        <v>2.8524005411690069E-2</v>
      </c>
      <c r="N62" s="3">
        <f t="shared" ca="1" si="74"/>
        <v>2.9970748386507224E-2</v>
      </c>
      <c r="O62" s="3">
        <f t="shared" ca="1" si="74"/>
        <v>2.9501569718133801E-2</v>
      </c>
      <c r="P62" s="3">
        <f t="shared" ca="1" si="74"/>
        <v>3.3106118465884786E-2</v>
      </c>
      <c r="Q62" s="3">
        <f t="shared" ca="1" si="74"/>
        <v>3.1021151687803242E-2</v>
      </c>
      <c r="R62" s="3">
        <f t="shared" ca="1" si="74"/>
        <v>3.4979056287930313E-2</v>
      </c>
      <c r="S62" s="3">
        <f t="shared" ca="1" si="74"/>
        <v>3.4283130039264864E-2</v>
      </c>
      <c r="T62" s="3">
        <f t="shared" ca="1" si="74"/>
        <v>3.5994875366362242E-2</v>
      </c>
      <c r="U62" s="3">
        <f t="shared" ca="1" si="74"/>
        <v>3.6257359654965703E-2</v>
      </c>
      <c r="V62" s="3">
        <f t="shared" ca="1" si="74"/>
        <v>3.7102435220611525E-2</v>
      </c>
      <c r="W62" s="3">
        <f t="shared" ca="1" si="74"/>
        <v>3.9732426519784363E-2</v>
      </c>
      <c r="X62" s="3">
        <f t="shared" ca="1" si="74"/>
        <v>4.4028191410779023E-2</v>
      </c>
      <c r="Y62" s="3">
        <f t="shared" ca="1" si="74"/>
        <v>4.3841017177211762E-2</v>
      </c>
      <c r="Z62" s="3">
        <f t="shared" ca="1" si="74"/>
        <v>5.6272737189043298E-2</v>
      </c>
      <c r="AA62" s="3">
        <f t="shared" ca="1" si="74"/>
        <v>5.0106211977127078E-2</v>
      </c>
      <c r="AB62" s="3">
        <f t="shared" ca="1" si="74"/>
        <v>6.5879838066947721E-2</v>
      </c>
      <c r="AC62" s="3">
        <f t="shared" ca="1" si="74"/>
        <v>5.5155949060795725E-2</v>
      </c>
      <c r="AD62" s="3">
        <f t="shared" ca="1" si="74"/>
        <v>7.3953719039918778E-2</v>
      </c>
      <c r="AE62" s="3">
        <f t="shared" ca="1" si="74"/>
        <v>6.0792016361654266E-2</v>
      </c>
      <c r="AF62" s="3">
        <f t="shared" ca="1" si="74"/>
        <v>8.3943189695669315E-2</v>
      </c>
      <c r="AG62" s="3">
        <f t="shared" ca="1" si="74"/>
        <v>6.5460060821368876E-2</v>
      </c>
      <c r="AH62" s="3">
        <f t="shared" ca="1" si="74"/>
        <v>0.11095166993859172</v>
      </c>
      <c r="AI62" s="3">
        <f t="shared" ca="1" si="74"/>
        <v>9.5485857987751679E-2</v>
      </c>
      <c r="AJ62" s="3">
        <f t="shared" ca="1" si="74"/>
        <v>0.17856008038992086</v>
      </c>
    </row>
    <row r="63" spans="1:36" x14ac:dyDescent="0.35">
      <c r="A63" t="s">
        <v>77</v>
      </c>
      <c r="B63" t="s">
        <v>76</v>
      </c>
      <c r="C63" s="4">
        <v>1</v>
      </c>
      <c r="D63" s="3">
        <f ca="1">MIN(0.99,D6+$O$3)</f>
        <v>2.399619252611649E-2</v>
      </c>
      <c r="E63" s="3">
        <f t="shared" ref="E63:AA74" ca="1" si="75">MIN(0.99,E6+$O$3)</f>
        <v>2.4197409818184683E-2</v>
      </c>
      <c r="F63" s="3">
        <f t="shared" ca="1" si="75"/>
        <v>2.5083236323934444E-2</v>
      </c>
      <c r="G63" s="3">
        <f t="shared" ca="1" si="75"/>
        <v>2.6852670102129231E-2</v>
      </c>
      <c r="H63" s="3">
        <f t="shared" ca="1" si="75"/>
        <v>2.7839124749706415E-2</v>
      </c>
      <c r="I63" s="3">
        <f t="shared" ca="1" si="75"/>
        <v>2.8512236095044687E-2</v>
      </c>
      <c r="J63" s="3">
        <f t="shared" ca="1" si="75"/>
        <v>3.0452303136510851E-2</v>
      </c>
      <c r="K63" s="3">
        <f t="shared" ca="1" si="75"/>
        <v>2.9483956914749615E-2</v>
      </c>
      <c r="L63" s="3">
        <f t="shared" ca="1" si="75"/>
        <v>3.1813706971466786E-2</v>
      </c>
      <c r="M63" s="3">
        <f t="shared" ca="1" si="75"/>
        <v>3.2195744570271342E-2</v>
      </c>
      <c r="N63" s="3">
        <f t="shared" ca="1" si="75"/>
        <v>3.372420656565521E-2</v>
      </c>
      <c r="O63" s="3">
        <f t="shared" ca="1" si="75"/>
        <v>3.3377714372117617E-2</v>
      </c>
      <c r="P63" s="3">
        <f t="shared" ca="1" si="75"/>
        <v>3.7098658743641308E-2</v>
      </c>
      <c r="Q63" s="3">
        <f t="shared" ca="1" si="75"/>
        <v>3.471425957883556E-2</v>
      </c>
      <c r="R63" s="3">
        <f t="shared" ca="1" si="75"/>
        <v>3.8701306611202579E-2</v>
      </c>
      <c r="S63" s="3">
        <f t="shared" ca="1" si="75"/>
        <v>3.8128887270818916E-2</v>
      </c>
      <c r="T63" s="3">
        <f t="shared" ca="1" si="75"/>
        <v>3.9872832134011486E-2</v>
      </c>
      <c r="U63" s="3">
        <f t="shared" ca="1" si="75"/>
        <v>4.0220704287567841E-2</v>
      </c>
      <c r="V63" s="3">
        <f t="shared" ca="1" si="75"/>
        <v>4.0840293164901981E-2</v>
      </c>
      <c r="W63" s="3">
        <f t="shared" ca="1" si="75"/>
        <v>4.3398351374836011E-2</v>
      </c>
      <c r="X63" s="3">
        <f t="shared" ca="1" si="75"/>
        <v>4.7938856585739133E-2</v>
      </c>
      <c r="Y63" s="3">
        <f t="shared" ca="1" si="75"/>
        <v>4.769791444976975E-2</v>
      </c>
      <c r="Z63" s="3">
        <f t="shared" ca="1" si="75"/>
        <v>6.0139695702027256E-2</v>
      </c>
      <c r="AA63" s="3">
        <f t="shared" ca="1" si="75"/>
        <v>5.3813314714986092E-2</v>
      </c>
      <c r="AB63" s="3">
        <f ca="1">MIN(0.99,AB6+$O$3)</f>
        <v>6.9587150293817873E-2</v>
      </c>
      <c r="AC63" s="3">
        <f t="shared" ref="AC63:AJ78" ca="1" si="76">MIN(0.99,AC6+$O$3)</f>
        <v>5.9052930424463905E-2</v>
      </c>
      <c r="AD63" s="3">
        <f t="shared" ca="1" si="76"/>
        <v>7.7779877191821695E-2</v>
      </c>
      <c r="AE63" s="3">
        <f t="shared" ca="1" si="76"/>
        <v>6.4605562614879097E-2</v>
      </c>
      <c r="AF63" s="3">
        <f t="shared" ca="1" si="76"/>
        <v>8.7887050020770491E-2</v>
      </c>
      <c r="AG63" s="3">
        <f t="shared" ca="1" si="76"/>
        <v>6.937672933619643E-2</v>
      </c>
      <c r="AH63" s="3">
        <f t="shared" ca="1" si="76"/>
        <v>0.11490489407020621</v>
      </c>
      <c r="AI63" s="3">
        <f t="shared" ca="1" si="76"/>
        <v>9.9319268873131389E-2</v>
      </c>
      <c r="AJ63" s="3">
        <f t="shared" ca="1" si="76"/>
        <v>0.18260356655079077</v>
      </c>
    </row>
    <row r="64" spans="1:36" x14ac:dyDescent="0.35">
      <c r="A64" t="s">
        <v>77</v>
      </c>
      <c r="B64" t="s">
        <v>76</v>
      </c>
      <c r="C64" s="4" t="s">
        <v>64</v>
      </c>
      <c r="D64" s="3">
        <f t="shared" ref="D64:S119" ca="1" si="77">MIN(0.99,D7+$O$3)</f>
        <v>2.4984874233343009E-2</v>
      </c>
      <c r="E64" s="3">
        <f t="shared" ca="1" si="77"/>
        <v>2.517166702361456E-2</v>
      </c>
      <c r="F64" s="3">
        <f t="shared" ca="1" si="77"/>
        <v>2.6001781447161896E-2</v>
      </c>
      <c r="G64" s="3">
        <f t="shared" ca="1" si="77"/>
        <v>2.7847091764261485E-2</v>
      </c>
      <c r="H64" s="3">
        <f t="shared" ca="1" si="77"/>
        <v>2.8824279110247222E-2</v>
      </c>
      <c r="I64" s="3">
        <f t="shared" ca="1" si="77"/>
        <v>2.9493090430726322E-2</v>
      </c>
      <c r="J64" s="3">
        <f t="shared" ca="1" si="77"/>
        <v>3.1353388482173339E-2</v>
      </c>
      <c r="K64" s="3">
        <f t="shared" ca="1" si="77"/>
        <v>3.0463958967972812E-2</v>
      </c>
      <c r="L64" s="3">
        <f t="shared" ca="1" si="77"/>
        <v>3.278577744321947E-2</v>
      </c>
      <c r="M64" s="3">
        <f t="shared" ca="1" si="77"/>
        <v>3.3127051104269431E-2</v>
      </c>
      <c r="N64" s="3">
        <f t="shared" ca="1" si="77"/>
        <v>3.4648911225738752E-2</v>
      </c>
      <c r="O64" s="3">
        <f t="shared" ca="1" si="77"/>
        <v>3.42969206061862E-2</v>
      </c>
      <c r="P64" s="3">
        <f t="shared" ca="1" si="77"/>
        <v>3.806466505362207E-2</v>
      </c>
      <c r="Q64" s="3">
        <f t="shared" ca="1" si="77"/>
        <v>3.5711674379586625E-2</v>
      </c>
      <c r="R64" s="3">
        <f t="shared" ca="1" si="77"/>
        <v>3.9622677274524787E-2</v>
      </c>
      <c r="S64" s="3">
        <f t="shared" ca="1" si="77"/>
        <v>3.9060404341883875E-2</v>
      </c>
      <c r="T64" s="3">
        <f t="shared" ca="1" si="75"/>
        <v>4.0868454319408734E-2</v>
      </c>
      <c r="U64" s="3">
        <f t="shared" ca="1" si="75"/>
        <v>4.1217349733234876E-2</v>
      </c>
      <c r="V64" s="3">
        <f t="shared" ca="1" si="75"/>
        <v>4.1785450574590273E-2</v>
      </c>
      <c r="W64" s="3">
        <f t="shared" ca="1" si="75"/>
        <v>4.4327212731511058E-2</v>
      </c>
      <c r="X64" s="3">
        <f t="shared" ca="1" si="75"/>
        <v>4.8879878861498201E-2</v>
      </c>
      <c r="Y64" s="3">
        <f t="shared" ca="1" si="75"/>
        <v>4.867613749407209E-2</v>
      </c>
      <c r="Z64" s="3">
        <f t="shared" ca="1" si="75"/>
        <v>6.1077512684179505E-2</v>
      </c>
      <c r="AA64" s="3">
        <f t="shared" ca="1" si="75"/>
        <v>5.480260240497236E-2</v>
      </c>
      <c r="AB64" s="3">
        <f t="shared" ref="AB64:AJ64" ca="1" si="78">MIN(0.99,AB7+$O$3)</f>
        <v>7.0545418057691378E-2</v>
      </c>
      <c r="AC64" s="3">
        <f t="shared" ca="1" si="78"/>
        <v>6.0006240935845535E-2</v>
      </c>
      <c r="AD64" s="3">
        <f t="shared" ca="1" si="78"/>
        <v>7.8698649372670793E-2</v>
      </c>
      <c r="AE64" s="3">
        <f t="shared" ca="1" si="78"/>
        <v>6.5548727048766839E-2</v>
      </c>
      <c r="AF64" s="3">
        <f t="shared" ca="1" si="78"/>
        <v>8.8793451296864584E-2</v>
      </c>
      <c r="AG64" s="3">
        <f t="shared" ca="1" si="78"/>
        <v>7.0364198902286984E-2</v>
      </c>
      <c r="AH64" s="3">
        <f t="shared" ca="1" si="78"/>
        <v>0.11583704349760016</v>
      </c>
      <c r="AI64" s="3">
        <f t="shared" ca="1" si="78"/>
        <v>0.10031582142111067</v>
      </c>
      <c r="AJ64" s="3">
        <f t="shared" ca="1" si="78"/>
        <v>0.18355461004394524</v>
      </c>
    </row>
    <row r="65" spans="1:36" x14ac:dyDescent="0.35">
      <c r="A65" t="s">
        <v>77</v>
      </c>
      <c r="B65" t="s">
        <v>76</v>
      </c>
      <c r="C65" s="4">
        <v>2</v>
      </c>
      <c r="D65" s="3">
        <f t="shared" ca="1" si="77"/>
        <v>2.5969507581833199E-2</v>
      </c>
      <c r="E65" s="3">
        <f t="shared" ca="1" si="75"/>
        <v>2.6147710007389708E-2</v>
      </c>
      <c r="F65" s="3">
        <f t="shared" ca="1" si="75"/>
        <v>2.6987241696542909E-2</v>
      </c>
      <c r="G65" s="3">
        <f t="shared" ca="1" si="75"/>
        <v>2.8794446029262698E-2</v>
      </c>
      <c r="H65" s="3">
        <f t="shared" ca="1" si="75"/>
        <v>2.9780251402450067E-2</v>
      </c>
      <c r="I65" s="3">
        <f t="shared" ca="1" si="75"/>
        <v>3.0393785726495683E-2</v>
      </c>
      <c r="J65" s="3">
        <f t="shared" ca="1" si="75"/>
        <v>3.23059064071625E-2</v>
      </c>
      <c r="K65" s="3">
        <f t="shared" ca="1" si="75"/>
        <v>3.1457436528860801E-2</v>
      </c>
      <c r="L65" s="3">
        <f t="shared" ca="1" si="75"/>
        <v>3.3781102689089335E-2</v>
      </c>
      <c r="M65" s="3">
        <f t="shared" ca="1" si="75"/>
        <v>3.4034081667899715E-2</v>
      </c>
      <c r="N65" s="3">
        <f t="shared" ca="1" si="75"/>
        <v>3.5648817299451595E-2</v>
      </c>
      <c r="O65" s="3">
        <f t="shared" ca="1" si="75"/>
        <v>3.529053623428343E-2</v>
      </c>
      <c r="P65" s="3">
        <f t="shared" ca="1" si="75"/>
        <v>3.9031245674908469E-2</v>
      </c>
      <c r="Q65" s="3">
        <f t="shared" ca="1" si="75"/>
        <v>3.6697542759158625E-2</v>
      </c>
      <c r="R65" s="3">
        <f t="shared" ca="1" si="75"/>
        <v>4.0621640761603774E-2</v>
      </c>
      <c r="S65" s="3">
        <f t="shared" ca="1" si="75"/>
        <v>3.9974623961019314E-2</v>
      </c>
      <c r="T65" s="3">
        <f t="shared" ca="1" si="75"/>
        <v>4.1865897829356194E-2</v>
      </c>
      <c r="U65" s="3">
        <f t="shared" ca="1" si="75"/>
        <v>4.2132622378204795E-2</v>
      </c>
      <c r="V65" s="3">
        <f t="shared" ca="1" si="75"/>
        <v>4.2775093634206007E-2</v>
      </c>
      <c r="W65" s="3">
        <f t="shared" ca="1" si="75"/>
        <v>4.5315303737024352E-2</v>
      </c>
      <c r="X65" s="3">
        <f t="shared" ca="1" si="75"/>
        <v>4.9802483611501372E-2</v>
      </c>
      <c r="Y65" s="3">
        <f t="shared" ca="1" si="75"/>
        <v>4.9622876784429629E-2</v>
      </c>
      <c r="Z65" s="3">
        <f t="shared" ca="1" si="75"/>
        <v>6.1996041050596543E-2</v>
      </c>
      <c r="AA65" s="3">
        <f t="shared" ca="1" si="75"/>
        <v>5.5800642611107495E-2</v>
      </c>
      <c r="AB65" s="3">
        <f t="shared" ref="AB65" ca="1" si="79">MIN(0.99,AB8+$O$3)</f>
        <v>7.1496902853881078E-2</v>
      </c>
      <c r="AC65" s="3">
        <f t="shared" ca="1" si="76"/>
        <v>6.0916897346559438E-2</v>
      </c>
      <c r="AD65" s="3">
        <f t="shared" ca="1" si="76"/>
        <v>7.9601783380544744E-2</v>
      </c>
      <c r="AE65" s="3">
        <f t="shared" ca="1" si="76"/>
        <v>6.6456434264770547E-2</v>
      </c>
      <c r="AF65" s="3">
        <f t="shared" ca="1" si="76"/>
        <v>8.9742438070994274E-2</v>
      </c>
      <c r="AG65" s="3">
        <f t="shared" ca="1" si="76"/>
        <v>7.1278311020651686E-2</v>
      </c>
      <c r="AH65" s="3">
        <f t="shared" ca="1" si="76"/>
        <v>0.11677941990015991</v>
      </c>
      <c r="AI65" s="3">
        <f t="shared" ca="1" si="76"/>
        <v>0.10124435529469408</v>
      </c>
      <c r="AJ65" s="3">
        <f t="shared" ca="1" si="76"/>
        <v>0.18452379099502633</v>
      </c>
    </row>
    <row r="66" spans="1:36" x14ac:dyDescent="0.35">
      <c r="A66" t="s">
        <v>77</v>
      </c>
      <c r="B66" t="s">
        <v>76</v>
      </c>
      <c r="C66" s="4" t="s">
        <v>65</v>
      </c>
      <c r="D66" s="3">
        <f t="shared" ca="1" si="77"/>
        <v>2.6954069971341969E-2</v>
      </c>
      <c r="E66" s="3">
        <f t="shared" ca="1" si="75"/>
        <v>2.7110136996108231E-2</v>
      </c>
      <c r="F66" s="3">
        <f t="shared" ca="1" si="75"/>
        <v>2.7948754508102226E-2</v>
      </c>
      <c r="G66" s="3">
        <f t="shared" ca="1" si="75"/>
        <v>2.9776429321561802E-2</v>
      </c>
      <c r="H66" s="3">
        <f t="shared" ca="1" si="75"/>
        <v>3.074933658033786E-2</v>
      </c>
      <c r="I66" s="3">
        <f t="shared" ca="1" si="75"/>
        <v>3.1355811040459265E-2</v>
      </c>
      <c r="J66" s="3">
        <f t="shared" ca="1" si="75"/>
        <v>3.3234537678672377E-2</v>
      </c>
      <c r="K66" s="3">
        <f t="shared" ca="1" si="75"/>
        <v>3.2444168350584786E-2</v>
      </c>
      <c r="L66" s="3">
        <f t="shared" ca="1" si="75"/>
        <v>3.4778581501296514E-2</v>
      </c>
      <c r="M66" s="3">
        <f t="shared" ca="1" si="75"/>
        <v>3.50020351664709E-2</v>
      </c>
      <c r="N66" s="3">
        <f t="shared" ca="1" si="75"/>
        <v>3.6588906878827612E-2</v>
      </c>
      <c r="O66" s="3">
        <f t="shared" ca="1" si="75"/>
        <v>3.6289181528543463E-2</v>
      </c>
      <c r="P66" s="3">
        <f t="shared" ca="1" si="75"/>
        <v>3.9942786634161953E-2</v>
      </c>
      <c r="Q66" s="3">
        <f t="shared" ca="1" si="75"/>
        <v>3.7657136824203588E-2</v>
      </c>
      <c r="R66" s="3">
        <f t="shared" ca="1" si="75"/>
        <v>4.159131947818847E-2</v>
      </c>
      <c r="S66" s="3">
        <f t="shared" ca="1" si="75"/>
        <v>4.0944868804001534E-2</v>
      </c>
      <c r="T66" s="3">
        <f t="shared" ca="1" si="75"/>
        <v>4.2800399583439903E-2</v>
      </c>
      <c r="U66" s="3">
        <f t="shared" ca="1" si="75"/>
        <v>4.3085726551751774E-2</v>
      </c>
      <c r="V66" s="3">
        <f t="shared" ca="1" si="75"/>
        <v>4.3687093194803704E-2</v>
      </c>
      <c r="W66" s="3">
        <f t="shared" ca="1" si="75"/>
        <v>4.6247994100138967E-2</v>
      </c>
      <c r="X66" s="3">
        <f t="shared" ca="1" si="75"/>
        <v>5.0716616327660398E-2</v>
      </c>
      <c r="Y66" s="3">
        <f t="shared" ca="1" si="75"/>
        <v>5.0587227003849183E-2</v>
      </c>
      <c r="Z66" s="3">
        <f t="shared" ca="1" si="75"/>
        <v>6.2920027957217115E-2</v>
      </c>
      <c r="AA66" s="3">
        <f t="shared" ca="1" si="75"/>
        <v>5.673610480839951E-2</v>
      </c>
      <c r="AB66" s="3">
        <f t="shared" ref="AB66" ca="1" si="80">MIN(0.99,AB9+$O$3)</f>
        <v>7.2490494768695707E-2</v>
      </c>
      <c r="AC66" s="3">
        <f t="shared" ca="1" si="76"/>
        <v>6.1872059943949488E-2</v>
      </c>
      <c r="AD66" s="3">
        <f t="shared" ca="1" si="76"/>
        <v>8.059857010574295E-2</v>
      </c>
      <c r="AE66" s="3">
        <f t="shared" ca="1" si="76"/>
        <v>6.7365763454489302E-2</v>
      </c>
      <c r="AF66" s="3">
        <f t="shared" ca="1" si="76"/>
        <v>9.0663120739429781E-2</v>
      </c>
      <c r="AG66" s="3">
        <f t="shared" ca="1" si="76"/>
        <v>7.2210434025078957E-2</v>
      </c>
      <c r="AH66" s="3">
        <f t="shared" ca="1" si="76"/>
        <v>0.11775532667284774</v>
      </c>
      <c r="AI66" s="3">
        <f t="shared" ca="1" si="76"/>
        <v>0.10219289026733988</v>
      </c>
      <c r="AJ66" s="3">
        <f t="shared" ca="1" si="76"/>
        <v>0.18543915012959736</v>
      </c>
    </row>
    <row r="67" spans="1:36" x14ac:dyDescent="0.35">
      <c r="A67" t="s">
        <v>77</v>
      </c>
      <c r="B67" t="s">
        <v>76</v>
      </c>
      <c r="C67" s="4" t="s">
        <v>66</v>
      </c>
      <c r="D67" s="3">
        <f t="shared" ca="1" si="77"/>
        <v>2.7940899862806502E-2</v>
      </c>
      <c r="E67" s="3">
        <f t="shared" ca="1" si="75"/>
        <v>2.8060829535502818E-2</v>
      </c>
      <c r="F67" s="3">
        <f t="shared" ca="1" si="75"/>
        <v>2.8879673214545733E-2</v>
      </c>
      <c r="G67" s="3">
        <f t="shared" ca="1" si="75"/>
        <v>3.0761796783720791E-2</v>
      </c>
      <c r="H67" s="3">
        <f t="shared" ca="1" si="75"/>
        <v>3.1726261079328896E-2</v>
      </c>
      <c r="I67" s="3">
        <f t="shared" ca="1" si="75"/>
        <v>3.2351324871094211E-2</v>
      </c>
      <c r="J67" s="3">
        <f t="shared" ca="1" si="75"/>
        <v>3.4172477837916729E-2</v>
      </c>
      <c r="K67" s="3">
        <f t="shared" ca="1" si="75"/>
        <v>3.3402495628977104E-2</v>
      </c>
      <c r="L67" s="3">
        <f t="shared" ca="1" si="75"/>
        <v>3.574496407745649E-2</v>
      </c>
      <c r="M67" s="3">
        <f t="shared" ca="1" si="75"/>
        <v>3.6001428202339009E-2</v>
      </c>
      <c r="N67" s="3">
        <f t="shared" ca="1" si="75"/>
        <v>3.7518915057852639E-2</v>
      </c>
      <c r="O67" s="3">
        <f t="shared" ca="1" si="75"/>
        <v>3.719168042625115E-2</v>
      </c>
      <c r="P67" s="3">
        <f t="shared" ca="1" si="75"/>
        <v>4.0857311795233844E-2</v>
      </c>
      <c r="Q67" s="3">
        <f t="shared" ca="1" si="75"/>
        <v>3.8576499024461808E-2</v>
      </c>
      <c r="R67" s="3">
        <f t="shared" ca="1" si="75"/>
        <v>4.2578529853583319E-2</v>
      </c>
      <c r="S67" s="3">
        <f t="shared" ca="1" si="75"/>
        <v>4.1894603800589708E-2</v>
      </c>
      <c r="T67" s="3">
        <f t="shared" ca="1" si="75"/>
        <v>4.3712655790225E-2</v>
      </c>
      <c r="U67" s="3">
        <f t="shared" ca="1" si="75"/>
        <v>4.4051990414317621E-2</v>
      </c>
      <c r="V67" s="3">
        <f t="shared" ca="1" si="75"/>
        <v>4.4666602015827339E-2</v>
      </c>
      <c r="W67" s="3">
        <f t="shared" ca="1" si="75"/>
        <v>4.7151863157419843E-2</v>
      </c>
      <c r="X67" s="3">
        <f t="shared" ca="1" si="75"/>
        <v>5.1703053406464548E-2</v>
      </c>
      <c r="Y67" s="3">
        <f t="shared" ca="1" si="75"/>
        <v>5.1539635815050916E-2</v>
      </c>
      <c r="Z67" s="3">
        <f t="shared" ca="1" si="75"/>
        <v>6.3834900619736887E-2</v>
      </c>
      <c r="AA67" s="3">
        <f t="shared" ca="1" si="75"/>
        <v>5.764038264340119E-2</v>
      </c>
      <c r="AB67" s="3">
        <f t="shared" ref="AB67" ca="1" si="81">MIN(0.99,AB10+$O$3)</f>
        <v>7.3391309932094861E-2</v>
      </c>
      <c r="AC67" s="3">
        <f t="shared" ca="1" si="76"/>
        <v>6.2820184770632267E-2</v>
      </c>
      <c r="AD67" s="3">
        <f t="shared" ca="1" si="76"/>
        <v>8.1576960101887766E-2</v>
      </c>
      <c r="AE67" s="3">
        <f t="shared" ca="1" si="76"/>
        <v>6.8353783483838831E-2</v>
      </c>
      <c r="AF67" s="3">
        <f t="shared" ca="1" si="76"/>
        <v>9.1643988169807789E-2</v>
      </c>
      <c r="AG67" s="3">
        <f t="shared" ca="1" si="76"/>
        <v>7.3158667078643103E-2</v>
      </c>
      <c r="AH67" s="3">
        <f t="shared" ca="1" si="76"/>
        <v>0.11870987418004295</v>
      </c>
      <c r="AI67" s="3">
        <f t="shared" ca="1" si="76"/>
        <v>0.103104090294839</v>
      </c>
      <c r="AJ67" s="3">
        <f t="shared" ca="1" si="76"/>
        <v>0.18641594329408309</v>
      </c>
    </row>
    <row r="68" spans="1:36" x14ac:dyDescent="0.35">
      <c r="A68" t="s">
        <v>77</v>
      </c>
      <c r="B68" t="s">
        <v>76</v>
      </c>
      <c r="C68" s="4">
        <v>3</v>
      </c>
      <c r="D68" s="3">
        <f t="shared" ca="1" si="77"/>
        <v>2.8887770777505276E-2</v>
      </c>
      <c r="E68" s="3">
        <f t="shared" ca="1" si="75"/>
        <v>2.904421829808719E-2</v>
      </c>
      <c r="F68" s="3">
        <f t="shared" ca="1" si="75"/>
        <v>2.9834722518521511E-2</v>
      </c>
      <c r="G68" s="3">
        <f t="shared" ca="1" si="75"/>
        <v>3.1681982053066798E-2</v>
      </c>
      <c r="H68" s="3">
        <f t="shared" ca="1" si="75"/>
        <v>3.268496690962313E-2</v>
      </c>
      <c r="I68" s="3">
        <f t="shared" ca="1" si="75"/>
        <v>3.3310749757280093E-2</v>
      </c>
      <c r="J68" s="3">
        <f t="shared" ca="1" si="75"/>
        <v>3.5157788933287915E-2</v>
      </c>
      <c r="K68" s="3">
        <f t="shared" ca="1" si="75"/>
        <v>3.4382771551394492E-2</v>
      </c>
      <c r="L68" s="3">
        <f t="shared" ca="1" si="75"/>
        <v>3.6669842556968375E-2</v>
      </c>
      <c r="M68" s="3">
        <f t="shared" ca="1" si="75"/>
        <v>3.6979525851252373E-2</v>
      </c>
      <c r="N68" s="3">
        <f t="shared" ca="1" si="75"/>
        <v>3.8440157318579207E-2</v>
      </c>
      <c r="O68" s="3">
        <f t="shared" ca="1" si="75"/>
        <v>3.8100323047467119E-2</v>
      </c>
      <c r="P68" s="3">
        <f t="shared" ca="1" si="75"/>
        <v>4.1781524616421872E-2</v>
      </c>
      <c r="Q68" s="3">
        <f t="shared" ca="1" si="75"/>
        <v>3.9510646585385112E-2</v>
      </c>
      <c r="R68" s="3">
        <f t="shared" ca="1" si="75"/>
        <v>4.3517304153261882E-2</v>
      </c>
      <c r="S68" s="3">
        <f t="shared" ca="1" si="75"/>
        <v>4.2865593929799314E-2</v>
      </c>
      <c r="T68" s="3">
        <f t="shared" ca="1" si="75"/>
        <v>4.46590026957095E-2</v>
      </c>
      <c r="U68" s="3">
        <f t="shared" ca="1" si="75"/>
        <v>4.4979118187346012E-2</v>
      </c>
      <c r="V68" s="3">
        <f t="shared" ca="1" si="75"/>
        <v>4.5610341685468375E-2</v>
      </c>
      <c r="W68" s="3">
        <f t="shared" ca="1" si="75"/>
        <v>4.8090880708737016E-2</v>
      </c>
      <c r="X68" s="3">
        <f t="shared" ca="1" si="75"/>
        <v>5.2660460334774201E-2</v>
      </c>
      <c r="Y68" s="3">
        <f t="shared" ca="1" si="75"/>
        <v>5.2499673950878734E-2</v>
      </c>
      <c r="Z68" s="3">
        <f t="shared" ca="1" si="75"/>
        <v>6.4831002965083595E-2</v>
      </c>
      <c r="AA68" s="3">
        <f t="shared" ca="1" si="75"/>
        <v>5.8587016771370959E-2</v>
      </c>
      <c r="AB68" s="3">
        <f t="shared" ref="AB68" ca="1" si="82">MIN(0.99,AB11+$O$3)</f>
        <v>7.4381057328910719E-2</v>
      </c>
      <c r="AC68" s="3">
        <f t="shared" ca="1" si="76"/>
        <v>6.3778784584749448E-2</v>
      </c>
      <c r="AD68" s="3">
        <f t="shared" ca="1" si="76"/>
        <v>8.2533992833571407E-2</v>
      </c>
      <c r="AE68" s="3">
        <f t="shared" ca="1" si="76"/>
        <v>6.93301878206498E-2</v>
      </c>
      <c r="AF68" s="3">
        <f t="shared" ca="1" si="76"/>
        <v>9.2580617085565503E-2</v>
      </c>
      <c r="AG68" s="3">
        <f t="shared" ca="1" si="76"/>
        <v>7.4091701692132972E-2</v>
      </c>
      <c r="AH68" s="3">
        <f t="shared" ca="1" si="76"/>
        <v>0.11968578564503185</v>
      </c>
      <c r="AI68" s="3">
        <f t="shared" ca="1" si="76"/>
        <v>0.10401996065402788</v>
      </c>
      <c r="AJ68" s="3">
        <f t="shared" ca="1" si="76"/>
        <v>0.18734749304180784</v>
      </c>
    </row>
    <row r="69" spans="1:36" x14ac:dyDescent="0.35">
      <c r="A69" t="s">
        <v>77</v>
      </c>
      <c r="B69" t="s">
        <v>76</v>
      </c>
      <c r="C69" s="4" t="s">
        <v>67</v>
      </c>
      <c r="D69" s="3">
        <f t="shared" ca="1" si="77"/>
        <v>2.9793320246782027E-2</v>
      </c>
      <c r="E69" s="3">
        <f t="shared" ca="1" si="75"/>
        <v>2.9992717845999866E-2</v>
      </c>
      <c r="F69" s="3">
        <f t="shared" ca="1" si="75"/>
        <v>3.0780284438381208E-2</v>
      </c>
      <c r="G69" s="3">
        <f t="shared" ca="1" si="75"/>
        <v>3.2680918048633385E-2</v>
      </c>
      <c r="H69" s="3">
        <f t="shared" ca="1" si="75"/>
        <v>3.3667933924075688E-2</v>
      </c>
      <c r="I69" s="3">
        <f t="shared" ca="1" si="75"/>
        <v>3.4277335313225674E-2</v>
      </c>
      <c r="J69" s="3">
        <f t="shared" ca="1" si="75"/>
        <v>3.6155216669435455E-2</v>
      </c>
      <c r="K69" s="3">
        <f t="shared" ca="1" si="75"/>
        <v>3.5364251068100892E-2</v>
      </c>
      <c r="L69" s="3">
        <f t="shared" ca="1" si="75"/>
        <v>3.7653668166451951E-2</v>
      </c>
      <c r="M69" s="3">
        <f t="shared" ca="1" si="75"/>
        <v>3.7890467353905152E-2</v>
      </c>
      <c r="N69" s="3">
        <f t="shared" ca="1" si="75"/>
        <v>3.9439097114423574E-2</v>
      </c>
      <c r="O69" s="3">
        <f t="shared" ca="1" si="75"/>
        <v>3.9067782470166262E-2</v>
      </c>
      <c r="P69" s="3">
        <f t="shared" ca="1" si="75"/>
        <v>4.2734426177822027E-2</v>
      </c>
      <c r="Q69" s="3">
        <f t="shared" ca="1" si="75"/>
        <v>4.0500932672616514E-2</v>
      </c>
      <c r="R69" s="3">
        <f t="shared" ca="1" si="75"/>
        <v>4.4453702223788666E-2</v>
      </c>
      <c r="S69" s="3">
        <f t="shared" ca="1" si="75"/>
        <v>4.379700687143126E-2</v>
      </c>
      <c r="T69" s="3">
        <f t="shared" ca="1" si="75"/>
        <v>4.5578868964832951E-2</v>
      </c>
      <c r="U69" s="3">
        <f t="shared" ca="1" si="75"/>
        <v>4.5954011895133748E-2</v>
      </c>
      <c r="V69" s="3">
        <f t="shared" ca="1" si="75"/>
        <v>4.6518822959543737E-2</v>
      </c>
      <c r="W69" s="3">
        <f t="shared" ca="1" si="75"/>
        <v>4.9079790125747091E-2</v>
      </c>
      <c r="X69" s="3">
        <f t="shared" ca="1" si="75"/>
        <v>5.3600135549229211E-2</v>
      </c>
      <c r="Y69" s="3">
        <f t="shared" ca="1" si="75"/>
        <v>5.3446631441001119E-2</v>
      </c>
      <c r="Z69" s="3">
        <f t="shared" ca="1" si="75"/>
        <v>6.5780444080212858E-2</v>
      </c>
      <c r="AA69" s="3">
        <f t="shared" ca="1" si="75"/>
        <v>5.9497018556339494E-2</v>
      </c>
      <c r="AB69" s="3">
        <f t="shared" ref="AB69" ca="1" si="83">MIN(0.99,AB12+$O$3)</f>
        <v>7.5361753001937565E-2</v>
      </c>
      <c r="AC69" s="3">
        <f t="shared" ca="1" si="76"/>
        <v>6.4718794988542452E-2</v>
      </c>
      <c r="AD69" s="3">
        <f t="shared" ca="1" si="76"/>
        <v>8.3524271696736208E-2</v>
      </c>
      <c r="AE69" s="3">
        <f t="shared" ca="1" si="76"/>
        <v>7.0283239914990941E-2</v>
      </c>
      <c r="AF69" s="3">
        <f t="shared" ca="1" si="76"/>
        <v>9.3539267146398514E-2</v>
      </c>
      <c r="AG69" s="3">
        <f t="shared" ca="1" si="76"/>
        <v>7.5070346964075885E-2</v>
      </c>
      <c r="AH69" s="3">
        <f t="shared" ca="1" si="76"/>
        <v>0.12064677503897431</v>
      </c>
      <c r="AI69" s="3">
        <f t="shared" ca="1" si="76"/>
        <v>0.10493086136708812</v>
      </c>
      <c r="AJ69" s="3">
        <f t="shared" ca="1" si="76"/>
        <v>0.18826608336829315</v>
      </c>
    </row>
    <row r="70" spans="1:36" x14ac:dyDescent="0.35">
      <c r="A70" t="s">
        <v>77</v>
      </c>
      <c r="B70" t="s">
        <v>76</v>
      </c>
      <c r="C70" s="4" t="s">
        <v>68</v>
      </c>
      <c r="D70" s="3">
        <f t="shared" ca="1" si="77"/>
        <v>3.0708431737973271E-2</v>
      </c>
      <c r="E70" s="3">
        <f t="shared" ca="1" si="75"/>
        <v>3.0914158858137055E-2</v>
      </c>
      <c r="F70" s="3">
        <f t="shared" ca="1" si="75"/>
        <v>3.1750633549250055E-2</v>
      </c>
      <c r="G70" s="3">
        <f t="shared" ca="1" si="75"/>
        <v>3.3613716964452187E-2</v>
      </c>
      <c r="H70" s="3">
        <f t="shared" ca="1" si="75"/>
        <v>3.4626299653767401E-2</v>
      </c>
      <c r="I70" s="3">
        <f t="shared" ca="1" si="75"/>
        <v>3.51929226097581E-2</v>
      </c>
      <c r="J70" s="3">
        <f t="shared" ca="1" si="75"/>
        <v>3.7095272017823498E-2</v>
      </c>
      <c r="K70" s="3">
        <f t="shared" ca="1" si="75"/>
        <v>3.6289609381358084E-2</v>
      </c>
      <c r="L70" s="3">
        <f t="shared" ca="1" si="75"/>
        <v>3.8626356707338591E-2</v>
      </c>
      <c r="M70" s="3">
        <f t="shared" ca="1" si="75"/>
        <v>3.8809470648564978E-2</v>
      </c>
      <c r="N70" s="3">
        <f t="shared" ca="1" si="75"/>
        <v>4.0391742812403639E-2</v>
      </c>
      <c r="O70" s="3">
        <f t="shared" ca="1" si="75"/>
        <v>3.9987951813989397E-2</v>
      </c>
      <c r="P70" s="3">
        <f t="shared" ca="1" si="75"/>
        <v>4.3638989119504104E-2</v>
      </c>
      <c r="Q70" s="3">
        <f t="shared" ca="1" si="75"/>
        <v>4.1423864833321299E-2</v>
      </c>
      <c r="R70" s="3">
        <f t="shared" ca="1" si="75"/>
        <v>4.5422912796594439E-2</v>
      </c>
      <c r="S70" s="3">
        <f t="shared" ca="1" si="75"/>
        <v>4.4786803166332295E-2</v>
      </c>
      <c r="T70" s="3">
        <f t="shared" ca="1" si="75"/>
        <v>4.652409227284883E-2</v>
      </c>
      <c r="U70" s="3">
        <f t="shared" ca="1" si="75"/>
        <v>4.6905242692745944E-2</v>
      </c>
      <c r="V70" s="3">
        <f t="shared" ca="1" si="75"/>
        <v>4.7518107876395002E-2</v>
      </c>
      <c r="W70" s="3">
        <f t="shared" ca="1" si="75"/>
        <v>4.99887756972206E-2</v>
      </c>
      <c r="X70" s="3">
        <f t="shared" ca="1" si="75"/>
        <v>5.4592495878250956E-2</v>
      </c>
      <c r="Y70" s="3">
        <f t="shared" ca="1" si="75"/>
        <v>5.4432444536015458E-2</v>
      </c>
      <c r="Z70" s="3">
        <f t="shared" ca="1" si="75"/>
        <v>6.6711747457911655E-2</v>
      </c>
      <c r="AA70" s="3">
        <f t="shared" ca="1" si="75"/>
        <v>6.0464118434743634E-2</v>
      </c>
      <c r="AB70" s="3">
        <f t="shared" ref="AB70" ca="1" si="84">MIN(0.99,AB13+$O$3)</f>
        <v>7.6345955475484006E-2</v>
      </c>
      <c r="AC70" s="3">
        <f t="shared" ca="1" si="76"/>
        <v>6.5694397160940887E-2</v>
      </c>
      <c r="AD70" s="3">
        <f t="shared" ca="1" si="76"/>
        <v>8.4518290758750753E-2</v>
      </c>
      <c r="AE70" s="3">
        <f t="shared" ca="1" si="76"/>
        <v>7.1256048595480181E-2</v>
      </c>
      <c r="AF70" s="3">
        <f t="shared" ca="1" si="76"/>
        <v>9.4501390339330138E-2</v>
      </c>
      <c r="AG70" s="3">
        <f t="shared" ca="1" si="76"/>
        <v>7.5972768810459723E-2</v>
      </c>
      <c r="AH70" s="3">
        <f t="shared" ca="1" si="76"/>
        <v>0.12161022933992999</v>
      </c>
      <c r="AI70" s="3">
        <f t="shared" ca="1" si="76"/>
        <v>0.10588693687200629</v>
      </c>
      <c r="AJ70" s="3">
        <f t="shared" ca="1" si="76"/>
        <v>0.18917444105908202</v>
      </c>
    </row>
    <row r="71" spans="1:36" x14ac:dyDescent="0.35">
      <c r="A71" t="s">
        <v>77</v>
      </c>
      <c r="B71" t="s">
        <v>76</v>
      </c>
      <c r="C71" s="4">
        <v>4</v>
      </c>
      <c r="D71" s="3">
        <f t="shared" ca="1" si="77"/>
        <v>3.1667710018277229E-2</v>
      </c>
      <c r="E71" s="3">
        <f t="shared" ca="1" si="75"/>
        <v>3.1913534346960128E-2</v>
      </c>
      <c r="F71" s="3">
        <f t="shared" ca="1" si="75"/>
        <v>3.2687261470318474E-2</v>
      </c>
      <c r="G71" s="3">
        <f t="shared" ca="1" si="75"/>
        <v>3.4590837431547963E-2</v>
      </c>
      <c r="H71" s="3">
        <f t="shared" ca="1" si="75"/>
        <v>3.5614074446901324E-2</v>
      </c>
      <c r="I71" s="3">
        <f t="shared" ca="1" si="75"/>
        <v>3.6173988161641912E-2</v>
      </c>
      <c r="J71" s="3">
        <f t="shared" ca="1" si="75"/>
        <v>3.8004839022599934E-2</v>
      </c>
      <c r="K71" s="3">
        <f t="shared" ca="1" si="75"/>
        <v>3.7285906576457889E-2</v>
      </c>
      <c r="L71" s="3">
        <f t="shared" ca="1" si="75"/>
        <v>3.9541807990204458E-2</v>
      </c>
      <c r="M71" s="3">
        <f t="shared" ca="1" si="75"/>
        <v>3.9803565576580317E-2</v>
      </c>
      <c r="N71" s="3">
        <f t="shared" ca="1" si="75"/>
        <v>4.1344309965267889E-2</v>
      </c>
      <c r="O71" s="3">
        <f t="shared" ca="1" si="75"/>
        <v>4.0928168871605809E-2</v>
      </c>
      <c r="P71" s="3">
        <f t="shared" ca="1" si="75"/>
        <v>4.458751742843399E-2</v>
      </c>
      <c r="Q71" s="3">
        <f t="shared" ca="1" si="75"/>
        <v>4.2384172015897052E-2</v>
      </c>
      <c r="R71" s="3">
        <f t="shared" ca="1" si="75"/>
        <v>4.6389367874658305E-2</v>
      </c>
      <c r="S71" s="3">
        <f t="shared" ca="1" si="75"/>
        <v>4.5751578555934161E-2</v>
      </c>
      <c r="T71" s="3">
        <f t="shared" ca="1" si="75"/>
        <v>4.7464714261268096E-2</v>
      </c>
      <c r="U71" s="3">
        <f t="shared" ca="1" si="75"/>
        <v>4.780812798681322E-2</v>
      </c>
      <c r="V71" s="3">
        <f t="shared" ca="1" si="75"/>
        <v>4.8516033601478034E-2</v>
      </c>
      <c r="W71" s="3">
        <f t="shared" ca="1" si="75"/>
        <v>5.0922501814760185E-2</v>
      </c>
      <c r="X71" s="3">
        <f t="shared" ca="1" si="75"/>
        <v>5.5543995423398884E-2</v>
      </c>
      <c r="Y71" s="3">
        <f t="shared" ca="1" si="75"/>
        <v>5.5392047842902047E-2</v>
      </c>
      <c r="Z71" s="3">
        <f t="shared" ca="1" si="75"/>
        <v>6.7705449436738785E-2</v>
      </c>
      <c r="AA71" s="3">
        <f t="shared" ca="1" si="75"/>
        <v>6.14275927558686E-2</v>
      </c>
      <c r="AB71" s="3">
        <f t="shared" ref="AB71" ca="1" si="85">MIN(0.99,AB14+$O$3)</f>
        <v>7.7310897289710773E-2</v>
      </c>
      <c r="AC71" s="3">
        <f t="shared" ca="1" si="76"/>
        <v>6.6689802367854989E-2</v>
      </c>
      <c r="AD71" s="3">
        <f t="shared" ca="1" si="76"/>
        <v>8.5478755302205583E-2</v>
      </c>
      <c r="AE71" s="3">
        <f t="shared" ca="1" si="76"/>
        <v>7.2158401286225804E-2</v>
      </c>
      <c r="AF71" s="3">
        <f t="shared" ca="1" si="76"/>
        <v>9.5451511318269011E-2</v>
      </c>
      <c r="AG71" s="3">
        <f t="shared" ca="1" si="76"/>
        <v>7.6933855808909699E-2</v>
      </c>
      <c r="AH71" s="3">
        <f t="shared" ca="1" si="76"/>
        <v>0.12255755726151424</v>
      </c>
      <c r="AI71" s="3">
        <f t="shared" ca="1" si="76"/>
        <v>0.10688672293547447</v>
      </c>
      <c r="AJ71" s="3">
        <f t="shared" ca="1" si="76"/>
        <v>0.1900752177309564</v>
      </c>
    </row>
    <row r="72" spans="1:36" x14ac:dyDescent="0.35">
      <c r="A72" t="s">
        <v>77</v>
      </c>
      <c r="B72" t="s">
        <v>76</v>
      </c>
      <c r="C72" s="4" t="s">
        <v>69</v>
      </c>
      <c r="D72" s="3">
        <f t="shared" ca="1" si="77"/>
        <v>3.2584194710762363E-2</v>
      </c>
      <c r="E72" s="3">
        <f t="shared" ca="1" si="75"/>
        <v>3.2849201397244447E-2</v>
      </c>
      <c r="F72" s="3">
        <f t="shared" ca="1" si="75"/>
        <v>3.3626829121369606E-2</v>
      </c>
      <c r="G72" s="3">
        <f t="shared" ca="1" si="75"/>
        <v>3.5558847639654834E-2</v>
      </c>
      <c r="H72" s="3">
        <f t="shared" ca="1" si="75"/>
        <v>3.6581648252572305E-2</v>
      </c>
      <c r="I72" s="3">
        <f t="shared" ca="1" si="75"/>
        <v>3.7121003460088092E-2</v>
      </c>
      <c r="J72" s="3">
        <f t="shared" ca="1" si="75"/>
        <v>3.8968389396059164E-2</v>
      </c>
      <c r="K72" s="3">
        <f t="shared" ca="1" si="75"/>
        <v>3.8282601822707991E-2</v>
      </c>
      <c r="L72" s="3">
        <f t="shared" ca="1" si="75"/>
        <v>4.0528125036651055E-2</v>
      </c>
      <c r="M72" s="3">
        <f t="shared" ca="1" si="75"/>
        <v>4.075297292876711E-2</v>
      </c>
      <c r="N72" s="3">
        <f t="shared" ca="1" si="75"/>
        <v>4.2274698007103068E-2</v>
      </c>
      <c r="O72" s="3">
        <f t="shared" ca="1" si="75"/>
        <v>4.1867015017448383E-2</v>
      </c>
      <c r="P72" s="3">
        <f t="shared" ca="1" si="75"/>
        <v>4.5537198093096656E-2</v>
      </c>
      <c r="Q72" s="3">
        <f t="shared" ca="1" si="75"/>
        <v>4.3334874162220746E-2</v>
      </c>
      <c r="R72" s="3">
        <f t="shared" ca="1" si="75"/>
        <v>4.7372598653691506E-2</v>
      </c>
      <c r="S72" s="3">
        <f t="shared" ca="1" si="75"/>
        <v>4.6706846782769804E-2</v>
      </c>
      <c r="T72" s="3">
        <f t="shared" ca="1" si="75"/>
        <v>4.8419041456490453E-2</v>
      </c>
      <c r="U72" s="3">
        <f t="shared" ca="1" si="75"/>
        <v>4.8734398693723091E-2</v>
      </c>
      <c r="V72" s="3">
        <f t="shared" ca="1" si="75"/>
        <v>4.9512421748922009E-2</v>
      </c>
      <c r="W72" s="3">
        <f t="shared" ca="1" si="75"/>
        <v>5.188628289796008E-2</v>
      </c>
      <c r="X72" s="3">
        <f t="shared" ca="1" si="75"/>
        <v>5.64854025744638E-2</v>
      </c>
      <c r="Y72" s="3">
        <f t="shared" ca="1" si="75"/>
        <v>5.6319198919238013E-2</v>
      </c>
      <c r="Z72" s="3">
        <f t="shared" ca="1" si="75"/>
        <v>6.8679182807404454E-2</v>
      </c>
      <c r="AA72" s="3">
        <f t="shared" ca="1" si="75"/>
        <v>6.2356001933157705E-2</v>
      </c>
      <c r="AB72" s="3">
        <f t="shared" ref="AB72" ca="1" si="86">MIN(0.99,AB15+$O$3)</f>
        <v>7.8301583185981849E-2</v>
      </c>
      <c r="AC72" s="3">
        <f t="shared" ca="1" si="76"/>
        <v>6.763527290859267E-2</v>
      </c>
      <c r="AD72" s="3">
        <f t="shared" ca="1" si="76"/>
        <v>8.6445138765231438E-2</v>
      </c>
      <c r="AE72" s="3">
        <f t="shared" ca="1" si="76"/>
        <v>7.3118769335408396E-2</v>
      </c>
      <c r="AF72" s="3">
        <f t="shared" ca="1" si="76"/>
        <v>9.6448129820980777E-2</v>
      </c>
      <c r="AG72" s="3">
        <f t="shared" ca="1" si="76"/>
        <v>7.7902818959252135E-2</v>
      </c>
      <c r="AH72" s="3">
        <f t="shared" ca="1" si="76"/>
        <v>0.12345765390513774</v>
      </c>
      <c r="AI72" s="3">
        <f t="shared" ca="1" si="76"/>
        <v>0.10786872988269336</v>
      </c>
      <c r="AJ72" s="3">
        <f t="shared" ca="1" si="76"/>
        <v>0.19097915607839866</v>
      </c>
    </row>
    <row r="73" spans="1:36" x14ac:dyDescent="0.35">
      <c r="A73" t="s">
        <v>77</v>
      </c>
      <c r="B73" t="s">
        <v>76</v>
      </c>
      <c r="C73" s="4" t="s">
        <v>70</v>
      </c>
      <c r="D73" s="3">
        <f t="shared" ca="1" si="77"/>
        <v>3.3523112061350682E-2</v>
      </c>
      <c r="E73" s="3">
        <f t="shared" ca="1" si="75"/>
        <v>3.3816882642038963E-2</v>
      </c>
      <c r="F73" s="3">
        <f t="shared" ca="1" si="75"/>
        <v>3.4599630135323731E-2</v>
      </c>
      <c r="G73" s="3">
        <f t="shared" ca="1" si="75"/>
        <v>3.6553263184614944E-2</v>
      </c>
      <c r="H73" s="3">
        <f t="shared" ca="1" si="75"/>
        <v>3.7482467910668463E-2</v>
      </c>
      <c r="I73" s="3">
        <f t="shared" ca="1" si="75"/>
        <v>3.8038911721264779E-2</v>
      </c>
      <c r="J73" s="3">
        <f t="shared" ca="1" si="75"/>
        <v>3.989936050758168E-2</v>
      </c>
      <c r="K73" s="3">
        <f t="shared" ca="1" si="75"/>
        <v>3.9208539089533298E-2</v>
      </c>
      <c r="L73" s="3">
        <f t="shared" ca="1" si="75"/>
        <v>4.1483431198743273E-2</v>
      </c>
      <c r="M73" s="3">
        <f t="shared" ca="1" si="75"/>
        <v>4.173807497410232E-2</v>
      </c>
      <c r="N73" s="3">
        <f t="shared" ca="1" si="75"/>
        <v>4.326370171331783E-2</v>
      </c>
      <c r="O73" s="3">
        <f t="shared" ca="1" si="75"/>
        <v>4.2775425950075788E-2</v>
      </c>
      <c r="P73" s="3">
        <f t="shared" ca="1" si="75"/>
        <v>4.649108363996339E-2</v>
      </c>
      <c r="Q73" s="3">
        <f t="shared" ca="1" si="75"/>
        <v>4.4319204983845936E-2</v>
      </c>
      <c r="R73" s="3">
        <f t="shared" ca="1" si="75"/>
        <v>4.8307908545845255E-2</v>
      </c>
      <c r="S73" s="3">
        <f t="shared" ca="1" si="75"/>
        <v>4.7644330597377861E-2</v>
      </c>
      <c r="T73" s="3">
        <f t="shared" ca="1" si="75"/>
        <v>4.9413589174759839E-2</v>
      </c>
      <c r="U73" s="3">
        <f t="shared" ca="1" si="75"/>
        <v>4.9724282230919667E-2</v>
      </c>
      <c r="V73" s="3">
        <f t="shared" ca="1" si="75"/>
        <v>5.0495899234573531E-2</v>
      </c>
      <c r="W73" s="3">
        <f t="shared" ca="1" si="75"/>
        <v>5.2824362858411231E-2</v>
      </c>
      <c r="X73" s="3">
        <f t="shared" ca="1" si="75"/>
        <v>5.7394770239329602E-2</v>
      </c>
      <c r="Y73" s="3">
        <f t="shared" ca="1" si="75"/>
        <v>5.7232931345332132E-2</v>
      </c>
      <c r="Z73" s="3">
        <f t="shared" ca="1" si="75"/>
        <v>6.9645068465414933E-2</v>
      </c>
      <c r="AA73" s="3">
        <f t="shared" ca="1" si="75"/>
        <v>6.3337076730445058E-2</v>
      </c>
      <c r="AB73" s="3">
        <f t="shared" ref="AB73" ca="1" si="87">MIN(0.99,AB16+$O$3)</f>
        <v>7.9258669423476161E-2</v>
      </c>
      <c r="AC73" s="3">
        <f t="shared" ca="1" si="76"/>
        <v>6.8580582467148141E-2</v>
      </c>
      <c r="AD73" s="3">
        <f t="shared" ca="1" si="76"/>
        <v>8.7352392710119936E-2</v>
      </c>
      <c r="AE73" s="3">
        <f t="shared" ca="1" si="76"/>
        <v>7.4024271440943645E-2</v>
      </c>
      <c r="AF73" s="3">
        <f t="shared" ca="1" si="76"/>
        <v>9.739128956365814E-2</v>
      </c>
      <c r="AG73" s="3">
        <f t="shared" ca="1" si="76"/>
        <v>7.8815575790499165E-2</v>
      </c>
      <c r="AH73" s="3">
        <f t="shared" ca="1" si="76"/>
        <v>0.12438236159914148</v>
      </c>
      <c r="AI73" s="3">
        <f t="shared" ca="1" si="76"/>
        <v>0.10881448797878907</v>
      </c>
      <c r="AJ73" s="3">
        <f t="shared" ca="1" si="76"/>
        <v>0.19191369937451086</v>
      </c>
    </row>
    <row r="74" spans="1:36" x14ac:dyDescent="0.35">
      <c r="A74" t="s">
        <v>77</v>
      </c>
      <c r="B74" t="s">
        <v>76</v>
      </c>
      <c r="C74" s="4">
        <v>5</v>
      </c>
      <c r="D74" s="3">
        <f t="shared" ca="1" si="77"/>
        <v>3.4492190711387261E-2</v>
      </c>
      <c r="E74" s="3">
        <f t="shared" ca="1" si="75"/>
        <v>3.47578297816915E-2</v>
      </c>
      <c r="F74" s="3">
        <f t="shared" ca="1" si="75"/>
        <v>3.5535935912396441E-2</v>
      </c>
      <c r="G74" s="3">
        <f t="shared" ca="1" si="75"/>
        <v>3.7548794499744111E-2</v>
      </c>
      <c r="H74" s="3">
        <f t="shared" ca="1" si="75"/>
        <v>3.8452822905508603E-2</v>
      </c>
      <c r="I74" s="3">
        <f t="shared" ca="1" si="75"/>
        <v>3.8975220516922093E-2</v>
      </c>
      <c r="J74" s="3">
        <f t="shared" ca="1" si="75"/>
        <v>4.0827210669389387E-2</v>
      </c>
      <c r="K74" s="3">
        <f t="shared" ca="1" si="75"/>
        <v>4.0196292521258933E-2</v>
      </c>
      <c r="L74" s="3">
        <f t="shared" ca="1" si="75"/>
        <v>4.2386328314593449E-2</v>
      </c>
      <c r="M74" s="3">
        <f t="shared" ca="1" si="75"/>
        <v>4.2683003004481357E-2</v>
      </c>
      <c r="N74" s="3">
        <f t="shared" ca="1" si="75"/>
        <v>4.4263515245693996E-2</v>
      </c>
      <c r="O74" s="3">
        <f t="shared" ca="1" si="75"/>
        <v>4.3758951880278757E-2</v>
      </c>
      <c r="P74" s="3">
        <f t="shared" ca="1" si="75"/>
        <v>4.7469748278415616E-2</v>
      </c>
      <c r="Q74" s="3">
        <f t="shared" ca="1" si="75"/>
        <v>4.5314213924002776E-2</v>
      </c>
      <c r="R74" s="3">
        <f t="shared" ca="1" si="75"/>
        <v>4.9262879475122826E-2</v>
      </c>
      <c r="S74" s="3">
        <f t="shared" ca="1" si="75"/>
        <v>4.8589166453362892E-2</v>
      </c>
      <c r="T74" s="3">
        <f t="shared" ca="1" si="75"/>
        <v>5.036710555438477E-2</v>
      </c>
      <c r="U74" s="3">
        <f t="shared" ca="1" si="75"/>
        <v>5.0719100639236583E-2</v>
      </c>
      <c r="V74" s="3">
        <f t="shared" ref="E74:AA85" ca="1" si="88">MIN(0.99,V17+$O$3)</f>
        <v>5.1425901175665423E-2</v>
      </c>
      <c r="W74" s="3">
        <f t="shared" ca="1" si="88"/>
        <v>5.3822284727731325E-2</v>
      </c>
      <c r="X74" s="3">
        <f t="shared" ca="1" si="88"/>
        <v>5.8342390612073129E-2</v>
      </c>
      <c r="Y74" s="3">
        <f t="shared" ca="1" si="88"/>
        <v>5.8134115882922929E-2</v>
      </c>
      <c r="Z74" s="3">
        <f t="shared" ca="1" si="88"/>
        <v>7.0580327123027614E-2</v>
      </c>
      <c r="AA74" s="3">
        <f t="shared" ca="1" si="88"/>
        <v>6.4303936951549373E-2</v>
      </c>
      <c r="AB74" s="3">
        <f t="shared" ref="AB74" ca="1" si="89">MIN(0.99,AB17+$O$3)</f>
        <v>8.0244664619405326E-2</v>
      </c>
      <c r="AC74" s="3">
        <f t="shared" ca="1" si="76"/>
        <v>6.9512824361098277E-2</v>
      </c>
      <c r="AD74" s="3">
        <f t="shared" ca="1" si="76"/>
        <v>8.8333139568749414E-2</v>
      </c>
      <c r="AE74" s="3">
        <f t="shared" ca="1" si="76"/>
        <v>7.5013341785540866E-2</v>
      </c>
      <c r="AF74" s="3">
        <f t="shared" ca="1" si="76"/>
        <v>9.8308349184547783E-2</v>
      </c>
      <c r="AG74" s="3">
        <f t="shared" ca="1" si="76"/>
        <v>7.9795013893240216E-2</v>
      </c>
      <c r="AH74" s="3">
        <f t="shared" ca="1" si="76"/>
        <v>0.12529886226862744</v>
      </c>
      <c r="AI74" s="3">
        <f t="shared" ca="1" si="76"/>
        <v>0.10971999089498677</v>
      </c>
      <c r="AJ74" s="3">
        <f t="shared" ca="1" si="76"/>
        <v>0.19288647927439453</v>
      </c>
    </row>
    <row r="75" spans="1:36" x14ac:dyDescent="0.35">
      <c r="A75" t="s">
        <v>77</v>
      </c>
      <c r="B75" t="s">
        <v>76</v>
      </c>
      <c r="C75" s="4" t="s">
        <v>71</v>
      </c>
      <c r="D75" s="3">
        <f t="shared" ca="1" si="77"/>
        <v>3.5484454900301318E-2</v>
      </c>
      <c r="E75" s="3">
        <f t="shared" ca="1" si="88"/>
        <v>3.5686051836511551E-2</v>
      </c>
      <c r="F75" s="3">
        <f t="shared" ca="1" si="88"/>
        <v>3.647826047311685E-2</v>
      </c>
      <c r="G75" s="3">
        <f t="shared" ca="1" si="88"/>
        <v>3.8489371479568386E-2</v>
      </c>
      <c r="H75" s="3">
        <f t="shared" ca="1" si="88"/>
        <v>3.9362343993236723E-2</v>
      </c>
      <c r="I75" s="3">
        <f t="shared" ca="1" si="88"/>
        <v>3.9911255881639518E-2</v>
      </c>
      <c r="J75" s="3">
        <f t="shared" ca="1" si="88"/>
        <v>4.1777221799076565E-2</v>
      </c>
      <c r="K75" s="3">
        <f t="shared" ca="1" si="88"/>
        <v>4.1152562866536735E-2</v>
      </c>
      <c r="L75" s="3">
        <f t="shared" ca="1" si="88"/>
        <v>4.3377989724146693E-2</v>
      </c>
      <c r="M75" s="3">
        <f t="shared" ca="1" si="88"/>
        <v>4.3663672245828178E-2</v>
      </c>
      <c r="N75" s="3">
        <f t="shared" ca="1" si="88"/>
        <v>4.5257238766008401E-2</v>
      </c>
      <c r="O75" s="3">
        <f t="shared" ca="1" si="88"/>
        <v>4.4707783696861458E-2</v>
      </c>
      <c r="P75" s="3">
        <f t="shared" ca="1" si="88"/>
        <v>4.8381512587715808E-2</v>
      </c>
      <c r="Q75" s="3">
        <f t="shared" ca="1" si="88"/>
        <v>4.6273755738102926E-2</v>
      </c>
      <c r="R75" s="3">
        <f t="shared" ca="1" si="88"/>
        <v>5.0224006454352273E-2</v>
      </c>
      <c r="S75" s="3">
        <f t="shared" ca="1" si="88"/>
        <v>4.9554680141082899E-2</v>
      </c>
      <c r="T75" s="3">
        <f t="shared" ca="1" si="88"/>
        <v>5.128080337311651E-2</v>
      </c>
      <c r="U75" s="3">
        <f t="shared" ca="1" si="88"/>
        <v>5.1647362019711401E-2</v>
      </c>
      <c r="V75" s="3">
        <f t="shared" ca="1" si="88"/>
        <v>5.2391946009736165E-2</v>
      </c>
      <c r="W75" s="3">
        <f t="shared" ca="1" si="88"/>
        <v>5.4821584433293755E-2</v>
      </c>
      <c r="X75" s="3">
        <f t="shared" ca="1" si="88"/>
        <v>5.9299206174396268E-2</v>
      </c>
      <c r="Y75" s="3">
        <f t="shared" ca="1" si="88"/>
        <v>5.9077544099665154E-2</v>
      </c>
      <c r="Z75" s="3">
        <f t="shared" ca="1" si="88"/>
        <v>7.1552309449170653E-2</v>
      </c>
      <c r="AA75" s="3">
        <f t="shared" ca="1" si="88"/>
        <v>6.5292686553740695E-2</v>
      </c>
      <c r="AB75" s="3">
        <f t="shared" ref="AB75" ca="1" si="90">MIN(0.99,AB18+$O$3)</f>
        <v>8.1174241081540671E-2</v>
      </c>
      <c r="AC75" s="3">
        <f t="shared" ca="1" si="76"/>
        <v>7.0414869977706046E-2</v>
      </c>
      <c r="AD75" s="3">
        <f t="shared" ca="1" si="76"/>
        <v>8.9244362191161691E-2</v>
      </c>
      <c r="AE75" s="3">
        <f t="shared" ca="1" si="76"/>
        <v>7.5963008350562536E-2</v>
      </c>
      <c r="AF75" s="3">
        <f t="shared" ca="1" si="76"/>
        <v>9.9271686897043437E-2</v>
      </c>
      <c r="AG75" s="3">
        <f t="shared" ca="1" si="76"/>
        <v>8.0747341133391548E-2</v>
      </c>
      <c r="AH75" s="3">
        <f t="shared" ca="1" si="76"/>
        <v>0.12623751749255069</v>
      </c>
      <c r="AI75" s="3">
        <f t="shared" ca="1" si="76"/>
        <v>0.11071464727072081</v>
      </c>
      <c r="AJ75" s="3">
        <f t="shared" ca="1" si="76"/>
        <v>0.19388108553655042</v>
      </c>
    </row>
    <row r="76" spans="1:36" x14ac:dyDescent="0.35">
      <c r="A76" t="s">
        <v>77</v>
      </c>
      <c r="B76" t="s">
        <v>76</v>
      </c>
      <c r="C76" s="4" t="s">
        <v>72</v>
      </c>
      <c r="D76" s="3">
        <f t="shared" ca="1" si="77"/>
        <v>3.6438939243967912E-2</v>
      </c>
      <c r="E76" s="3">
        <f t="shared" ca="1" si="88"/>
        <v>3.6644712168429974E-2</v>
      </c>
      <c r="F76" s="3">
        <f t="shared" ca="1" si="88"/>
        <v>3.7415597778274204E-2</v>
      </c>
      <c r="G76" s="3">
        <f t="shared" ca="1" si="88"/>
        <v>3.9473693954814003E-2</v>
      </c>
      <c r="H76" s="3">
        <f t="shared" ca="1" si="88"/>
        <v>4.0352076935953295E-2</v>
      </c>
      <c r="I76" s="3">
        <f t="shared" ca="1" si="88"/>
        <v>4.0847010510658352E-2</v>
      </c>
      <c r="J76" s="3">
        <f t="shared" ca="1" si="88"/>
        <v>4.2767276567622262E-2</v>
      </c>
      <c r="K76" s="3">
        <f t="shared" ca="1" si="88"/>
        <v>4.2072023986234094E-2</v>
      </c>
      <c r="L76" s="3">
        <f t="shared" ca="1" si="88"/>
        <v>4.4328679218008815E-2</v>
      </c>
      <c r="M76" s="3">
        <f t="shared" ca="1" si="88"/>
        <v>4.4636657786686226E-2</v>
      </c>
      <c r="N76" s="3">
        <f t="shared" ca="1" si="88"/>
        <v>4.6235393058275912E-2</v>
      </c>
      <c r="O76" s="3">
        <f t="shared" ca="1" si="88"/>
        <v>4.5693052747464928E-2</v>
      </c>
      <c r="P76" s="3">
        <f t="shared" ca="1" si="88"/>
        <v>4.9353375629964974E-2</v>
      </c>
      <c r="Q76" s="3">
        <f t="shared" ca="1" si="88"/>
        <v>4.7179666982170909E-2</v>
      </c>
      <c r="R76" s="3">
        <f t="shared" ca="1" si="88"/>
        <v>5.1157258198657449E-2</v>
      </c>
      <c r="S76" s="3">
        <f t="shared" ca="1" si="88"/>
        <v>5.0501915946190426E-2</v>
      </c>
      <c r="T76" s="3">
        <f t="shared" ca="1" si="88"/>
        <v>5.2280352248944881E-2</v>
      </c>
      <c r="U76" s="3">
        <f t="shared" ca="1" si="88"/>
        <v>5.2595759629499347E-2</v>
      </c>
      <c r="V76" s="3">
        <f t="shared" ca="1" si="88"/>
        <v>5.331978812370243E-2</v>
      </c>
      <c r="W76" s="3">
        <f t="shared" ca="1" si="88"/>
        <v>5.5811262402210758E-2</v>
      </c>
      <c r="X76" s="3">
        <f t="shared" ca="1" si="88"/>
        <v>6.0237038666692888E-2</v>
      </c>
      <c r="Y76" s="3">
        <f t="shared" ca="1" si="88"/>
        <v>6.0074734196958246E-2</v>
      </c>
      <c r="Z76" s="3">
        <f t="shared" ca="1" si="88"/>
        <v>7.2477911135174711E-2</v>
      </c>
      <c r="AA76" s="3">
        <f t="shared" ca="1" si="88"/>
        <v>6.627477126710847E-2</v>
      </c>
      <c r="AB76" s="3">
        <f t="shared" ref="AB76" ca="1" si="91">MIN(0.99,AB19+$O$3)</f>
        <v>8.2117932869385318E-2</v>
      </c>
      <c r="AC76" s="3">
        <f t="shared" ca="1" si="76"/>
        <v>7.1414404917709978E-2</v>
      </c>
      <c r="AD76" s="3">
        <f t="shared" ca="1" si="76"/>
        <v>9.0209359896021801E-2</v>
      </c>
      <c r="AE76" s="3">
        <f t="shared" ca="1" si="76"/>
        <v>7.693261243305477E-2</v>
      </c>
      <c r="AF76" s="3">
        <f t="shared" ca="1" si="76"/>
        <v>0.10024633726245408</v>
      </c>
      <c r="AG76" s="3">
        <f t="shared" ca="1" si="76"/>
        <v>8.1701428021291711E-2</v>
      </c>
      <c r="AH76" s="3">
        <f t="shared" ca="1" si="76"/>
        <v>0.12714310721984884</v>
      </c>
      <c r="AI76" s="3">
        <f t="shared" ca="1" si="76"/>
        <v>0.11166223769231953</v>
      </c>
      <c r="AJ76" s="3">
        <f t="shared" ca="1" si="76"/>
        <v>0.1948365499943</v>
      </c>
    </row>
    <row r="77" spans="1:36" x14ac:dyDescent="0.35">
      <c r="A77" t="s">
        <v>77</v>
      </c>
      <c r="B77" t="s">
        <v>76</v>
      </c>
      <c r="C77" s="4">
        <v>6</v>
      </c>
      <c r="D77" s="3">
        <f t="shared" ca="1" si="77"/>
        <v>3.7412748521250434E-2</v>
      </c>
      <c r="E77" s="3">
        <f t="shared" ca="1" si="88"/>
        <v>3.7563121751142181E-2</v>
      </c>
      <c r="F77" s="3">
        <f t="shared" ca="1" si="88"/>
        <v>3.8345193633923129E-2</v>
      </c>
      <c r="G77" s="3">
        <f t="shared" ca="1" si="88"/>
        <v>4.0422006573476832E-2</v>
      </c>
      <c r="H77" s="3">
        <f t="shared" ca="1" si="88"/>
        <v>4.1268702262347953E-2</v>
      </c>
      <c r="I77" s="3">
        <f t="shared" ca="1" si="88"/>
        <v>4.1770235805852443E-2</v>
      </c>
      <c r="J77" s="3">
        <f t="shared" ca="1" si="88"/>
        <v>4.3671972122494976E-2</v>
      </c>
      <c r="K77" s="3">
        <f t="shared" ca="1" si="88"/>
        <v>4.3007063927246444E-2</v>
      </c>
      <c r="L77" s="3">
        <f t="shared" ca="1" si="88"/>
        <v>4.5271303248341985E-2</v>
      </c>
      <c r="M77" s="3">
        <f t="shared" ca="1" si="88"/>
        <v>4.5610365876717657E-2</v>
      </c>
      <c r="N77" s="3">
        <f t="shared" ca="1" si="88"/>
        <v>4.7203749435113657E-2</v>
      </c>
      <c r="O77" s="3">
        <f t="shared" ca="1" si="88"/>
        <v>4.6691439995021719E-2</v>
      </c>
      <c r="P77" s="3">
        <f t="shared" ca="1" si="88"/>
        <v>5.0270604251097722E-2</v>
      </c>
      <c r="Q77" s="3">
        <f t="shared" ca="1" si="88"/>
        <v>4.8179408448813445E-2</v>
      </c>
      <c r="R77" s="3">
        <f t="shared" ca="1" si="88"/>
        <v>5.2142369741630029E-2</v>
      </c>
      <c r="S77" s="3">
        <f t="shared" ca="1" si="88"/>
        <v>5.1466851635476575E-2</v>
      </c>
      <c r="T77" s="3">
        <f t="shared" ca="1" si="88"/>
        <v>5.3269073544278706E-2</v>
      </c>
      <c r="U77" s="3">
        <f t="shared" ca="1" si="88"/>
        <v>5.3571096995211537E-2</v>
      </c>
      <c r="V77" s="3">
        <f t="shared" ca="1" si="88"/>
        <v>5.4289308142138885E-2</v>
      </c>
      <c r="W77" s="3">
        <f t="shared" ca="1" si="88"/>
        <v>5.6804533323171105E-2</v>
      </c>
      <c r="X77" s="3">
        <f t="shared" ca="1" si="88"/>
        <v>6.1229769125465378E-2</v>
      </c>
      <c r="Y77" s="3">
        <f t="shared" ca="1" si="88"/>
        <v>6.1001000442242957E-2</v>
      </c>
      <c r="Z77" s="3">
        <f t="shared" ca="1" si="88"/>
        <v>7.3427924377241965E-2</v>
      </c>
      <c r="AA77" s="3">
        <f t="shared" ca="1" si="88"/>
        <v>6.7250966004294893E-2</v>
      </c>
      <c r="AB77" s="3">
        <f t="shared" ref="AB77" ca="1" si="92">MIN(0.99,AB20+$O$3)</f>
        <v>8.305396633509976E-2</v>
      </c>
      <c r="AC77" s="3">
        <f t="shared" ca="1" si="76"/>
        <v>7.2388499773208659E-2</v>
      </c>
      <c r="AD77" s="3">
        <f t="shared" ca="1" si="76"/>
        <v>9.115543148701527E-2</v>
      </c>
      <c r="AE77" s="3">
        <f t="shared" ca="1" si="76"/>
        <v>7.7920315427896972E-2</v>
      </c>
      <c r="AF77" s="3">
        <f t="shared" ca="1" si="76"/>
        <v>0.10121370873309576</v>
      </c>
      <c r="AG77" s="3">
        <f t="shared" ca="1" si="76"/>
        <v>8.2606942220334975E-2</v>
      </c>
      <c r="AH77" s="3">
        <f t="shared" ca="1" si="76"/>
        <v>0.12813563349026996</v>
      </c>
      <c r="AI77" s="3">
        <f t="shared" ca="1" si="76"/>
        <v>0.1126295919522802</v>
      </c>
      <c r="AJ77" s="3">
        <f t="shared" ca="1" si="76"/>
        <v>0.19578064281299037</v>
      </c>
    </row>
    <row r="78" spans="1:36" x14ac:dyDescent="0.35">
      <c r="A78" t="s">
        <v>77</v>
      </c>
      <c r="B78" t="s">
        <v>76</v>
      </c>
      <c r="C78" s="4" t="s">
        <v>73</v>
      </c>
      <c r="D78" s="3">
        <f t="shared" ca="1" si="77"/>
        <v>3.8405762019646156E-2</v>
      </c>
      <c r="E78" s="3">
        <f t="shared" ca="1" si="88"/>
        <v>3.8557962367549256E-2</v>
      </c>
      <c r="F78" s="3">
        <f t="shared" ca="1" si="88"/>
        <v>3.9285233794687374E-2</v>
      </c>
      <c r="G78" s="3">
        <f t="shared" ca="1" si="88"/>
        <v>4.1323191021016212E-2</v>
      </c>
      <c r="H78" s="3">
        <f t="shared" ca="1" si="88"/>
        <v>4.2190680806712892E-2</v>
      </c>
      <c r="I78" s="3">
        <f t="shared" ca="1" si="88"/>
        <v>4.2721160579388559E-2</v>
      </c>
      <c r="J78" s="3">
        <f t="shared" ca="1" si="88"/>
        <v>4.4662093301223359E-2</v>
      </c>
      <c r="K78" s="3">
        <f t="shared" ca="1" si="88"/>
        <v>4.3907845358551037E-2</v>
      </c>
      <c r="L78" s="3">
        <f t="shared" ca="1" si="88"/>
        <v>4.6223102569838727E-2</v>
      </c>
      <c r="M78" s="3">
        <f t="shared" ca="1" si="88"/>
        <v>4.6596153588644953E-2</v>
      </c>
      <c r="N78" s="3">
        <f t="shared" ca="1" si="88"/>
        <v>4.8179215680414417E-2</v>
      </c>
      <c r="O78" s="3">
        <f t="shared" ca="1" si="88"/>
        <v>4.7673053703103402E-2</v>
      </c>
      <c r="P78" s="3">
        <f t="shared" ca="1" si="88"/>
        <v>5.1219756104586303E-2</v>
      </c>
      <c r="Q78" s="3">
        <f t="shared" ca="1" si="88"/>
        <v>4.9155382846520379E-2</v>
      </c>
      <c r="R78" s="3">
        <f t="shared" ca="1" si="88"/>
        <v>5.3092459080454082E-2</v>
      </c>
      <c r="S78" s="3">
        <f t="shared" ca="1" si="88"/>
        <v>5.2426304819436373E-2</v>
      </c>
      <c r="T78" s="3">
        <f t="shared" ca="1" si="88"/>
        <v>5.4176411470082016E-2</v>
      </c>
      <c r="U78" s="3">
        <f t="shared" ca="1" si="88"/>
        <v>5.4496388431294798E-2</v>
      </c>
      <c r="V78" s="3">
        <f t="shared" ca="1" si="88"/>
        <v>5.5229871673949278E-2</v>
      </c>
      <c r="W78" s="3">
        <f t="shared" ca="1" si="88"/>
        <v>5.7782459582558426E-2</v>
      </c>
      <c r="X78" s="3">
        <f t="shared" ca="1" si="88"/>
        <v>6.218157970286782E-2</v>
      </c>
      <c r="Y78" s="3">
        <f t="shared" ca="1" si="88"/>
        <v>6.1902737204013535E-2</v>
      </c>
      <c r="Z78" s="3">
        <f t="shared" ca="1" si="88"/>
        <v>7.4426583367858984E-2</v>
      </c>
      <c r="AA78" s="3">
        <f t="shared" ca="1" si="88"/>
        <v>6.822514423326953E-2</v>
      </c>
      <c r="AB78" s="3">
        <f t="shared" ref="AB78" ca="1" si="93">MIN(0.99,AB21+$O$3)</f>
        <v>8.3995697239400618E-2</v>
      </c>
      <c r="AC78" s="3">
        <f t="shared" ca="1" si="76"/>
        <v>7.3375085525391348E-2</v>
      </c>
      <c r="AD78" s="3">
        <f t="shared" ca="1" si="76"/>
        <v>9.2094084240374213E-2</v>
      </c>
      <c r="AE78" s="3">
        <f t="shared" ca="1" si="76"/>
        <v>7.8894842995068798E-2</v>
      </c>
      <c r="AF78" s="3">
        <f t="shared" ca="1" si="76"/>
        <v>0.10213619918075595</v>
      </c>
      <c r="AG78" s="3">
        <f t="shared" ca="1" si="76"/>
        <v>8.3584020613767268E-2</v>
      </c>
      <c r="AH78" s="3">
        <f t="shared" ca="1" si="76"/>
        <v>0.12905028626100148</v>
      </c>
      <c r="AI78" s="3">
        <f t="shared" ca="1" si="76"/>
        <v>0.11359613312924785</v>
      </c>
      <c r="AJ78" s="3">
        <f t="shared" ca="1" si="76"/>
        <v>0.1966939988446183</v>
      </c>
    </row>
    <row r="79" spans="1:36" x14ac:dyDescent="0.35">
      <c r="A79" t="s">
        <v>77</v>
      </c>
      <c r="B79" t="s">
        <v>76</v>
      </c>
      <c r="C79" s="4" t="s">
        <v>74</v>
      </c>
      <c r="D79" s="3">
        <f t="shared" ca="1" si="77"/>
        <v>3.9323956046054515E-2</v>
      </c>
      <c r="E79" s="3">
        <f t="shared" ca="1" si="88"/>
        <v>3.9535229102321066E-2</v>
      </c>
      <c r="F79" s="3">
        <f t="shared" ca="1" si="88"/>
        <v>4.022116535295632E-2</v>
      </c>
      <c r="G79" s="3">
        <f t="shared" ca="1" si="88"/>
        <v>4.2264475917527425E-2</v>
      </c>
      <c r="H79" s="3">
        <f t="shared" ca="1" si="88"/>
        <v>4.3110506505250168E-2</v>
      </c>
      <c r="I79" s="3">
        <f t="shared" ca="1" si="88"/>
        <v>4.3691737270141195E-2</v>
      </c>
      <c r="J79" s="3">
        <f t="shared" ca="1" si="88"/>
        <v>4.5642517697877048E-2</v>
      </c>
      <c r="K79" s="3">
        <f t="shared" ca="1" si="88"/>
        <v>4.4867936768599015E-2</v>
      </c>
      <c r="L79" s="3">
        <f t="shared" ca="1" si="88"/>
        <v>4.7205066646935176E-2</v>
      </c>
      <c r="M79" s="3">
        <f t="shared" ca="1" si="88"/>
        <v>4.7575381582484866E-2</v>
      </c>
      <c r="N79" s="3">
        <f t="shared" ca="1" si="88"/>
        <v>4.9120671372874104E-2</v>
      </c>
      <c r="O79" s="3">
        <f t="shared" ca="1" si="88"/>
        <v>4.8611253627850043E-2</v>
      </c>
      <c r="P79" s="3">
        <f t="shared" ca="1" si="88"/>
        <v>5.2211963898851466E-2</v>
      </c>
      <c r="Q79" s="3">
        <f t="shared" ca="1" si="88"/>
        <v>5.0099948449425974E-2</v>
      </c>
      <c r="R79" s="3">
        <f t="shared" ca="1" si="88"/>
        <v>5.4028976195700899E-2</v>
      </c>
      <c r="S79" s="3">
        <f t="shared" ca="1" si="88"/>
        <v>5.3407068323256889E-2</v>
      </c>
      <c r="T79" s="3">
        <f t="shared" ca="1" si="88"/>
        <v>5.5133904671322627E-2</v>
      </c>
      <c r="U79" s="3">
        <f t="shared" ca="1" si="88"/>
        <v>5.5427922067647177E-2</v>
      </c>
      <c r="V79" s="3">
        <f t="shared" ca="1" si="88"/>
        <v>5.6215559904088344E-2</v>
      </c>
      <c r="W79" s="3">
        <f t="shared" ca="1" si="88"/>
        <v>5.8771454650514796E-2</v>
      </c>
      <c r="X79" s="3">
        <f t="shared" ca="1" si="88"/>
        <v>6.3160612506787117E-2</v>
      </c>
      <c r="Y79" s="3">
        <f t="shared" ca="1" si="88"/>
        <v>6.2873468736625304E-2</v>
      </c>
      <c r="Z79" s="3">
        <f t="shared" ca="1" si="88"/>
        <v>7.5341536100527406E-2</v>
      </c>
      <c r="AA79" s="3">
        <f t="shared" ca="1" si="88"/>
        <v>6.9176968016531046E-2</v>
      </c>
      <c r="AB79" s="3">
        <f t="shared" ref="AB79:AJ94" ca="1" si="94">MIN(0.99,AB22+$O$3)</f>
        <v>8.4990123550503338E-2</v>
      </c>
      <c r="AC79" s="3">
        <f t="shared" ca="1" si="94"/>
        <v>7.4309467160535242E-2</v>
      </c>
      <c r="AD79" s="3">
        <f t="shared" ca="1" si="94"/>
        <v>9.3018612671417672E-2</v>
      </c>
      <c r="AE79" s="3">
        <f t="shared" ca="1" si="94"/>
        <v>7.9894683369195932E-2</v>
      </c>
      <c r="AF79" s="3">
        <f t="shared" ca="1" si="94"/>
        <v>0.10307797767520566</v>
      </c>
      <c r="AG79" s="3">
        <f t="shared" ca="1" si="94"/>
        <v>8.4580887614734757E-2</v>
      </c>
      <c r="AH79" s="3">
        <f t="shared" ca="1" si="94"/>
        <v>0.13003892370317527</v>
      </c>
      <c r="AI79" s="3">
        <f t="shared" ca="1" si="94"/>
        <v>0.1145553544915168</v>
      </c>
      <c r="AJ79" s="3">
        <f t="shared" ca="1" si="94"/>
        <v>0.1976814871699149</v>
      </c>
    </row>
    <row r="80" spans="1:36" x14ac:dyDescent="0.35">
      <c r="A80" t="s">
        <v>77</v>
      </c>
      <c r="B80" t="s">
        <v>76</v>
      </c>
      <c r="C80" s="4">
        <v>7</v>
      </c>
      <c r="D80" s="3">
        <f t="shared" ca="1" si="77"/>
        <v>4.0249132611260174E-2</v>
      </c>
      <c r="E80" s="3">
        <f t="shared" ca="1" si="88"/>
        <v>4.0438560177040256E-2</v>
      </c>
      <c r="F80" s="3">
        <f t="shared" ca="1" si="88"/>
        <v>4.1167307037448989E-2</v>
      </c>
      <c r="G80" s="3">
        <f t="shared" ca="1" si="88"/>
        <v>4.3206866279079409E-2</v>
      </c>
      <c r="H80" s="3">
        <f t="shared" ca="1" si="88"/>
        <v>4.4020857107338211E-2</v>
      </c>
      <c r="I80" s="3">
        <f t="shared" ca="1" si="88"/>
        <v>4.4615049282589567E-2</v>
      </c>
      <c r="J80" s="3">
        <f t="shared" ca="1" si="88"/>
        <v>4.6562881362628636E-2</v>
      </c>
      <c r="K80" s="3">
        <f t="shared" ca="1" si="88"/>
        <v>4.5829251414794173E-2</v>
      </c>
      <c r="L80" s="3">
        <f t="shared" ca="1" si="88"/>
        <v>4.8150841408044764E-2</v>
      </c>
      <c r="M80" s="3">
        <f t="shared" ca="1" si="88"/>
        <v>4.8546153712486946E-2</v>
      </c>
      <c r="N80" s="3">
        <f t="shared" ca="1" si="88"/>
        <v>5.004845754687242E-2</v>
      </c>
      <c r="O80" s="3">
        <f t="shared" ca="1" si="88"/>
        <v>4.958238472403162E-2</v>
      </c>
      <c r="P80" s="3">
        <f t="shared" ca="1" si="88"/>
        <v>5.3197256956899364E-2</v>
      </c>
      <c r="Q80" s="3">
        <f t="shared" ca="1" si="88"/>
        <v>5.1033954922346469E-2</v>
      </c>
      <c r="R80" s="3">
        <f t="shared" ca="1" si="88"/>
        <v>5.5000488040691027E-2</v>
      </c>
      <c r="S80" s="3">
        <f t="shared" ca="1" si="88"/>
        <v>5.4371136863709819E-2</v>
      </c>
      <c r="T80" s="3">
        <f t="shared" ca="1" si="88"/>
        <v>5.6036881929668624E-2</v>
      </c>
      <c r="U80" s="3">
        <f t="shared" ca="1" si="88"/>
        <v>5.6345473026688769E-2</v>
      </c>
      <c r="V80" s="3">
        <f t="shared" ca="1" si="88"/>
        <v>5.7120618962886789E-2</v>
      </c>
      <c r="W80" s="3">
        <f t="shared" ca="1" si="88"/>
        <v>5.9757978177912403E-2</v>
      </c>
      <c r="X80" s="3">
        <f t="shared" ca="1" si="88"/>
        <v>6.4100155021841992E-2</v>
      </c>
      <c r="Y80" s="3">
        <f t="shared" ca="1" si="88"/>
        <v>6.385463881447262E-2</v>
      </c>
      <c r="Z80" s="3">
        <f t="shared" ca="1" si="88"/>
        <v>7.6299628502379493E-2</v>
      </c>
      <c r="AA80" s="3">
        <f t="shared" ca="1" si="88"/>
        <v>7.0152630594572996E-2</v>
      </c>
      <c r="AB80" s="3">
        <f t="shared" ref="AB80" ca="1" si="95">MIN(0.99,AB23+$O$3)</f>
        <v>8.5971554424525892E-2</v>
      </c>
      <c r="AC80" s="3">
        <f t="shared" ca="1" si="94"/>
        <v>7.5209764955341749E-2</v>
      </c>
      <c r="AD80" s="3">
        <f t="shared" ca="1" si="94"/>
        <v>9.4011199391606098E-2</v>
      </c>
      <c r="AE80" s="3">
        <f t="shared" ca="1" si="94"/>
        <v>8.0852019697130573E-2</v>
      </c>
      <c r="AF80" s="3">
        <f t="shared" ca="1" si="94"/>
        <v>0.10402710514678518</v>
      </c>
      <c r="AG80" s="3">
        <f t="shared" ca="1" si="94"/>
        <v>8.5498877495653422E-2</v>
      </c>
      <c r="AH80" s="3">
        <f t="shared" ca="1" si="94"/>
        <v>0.13095603170317865</v>
      </c>
      <c r="AI80" s="3">
        <f t="shared" ca="1" si="94"/>
        <v>0.11552383084800014</v>
      </c>
      <c r="AJ80" s="3">
        <f t="shared" ca="1" si="94"/>
        <v>0.1985877537718729</v>
      </c>
    </row>
    <row r="81" spans="1:36" x14ac:dyDescent="0.35">
      <c r="A81" t="s">
        <v>77</v>
      </c>
      <c r="B81" t="s">
        <v>76</v>
      </c>
      <c r="C81" s="4" t="s">
        <v>75</v>
      </c>
      <c r="D81" s="3">
        <f t="shared" ca="1" si="77"/>
        <v>4.117351524007877E-2</v>
      </c>
      <c r="E81" s="3">
        <f t="shared" ca="1" si="88"/>
        <v>4.1425565539717435E-2</v>
      </c>
      <c r="F81" s="3">
        <f t="shared" ca="1" si="88"/>
        <v>4.2128920500227519E-2</v>
      </c>
      <c r="G81" s="3">
        <f t="shared" ca="1" si="88"/>
        <v>4.4184058288031416E-2</v>
      </c>
      <c r="H81" s="3">
        <f t="shared" ca="1" si="88"/>
        <v>4.4970581475759185E-2</v>
      </c>
      <c r="I81" s="3">
        <f t="shared" ca="1" si="88"/>
        <v>4.5612922986726395E-2</v>
      </c>
      <c r="J81" s="3">
        <f t="shared" ca="1" si="88"/>
        <v>4.7481913114381699E-2</v>
      </c>
      <c r="K81" s="3">
        <f t="shared" ca="1" si="88"/>
        <v>4.6798744670392051E-2</v>
      </c>
      <c r="L81" s="3">
        <f t="shared" ca="1" si="88"/>
        <v>4.9136351476673348E-2</v>
      </c>
      <c r="M81" s="3">
        <f t="shared" ca="1" si="88"/>
        <v>4.9524005411690067E-2</v>
      </c>
      <c r="N81" s="3">
        <f t="shared" ca="1" si="88"/>
        <v>5.0970748386507225E-2</v>
      </c>
      <c r="O81" s="3">
        <f t="shared" ca="1" si="88"/>
        <v>5.0501569718133799E-2</v>
      </c>
      <c r="P81" s="3">
        <f t="shared" ca="1" si="88"/>
        <v>5.4106118465884784E-2</v>
      </c>
      <c r="Q81" s="3">
        <f t="shared" ca="1" si="88"/>
        <v>5.202115168780324E-2</v>
      </c>
      <c r="R81" s="3">
        <f t="shared" ca="1" si="88"/>
        <v>5.5979056287930311E-2</v>
      </c>
      <c r="S81" s="3">
        <f t="shared" ca="1" si="88"/>
        <v>5.5283130039264862E-2</v>
      </c>
      <c r="T81" s="3">
        <f t="shared" ca="1" si="88"/>
        <v>5.699487536636224E-2</v>
      </c>
      <c r="U81" s="3">
        <f t="shared" ca="1" si="88"/>
        <v>5.72573596549657E-2</v>
      </c>
      <c r="V81" s="3">
        <f t="shared" ca="1" si="88"/>
        <v>5.8102435220611523E-2</v>
      </c>
      <c r="W81" s="3">
        <f t="shared" ca="1" si="88"/>
        <v>6.073242651978436E-2</v>
      </c>
      <c r="X81" s="3">
        <f t="shared" ca="1" si="88"/>
        <v>6.5028191410779021E-2</v>
      </c>
      <c r="Y81" s="3">
        <f t="shared" ca="1" si="88"/>
        <v>6.484101717721176E-2</v>
      </c>
      <c r="Z81" s="3">
        <f t="shared" ca="1" si="88"/>
        <v>7.7272737189043289E-2</v>
      </c>
      <c r="AA81" s="3">
        <f t="shared" ca="1" si="88"/>
        <v>7.1106211977127076E-2</v>
      </c>
      <c r="AB81" s="3">
        <f t="shared" ref="AB81" ca="1" si="96">MIN(0.99,AB24+$O$3)</f>
        <v>8.6879838066947712E-2</v>
      </c>
      <c r="AC81" s="3">
        <f t="shared" ca="1" si="94"/>
        <v>7.615594906079573E-2</v>
      </c>
      <c r="AD81" s="3">
        <f t="shared" ca="1" si="94"/>
        <v>9.4953719039918782E-2</v>
      </c>
      <c r="AE81" s="3">
        <f t="shared" ca="1" si="94"/>
        <v>8.1792016361654257E-2</v>
      </c>
      <c r="AF81" s="3">
        <f t="shared" ca="1" si="94"/>
        <v>0.10494318969566932</v>
      </c>
      <c r="AG81" s="3">
        <f t="shared" ca="1" si="94"/>
        <v>8.6460060821368867E-2</v>
      </c>
      <c r="AH81" s="3">
        <f t="shared" ca="1" si="94"/>
        <v>0.13195166993859173</v>
      </c>
      <c r="AI81" s="3">
        <f t="shared" ca="1" si="94"/>
        <v>0.11648585798775168</v>
      </c>
      <c r="AJ81" s="3">
        <f t="shared" ca="1" si="94"/>
        <v>0.19956008038992085</v>
      </c>
    </row>
    <row r="82" spans="1:36" x14ac:dyDescent="0.35">
      <c r="A82" t="s">
        <v>77</v>
      </c>
      <c r="B82" t="s">
        <v>61</v>
      </c>
      <c r="C82" s="4">
        <v>1</v>
      </c>
      <c r="D82" s="3">
        <f t="shared" ca="1" si="77"/>
        <v>2.4996192526116491E-2</v>
      </c>
      <c r="E82" s="3">
        <f t="shared" ca="1" si="88"/>
        <v>2.519740981818468E-2</v>
      </c>
      <c r="F82" s="3">
        <f t="shared" ca="1" si="88"/>
        <v>2.6083236323934444E-2</v>
      </c>
      <c r="G82" s="3">
        <f t="shared" ca="1" si="88"/>
        <v>2.7852670102129232E-2</v>
      </c>
      <c r="H82" s="3">
        <f t="shared" ca="1" si="88"/>
        <v>2.8839124749706416E-2</v>
      </c>
      <c r="I82" s="3">
        <f t="shared" ca="1" si="88"/>
        <v>2.9512236095044688E-2</v>
      </c>
      <c r="J82" s="3">
        <f t="shared" ca="1" si="88"/>
        <v>3.1452303136510852E-2</v>
      </c>
      <c r="K82" s="3">
        <f t="shared" ca="1" si="88"/>
        <v>3.0483956914749616E-2</v>
      </c>
      <c r="L82" s="3">
        <f t="shared" ca="1" si="88"/>
        <v>3.2813706971466787E-2</v>
      </c>
      <c r="M82" s="3">
        <f t="shared" ca="1" si="88"/>
        <v>3.3195744570271343E-2</v>
      </c>
      <c r="N82" s="3">
        <f t="shared" ca="1" si="88"/>
        <v>3.4724206565655211E-2</v>
      </c>
      <c r="O82" s="3">
        <f t="shared" ca="1" si="88"/>
        <v>3.4377714372117618E-2</v>
      </c>
      <c r="P82" s="3">
        <f t="shared" ca="1" si="88"/>
        <v>3.8098658743641309E-2</v>
      </c>
      <c r="Q82" s="3">
        <f t="shared" ca="1" si="88"/>
        <v>3.5714259578835561E-2</v>
      </c>
      <c r="R82" s="3">
        <f t="shared" ca="1" si="88"/>
        <v>3.970130661120258E-2</v>
      </c>
      <c r="S82" s="3">
        <f t="shared" ca="1" si="88"/>
        <v>3.9128887270818917E-2</v>
      </c>
      <c r="T82" s="3">
        <f t="shared" ca="1" si="88"/>
        <v>4.0872832134011487E-2</v>
      </c>
      <c r="U82" s="3">
        <f t="shared" ca="1" si="88"/>
        <v>4.1220704287567841E-2</v>
      </c>
      <c r="V82" s="3">
        <f t="shared" ca="1" si="88"/>
        <v>4.1840293164901982E-2</v>
      </c>
      <c r="W82" s="3">
        <f t="shared" ca="1" si="88"/>
        <v>4.4398351374836012E-2</v>
      </c>
      <c r="X82" s="3">
        <f t="shared" ca="1" si="88"/>
        <v>4.8938856585739134E-2</v>
      </c>
      <c r="Y82" s="3">
        <f t="shared" ca="1" si="88"/>
        <v>4.8697914449769751E-2</v>
      </c>
      <c r="Z82" s="3">
        <f t="shared" ca="1" si="88"/>
        <v>6.1139695702027257E-2</v>
      </c>
      <c r="AA82" s="3">
        <f t="shared" ca="1" si="88"/>
        <v>5.4813314714986093E-2</v>
      </c>
      <c r="AB82" s="3">
        <f t="shared" ref="AB82" ca="1" si="97">MIN(0.99,AB25+$O$3)</f>
        <v>7.0587150293817874E-2</v>
      </c>
      <c r="AC82" s="3">
        <f t="shared" ca="1" si="94"/>
        <v>6.0052930424463906E-2</v>
      </c>
      <c r="AD82" s="3">
        <f t="shared" ca="1" si="94"/>
        <v>7.8779877191821696E-2</v>
      </c>
      <c r="AE82" s="3">
        <f t="shared" ca="1" si="94"/>
        <v>6.5605562614879098E-2</v>
      </c>
      <c r="AF82" s="3">
        <f t="shared" ca="1" si="94"/>
        <v>8.8887050020770492E-2</v>
      </c>
      <c r="AG82" s="3">
        <f t="shared" ca="1" si="94"/>
        <v>7.0376729336196431E-2</v>
      </c>
      <c r="AH82" s="3">
        <f t="shared" ca="1" si="94"/>
        <v>0.11590489407020621</v>
      </c>
      <c r="AI82" s="3">
        <f t="shared" ca="1" si="94"/>
        <v>0.10031926887313139</v>
      </c>
      <c r="AJ82" s="3">
        <f t="shared" ca="1" si="94"/>
        <v>0.18360356655079077</v>
      </c>
    </row>
    <row r="83" spans="1:36" x14ac:dyDescent="0.35">
      <c r="A83" t="s">
        <v>77</v>
      </c>
      <c r="B83" t="s">
        <v>61</v>
      </c>
      <c r="C83" s="4" t="s">
        <v>64</v>
      </c>
      <c r="D83" s="3">
        <f t="shared" ca="1" si="77"/>
        <v>2.598487423334301E-2</v>
      </c>
      <c r="E83" s="3">
        <f t="shared" ca="1" si="88"/>
        <v>2.6171667023614561E-2</v>
      </c>
      <c r="F83" s="3">
        <f t="shared" ca="1" si="88"/>
        <v>2.7001781447161897E-2</v>
      </c>
      <c r="G83" s="3">
        <f t="shared" ca="1" si="88"/>
        <v>2.8847091764261486E-2</v>
      </c>
      <c r="H83" s="3">
        <f t="shared" ca="1" si="88"/>
        <v>2.9824279110247223E-2</v>
      </c>
      <c r="I83" s="3">
        <f t="shared" ca="1" si="88"/>
        <v>3.049309043072632E-2</v>
      </c>
      <c r="J83" s="3">
        <f t="shared" ca="1" si="88"/>
        <v>3.235338848217334E-2</v>
      </c>
      <c r="K83" s="3">
        <f t="shared" ca="1" si="88"/>
        <v>3.1463958967972813E-2</v>
      </c>
      <c r="L83" s="3">
        <f t="shared" ca="1" si="88"/>
        <v>3.3785777443219471E-2</v>
      </c>
      <c r="M83" s="3">
        <f t="shared" ca="1" si="88"/>
        <v>3.4127051104269432E-2</v>
      </c>
      <c r="N83" s="3">
        <f t="shared" ca="1" si="88"/>
        <v>3.5648911225738752E-2</v>
      </c>
      <c r="O83" s="3">
        <f t="shared" ca="1" si="88"/>
        <v>3.5296920606186201E-2</v>
      </c>
      <c r="P83" s="3">
        <f t="shared" ca="1" si="88"/>
        <v>3.9064665053622064E-2</v>
      </c>
      <c r="Q83" s="3">
        <f t="shared" ca="1" si="88"/>
        <v>3.6711674379586626E-2</v>
      </c>
      <c r="R83" s="3">
        <f t="shared" ca="1" si="88"/>
        <v>4.0622677274524788E-2</v>
      </c>
      <c r="S83" s="3">
        <f t="shared" ca="1" si="88"/>
        <v>4.0060404341883876E-2</v>
      </c>
      <c r="T83" s="3">
        <f t="shared" ca="1" si="88"/>
        <v>4.1868454319408735E-2</v>
      </c>
      <c r="U83" s="3">
        <f t="shared" ca="1" si="88"/>
        <v>4.2217349733234877E-2</v>
      </c>
      <c r="V83" s="3">
        <f t="shared" ca="1" si="88"/>
        <v>4.2785450574590274E-2</v>
      </c>
      <c r="W83" s="3">
        <f t="shared" ca="1" si="88"/>
        <v>4.5327212731511059E-2</v>
      </c>
      <c r="X83" s="3">
        <f t="shared" ca="1" si="88"/>
        <v>4.9879878861498202E-2</v>
      </c>
      <c r="Y83" s="3">
        <f t="shared" ca="1" si="88"/>
        <v>4.9676137494072091E-2</v>
      </c>
      <c r="Z83" s="3">
        <f t="shared" ca="1" si="88"/>
        <v>6.2077512684179506E-2</v>
      </c>
      <c r="AA83" s="3">
        <f t="shared" ca="1" si="88"/>
        <v>5.5802602404972361E-2</v>
      </c>
      <c r="AB83" s="3">
        <f t="shared" ref="AB83" ca="1" si="98">MIN(0.99,AB26+$O$3)</f>
        <v>7.1545418057691379E-2</v>
      </c>
      <c r="AC83" s="3">
        <f t="shared" ca="1" si="94"/>
        <v>6.1006240935845536E-2</v>
      </c>
      <c r="AD83" s="3">
        <f t="shared" ca="1" si="94"/>
        <v>7.9698649372670793E-2</v>
      </c>
      <c r="AE83" s="3">
        <f t="shared" ca="1" si="94"/>
        <v>6.654872704876684E-2</v>
      </c>
      <c r="AF83" s="3">
        <f t="shared" ca="1" si="94"/>
        <v>8.9793451296864585E-2</v>
      </c>
      <c r="AG83" s="3">
        <f t="shared" ca="1" si="94"/>
        <v>7.1364198902286985E-2</v>
      </c>
      <c r="AH83" s="3">
        <f t="shared" ca="1" si="94"/>
        <v>0.11683704349760016</v>
      </c>
      <c r="AI83" s="3">
        <f t="shared" ca="1" si="94"/>
        <v>0.10131582142111067</v>
      </c>
      <c r="AJ83" s="3">
        <f t="shared" ca="1" si="94"/>
        <v>0.18455461004394524</v>
      </c>
    </row>
    <row r="84" spans="1:36" x14ac:dyDescent="0.35">
      <c r="A84" t="s">
        <v>77</v>
      </c>
      <c r="B84" t="s">
        <v>61</v>
      </c>
      <c r="C84" s="4">
        <v>2</v>
      </c>
      <c r="D84" s="3">
        <f t="shared" ca="1" si="77"/>
        <v>2.6969507581833196E-2</v>
      </c>
      <c r="E84" s="3">
        <f t="shared" ca="1" si="88"/>
        <v>2.7147710007389709E-2</v>
      </c>
      <c r="F84" s="3">
        <f t="shared" ca="1" si="88"/>
        <v>2.798724169654291E-2</v>
      </c>
      <c r="G84" s="3">
        <f t="shared" ca="1" si="88"/>
        <v>2.9794446029262695E-2</v>
      </c>
      <c r="H84" s="3">
        <f t="shared" ca="1" si="88"/>
        <v>3.0780251402450068E-2</v>
      </c>
      <c r="I84" s="3">
        <f t="shared" ca="1" si="88"/>
        <v>3.1393785726495683E-2</v>
      </c>
      <c r="J84" s="3">
        <f t="shared" ca="1" si="88"/>
        <v>3.3305906407162501E-2</v>
      </c>
      <c r="K84" s="3">
        <f t="shared" ca="1" si="88"/>
        <v>3.2457436528860795E-2</v>
      </c>
      <c r="L84" s="3">
        <f t="shared" ca="1" si="88"/>
        <v>3.4781102689089335E-2</v>
      </c>
      <c r="M84" s="3">
        <f t="shared" ca="1" si="88"/>
        <v>3.5034081667899716E-2</v>
      </c>
      <c r="N84" s="3">
        <f t="shared" ca="1" si="88"/>
        <v>3.6648817299451596E-2</v>
      </c>
      <c r="O84" s="3">
        <f t="shared" ca="1" si="88"/>
        <v>3.6290536234283431E-2</v>
      </c>
      <c r="P84" s="3">
        <f t="shared" ca="1" si="88"/>
        <v>4.0031245674908469E-2</v>
      </c>
      <c r="Q84" s="3">
        <f t="shared" ca="1" si="88"/>
        <v>3.7697542759158625E-2</v>
      </c>
      <c r="R84" s="3">
        <f t="shared" ca="1" si="88"/>
        <v>4.1621640761603775E-2</v>
      </c>
      <c r="S84" s="3">
        <f t="shared" ca="1" si="88"/>
        <v>4.0974623961019314E-2</v>
      </c>
      <c r="T84" s="3">
        <f t="shared" ca="1" si="88"/>
        <v>4.2865897829356195E-2</v>
      </c>
      <c r="U84" s="3">
        <f t="shared" ca="1" si="88"/>
        <v>4.3132622378204796E-2</v>
      </c>
      <c r="V84" s="3">
        <f t="shared" ca="1" si="88"/>
        <v>4.3775093634206008E-2</v>
      </c>
      <c r="W84" s="3">
        <f t="shared" ca="1" si="88"/>
        <v>4.6315303737024353E-2</v>
      </c>
      <c r="X84" s="3">
        <f t="shared" ca="1" si="88"/>
        <v>5.0802483611501373E-2</v>
      </c>
      <c r="Y84" s="3">
        <f t="shared" ca="1" si="88"/>
        <v>5.062287678442963E-2</v>
      </c>
      <c r="Z84" s="3">
        <f t="shared" ca="1" si="88"/>
        <v>6.2996041050596543E-2</v>
      </c>
      <c r="AA84" s="3">
        <f t="shared" ca="1" si="88"/>
        <v>5.6800642611107496E-2</v>
      </c>
      <c r="AB84" s="3">
        <f t="shared" ref="AB84" ca="1" si="99">MIN(0.99,AB27+$O$3)</f>
        <v>7.2496902853881079E-2</v>
      </c>
      <c r="AC84" s="3">
        <f t="shared" ca="1" si="94"/>
        <v>6.1916897346559439E-2</v>
      </c>
      <c r="AD84" s="3">
        <f t="shared" ca="1" si="94"/>
        <v>8.0601783380544745E-2</v>
      </c>
      <c r="AE84" s="3">
        <f t="shared" ca="1" si="94"/>
        <v>6.7456434264770548E-2</v>
      </c>
      <c r="AF84" s="3">
        <f t="shared" ca="1" si="94"/>
        <v>9.0742438070994275E-2</v>
      </c>
      <c r="AG84" s="3">
        <f t="shared" ca="1" si="94"/>
        <v>7.2278311020651687E-2</v>
      </c>
      <c r="AH84" s="3">
        <f t="shared" ca="1" si="94"/>
        <v>0.11777941990015992</v>
      </c>
      <c r="AI84" s="3">
        <f t="shared" ca="1" si="94"/>
        <v>0.10224435529469408</v>
      </c>
      <c r="AJ84" s="3">
        <f t="shared" ca="1" si="94"/>
        <v>0.18552379099502633</v>
      </c>
    </row>
    <row r="85" spans="1:36" x14ac:dyDescent="0.35">
      <c r="A85" t="s">
        <v>77</v>
      </c>
      <c r="B85" t="s">
        <v>61</v>
      </c>
      <c r="C85" s="4" t="s">
        <v>65</v>
      </c>
      <c r="D85" s="3">
        <f t="shared" ca="1" si="77"/>
        <v>2.795406997134197E-2</v>
      </c>
      <c r="E85" s="3">
        <f t="shared" ca="1" si="88"/>
        <v>2.8110136996108231E-2</v>
      </c>
      <c r="F85" s="3">
        <f t="shared" ca="1" si="88"/>
        <v>2.8948754508102224E-2</v>
      </c>
      <c r="G85" s="3">
        <f t="shared" ca="1" si="88"/>
        <v>3.0776429321561802E-2</v>
      </c>
      <c r="H85" s="3">
        <f t="shared" ca="1" si="88"/>
        <v>3.1749336580337864E-2</v>
      </c>
      <c r="I85" s="3">
        <f t="shared" ca="1" si="88"/>
        <v>3.2355811040459266E-2</v>
      </c>
      <c r="J85" s="3">
        <f t="shared" ca="1" si="88"/>
        <v>3.4234537678672378E-2</v>
      </c>
      <c r="K85" s="3">
        <f t="shared" ca="1" si="88"/>
        <v>3.3444168350584787E-2</v>
      </c>
      <c r="L85" s="3">
        <f t="shared" ca="1" si="88"/>
        <v>3.5778581501296508E-2</v>
      </c>
      <c r="M85" s="3">
        <f t="shared" ca="1" si="88"/>
        <v>3.6002035166470894E-2</v>
      </c>
      <c r="N85" s="3">
        <f t="shared" ca="1" si="88"/>
        <v>3.7588906878827613E-2</v>
      </c>
      <c r="O85" s="3">
        <f t="shared" ca="1" si="88"/>
        <v>3.7289181528543464E-2</v>
      </c>
      <c r="P85" s="3">
        <f t="shared" ca="1" si="88"/>
        <v>4.0942786634161954E-2</v>
      </c>
      <c r="Q85" s="3">
        <f t="shared" ca="1" si="88"/>
        <v>3.8657136824203589E-2</v>
      </c>
      <c r="R85" s="3">
        <f t="shared" ca="1" si="88"/>
        <v>4.259131947818847E-2</v>
      </c>
      <c r="S85" s="3">
        <f t="shared" ca="1" si="88"/>
        <v>4.1944868804001535E-2</v>
      </c>
      <c r="T85" s="3">
        <f t="shared" ca="1" si="88"/>
        <v>4.3800399583439904E-2</v>
      </c>
      <c r="U85" s="3">
        <f t="shared" ca="1" si="88"/>
        <v>4.4085726551751775E-2</v>
      </c>
      <c r="V85" s="3">
        <f t="shared" ca="1" si="88"/>
        <v>4.4687093194803705E-2</v>
      </c>
      <c r="W85" s="3">
        <f t="shared" ca="1" si="88"/>
        <v>4.7247994100138968E-2</v>
      </c>
      <c r="X85" s="3">
        <f t="shared" ref="E85:AA96" ca="1" si="100">MIN(0.99,X28+$O$3)</f>
        <v>5.1716616327660399E-2</v>
      </c>
      <c r="Y85" s="3">
        <f t="shared" ca="1" si="100"/>
        <v>5.1587227003849184E-2</v>
      </c>
      <c r="Z85" s="3">
        <f t="shared" ca="1" si="100"/>
        <v>6.3920027957217115E-2</v>
      </c>
      <c r="AA85" s="3">
        <f t="shared" ca="1" si="100"/>
        <v>5.773610480839951E-2</v>
      </c>
      <c r="AB85" s="3">
        <f t="shared" ref="AB85" ca="1" si="101">MIN(0.99,AB28+$O$3)</f>
        <v>7.3490494768695708E-2</v>
      </c>
      <c r="AC85" s="3">
        <f t="shared" ca="1" si="94"/>
        <v>6.2872059943949482E-2</v>
      </c>
      <c r="AD85" s="3">
        <f t="shared" ca="1" si="94"/>
        <v>8.1598570105742951E-2</v>
      </c>
      <c r="AE85" s="3">
        <f t="shared" ca="1" si="94"/>
        <v>6.8365763454489303E-2</v>
      </c>
      <c r="AF85" s="3">
        <f t="shared" ca="1" si="94"/>
        <v>9.1663120739429782E-2</v>
      </c>
      <c r="AG85" s="3">
        <f t="shared" ca="1" si="94"/>
        <v>7.3210434025078958E-2</v>
      </c>
      <c r="AH85" s="3">
        <f t="shared" ca="1" si="94"/>
        <v>0.11875532667284774</v>
      </c>
      <c r="AI85" s="3">
        <f t="shared" ca="1" si="94"/>
        <v>0.10319289026733988</v>
      </c>
      <c r="AJ85" s="3">
        <f t="shared" ca="1" si="94"/>
        <v>0.18643915012959736</v>
      </c>
    </row>
    <row r="86" spans="1:36" x14ac:dyDescent="0.35">
      <c r="A86" t="s">
        <v>77</v>
      </c>
      <c r="B86" t="s">
        <v>61</v>
      </c>
      <c r="C86" s="4" t="s">
        <v>66</v>
      </c>
      <c r="D86" s="3">
        <f t="shared" ca="1" si="77"/>
        <v>2.8940899862806502E-2</v>
      </c>
      <c r="E86" s="3">
        <f t="shared" ca="1" si="100"/>
        <v>2.9060829535502819E-2</v>
      </c>
      <c r="F86" s="3">
        <f t="shared" ca="1" si="100"/>
        <v>2.9879673214545734E-2</v>
      </c>
      <c r="G86" s="3">
        <f t="shared" ca="1" si="100"/>
        <v>3.1761796783720792E-2</v>
      </c>
      <c r="H86" s="3">
        <f t="shared" ca="1" si="100"/>
        <v>3.2726261079328897E-2</v>
      </c>
      <c r="I86" s="3">
        <f t="shared" ca="1" si="100"/>
        <v>3.3351324871094212E-2</v>
      </c>
      <c r="J86" s="3">
        <f t="shared" ca="1" si="100"/>
        <v>3.517247783791673E-2</v>
      </c>
      <c r="K86" s="3">
        <f t="shared" ca="1" si="100"/>
        <v>3.4402495628977105E-2</v>
      </c>
      <c r="L86" s="3">
        <f t="shared" ca="1" si="100"/>
        <v>3.6744964077456491E-2</v>
      </c>
      <c r="M86" s="3">
        <f t="shared" ca="1" si="100"/>
        <v>3.700142820233901E-2</v>
      </c>
      <c r="N86" s="3">
        <f t="shared" ca="1" si="100"/>
        <v>3.851891505785264E-2</v>
      </c>
      <c r="O86" s="3">
        <f t="shared" ca="1" si="100"/>
        <v>3.8191680426251151E-2</v>
      </c>
      <c r="P86" s="3">
        <f t="shared" ca="1" si="100"/>
        <v>4.1857311795233845E-2</v>
      </c>
      <c r="Q86" s="3">
        <f t="shared" ca="1" si="100"/>
        <v>3.9576499024461809E-2</v>
      </c>
      <c r="R86" s="3">
        <f t="shared" ca="1" si="100"/>
        <v>4.357852985358332E-2</v>
      </c>
      <c r="S86" s="3">
        <f t="shared" ca="1" si="100"/>
        <v>4.2894603800589709E-2</v>
      </c>
      <c r="T86" s="3">
        <f t="shared" ca="1" si="100"/>
        <v>4.4712655790225E-2</v>
      </c>
      <c r="U86" s="3">
        <f t="shared" ca="1" si="100"/>
        <v>4.5051990414317622E-2</v>
      </c>
      <c r="V86" s="3">
        <f t="shared" ca="1" si="100"/>
        <v>4.566660201582734E-2</v>
      </c>
      <c r="W86" s="3">
        <f t="shared" ca="1" si="100"/>
        <v>4.8151863157419844E-2</v>
      </c>
      <c r="X86" s="3">
        <f t="shared" ca="1" si="100"/>
        <v>5.2703053406464549E-2</v>
      </c>
      <c r="Y86" s="3">
        <f t="shared" ca="1" si="100"/>
        <v>5.2539635815050917E-2</v>
      </c>
      <c r="Z86" s="3">
        <f t="shared" ca="1" si="100"/>
        <v>6.4834900619736888E-2</v>
      </c>
      <c r="AA86" s="3">
        <f t="shared" ca="1" si="100"/>
        <v>5.8640382643401191E-2</v>
      </c>
      <c r="AB86" s="3">
        <f t="shared" ref="AB86" ca="1" si="102">MIN(0.99,AB29+$O$3)</f>
        <v>7.4391309932094862E-2</v>
      </c>
      <c r="AC86" s="3">
        <f t="shared" ca="1" si="94"/>
        <v>6.3820184770632268E-2</v>
      </c>
      <c r="AD86" s="3">
        <f t="shared" ca="1" si="94"/>
        <v>8.2576960101887767E-2</v>
      </c>
      <c r="AE86" s="3">
        <f t="shared" ca="1" si="94"/>
        <v>6.9353783483838832E-2</v>
      </c>
      <c r="AF86" s="3">
        <f t="shared" ca="1" si="94"/>
        <v>9.2643988169807789E-2</v>
      </c>
      <c r="AG86" s="3">
        <f t="shared" ca="1" si="94"/>
        <v>7.4158667078643103E-2</v>
      </c>
      <c r="AH86" s="3">
        <f t="shared" ca="1" si="94"/>
        <v>0.11970987418004295</v>
      </c>
      <c r="AI86" s="3">
        <f t="shared" ca="1" si="94"/>
        <v>0.104104090294839</v>
      </c>
      <c r="AJ86" s="3">
        <f t="shared" ca="1" si="94"/>
        <v>0.18741594329408309</v>
      </c>
    </row>
    <row r="87" spans="1:36" x14ac:dyDescent="0.35">
      <c r="A87" t="s">
        <v>77</v>
      </c>
      <c r="B87" t="s">
        <v>61</v>
      </c>
      <c r="C87" s="4">
        <v>3</v>
      </c>
      <c r="D87" s="3">
        <f t="shared" ca="1" si="77"/>
        <v>2.9887770777505276E-2</v>
      </c>
      <c r="E87" s="3">
        <f t="shared" ca="1" si="100"/>
        <v>3.0044218298087188E-2</v>
      </c>
      <c r="F87" s="3">
        <f t="shared" ca="1" si="100"/>
        <v>3.0834722518521512E-2</v>
      </c>
      <c r="G87" s="3">
        <f t="shared" ca="1" si="100"/>
        <v>3.2681982053066799E-2</v>
      </c>
      <c r="H87" s="3">
        <f t="shared" ca="1" si="100"/>
        <v>3.3684966909623131E-2</v>
      </c>
      <c r="I87" s="3">
        <f t="shared" ca="1" si="100"/>
        <v>3.4310749757280094E-2</v>
      </c>
      <c r="J87" s="3">
        <f t="shared" ca="1" si="100"/>
        <v>3.6157788933287915E-2</v>
      </c>
      <c r="K87" s="3">
        <f t="shared" ca="1" si="100"/>
        <v>3.5382771551394493E-2</v>
      </c>
      <c r="L87" s="3">
        <f t="shared" ca="1" si="100"/>
        <v>3.7669842556968376E-2</v>
      </c>
      <c r="M87" s="3">
        <f t="shared" ca="1" si="100"/>
        <v>3.7979525851252374E-2</v>
      </c>
      <c r="N87" s="3">
        <f t="shared" ca="1" si="100"/>
        <v>3.9440157318579208E-2</v>
      </c>
      <c r="O87" s="3">
        <f t="shared" ca="1" si="100"/>
        <v>3.910032304746712E-2</v>
      </c>
      <c r="P87" s="3">
        <f t="shared" ca="1" si="100"/>
        <v>4.2781524616421873E-2</v>
      </c>
      <c r="Q87" s="3">
        <f t="shared" ca="1" si="100"/>
        <v>4.0510646585385113E-2</v>
      </c>
      <c r="R87" s="3">
        <f t="shared" ca="1" si="100"/>
        <v>4.4517304153261883E-2</v>
      </c>
      <c r="S87" s="3">
        <f t="shared" ca="1" si="100"/>
        <v>4.3865593929799315E-2</v>
      </c>
      <c r="T87" s="3">
        <f t="shared" ca="1" si="100"/>
        <v>4.5659002695709501E-2</v>
      </c>
      <c r="U87" s="3">
        <f t="shared" ca="1" si="100"/>
        <v>4.5979118187346013E-2</v>
      </c>
      <c r="V87" s="3">
        <f t="shared" ca="1" si="100"/>
        <v>4.6610341685468376E-2</v>
      </c>
      <c r="W87" s="3">
        <f t="shared" ca="1" si="100"/>
        <v>4.9090880708737017E-2</v>
      </c>
      <c r="X87" s="3">
        <f t="shared" ca="1" si="100"/>
        <v>5.3660460334774202E-2</v>
      </c>
      <c r="Y87" s="3">
        <f t="shared" ca="1" si="100"/>
        <v>5.3499673950878734E-2</v>
      </c>
      <c r="Z87" s="3">
        <f t="shared" ca="1" si="100"/>
        <v>6.5831002965083596E-2</v>
      </c>
      <c r="AA87" s="3">
        <f t="shared" ca="1" si="100"/>
        <v>5.958701677137096E-2</v>
      </c>
      <c r="AB87" s="3">
        <f t="shared" ref="AB87" ca="1" si="103">MIN(0.99,AB30+$O$3)</f>
        <v>7.5381057328910719E-2</v>
      </c>
      <c r="AC87" s="3">
        <f t="shared" ca="1" si="94"/>
        <v>6.4778784584749449E-2</v>
      </c>
      <c r="AD87" s="3">
        <f t="shared" ca="1" si="94"/>
        <v>8.3533992833571408E-2</v>
      </c>
      <c r="AE87" s="3">
        <f t="shared" ca="1" si="94"/>
        <v>7.03301878206498E-2</v>
      </c>
      <c r="AF87" s="3">
        <f t="shared" ca="1" si="94"/>
        <v>9.3580617085565504E-2</v>
      </c>
      <c r="AG87" s="3">
        <f t="shared" ca="1" si="94"/>
        <v>7.5091701692132973E-2</v>
      </c>
      <c r="AH87" s="3">
        <f t="shared" ca="1" si="94"/>
        <v>0.12068578564503185</v>
      </c>
      <c r="AI87" s="3">
        <f t="shared" ca="1" si="94"/>
        <v>0.10501996065402788</v>
      </c>
      <c r="AJ87" s="3">
        <f t="shared" ca="1" si="94"/>
        <v>0.18834749304180784</v>
      </c>
    </row>
    <row r="88" spans="1:36" x14ac:dyDescent="0.35">
      <c r="A88" t="s">
        <v>77</v>
      </c>
      <c r="B88" t="s">
        <v>61</v>
      </c>
      <c r="C88" s="4" t="s">
        <v>67</v>
      </c>
      <c r="D88" s="3">
        <f t="shared" ca="1" si="77"/>
        <v>3.0793320246782028E-2</v>
      </c>
      <c r="E88" s="3">
        <f t="shared" ca="1" si="100"/>
        <v>3.0992717845999863E-2</v>
      </c>
      <c r="F88" s="3">
        <f t="shared" ca="1" si="100"/>
        <v>3.1780284438381205E-2</v>
      </c>
      <c r="G88" s="3">
        <f t="shared" ca="1" si="100"/>
        <v>3.3680918048633386E-2</v>
      </c>
      <c r="H88" s="3">
        <f t="shared" ca="1" si="100"/>
        <v>3.4667933924075689E-2</v>
      </c>
      <c r="I88" s="3">
        <f t="shared" ca="1" si="100"/>
        <v>3.5277335313225675E-2</v>
      </c>
      <c r="J88" s="3">
        <f t="shared" ca="1" si="100"/>
        <v>3.7155216669435456E-2</v>
      </c>
      <c r="K88" s="3">
        <f t="shared" ca="1" si="100"/>
        <v>3.6364251068100886E-2</v>
      </c>
      <c r="L88" s="3">
        <f t="shared" ca="1" si="100"/>
        <v>3.8653668166451952E-2</v>
      </c>
      <c r="M88" s="3">
        <f t="shared" ca="1" si="100"/>
        <v>3.8890467353905153E-2</v>
      </c>
      <c r="N88" s="3">
        <f t="shared" ca="1" si="100"/>
        <v>4.0439097114423575E-2</v>
      </c>
      <c r="O88" s="3">
        <f t="shared" ca="1" si="100"/>
        <v>4.0067782470166263E-2</v>
      </c>
      <c r="P88" s="3">
        <f t="shared" ca="1" si="100"/>
        <v>4.3734426177822028E-2</v>
      </c>
      <c r="Q88" s="3">
        <f t="shared" ca="1" si="100"/>
        <v>4.1500932672616515E-2</v>
      </c>
      <c r="R88" s="3">
        <f t="shared" ca="1" si="100"/>
        <v>4.5453702223788667E-2</v>
      </c>
      <c r="S88" s="3">
        <f t="shared" ca="1" si="100"/>
        <v>4.4797006871431261E-2</v>
      </c>
      <c r="T88" s="3">
        <f t="shared" ca="1" si="100"/>
        <v>4.6578868964832952E-2</v>
      </c>
      <c r="U88" s="3">
        <f t="shared" ca="1" si="100"/>
        <v>4.6954011895133749E-2</v>
      </c>
      <c r="V88" s="3">
        <f t="shared" ca="1" si="100"/>
        <v>4.7518822959543738E-2</v>
      </c>
      <c r="W88" s="3">
        <f t="shared" ca="1" si="100"/>
        <v>5.0079790125747092E-2</v>
      </c>
      <c r="X88" s="3">
        <f t="shared" ca="1" si="100"/>
        <v>5.4600135549229212E-2</v>
      </c>
      <c r="Y88" s="3">
        <f t="shared" ca="1" si="100"/>
        <v>5.444663144100112E-2</v>
      </c>
      <c r="Z88" s="3">
        <f t="shared" ca="1" si="100"/>
        <v>6.6780444080212858E-2</v>
      </c>
      <c r="AA88" s="3">
        <f t="shared" ca="1" si="100"/>
        <v>6.0497018556339495E-2</v>
      </c>
      <c r="AB88" s="3">
        <f t="shared" ref="AB88" ca="1" si="104">MIN(0.99,AB31+$O$3)</f>
        <v>7.6361753001937566E-2</v>
      </c>
      <c r="AC88" s="3">
        <f t="shared" ca="1" si="94"/>
        <v>6.5718794988542453E-2</v>
      </c>
      <c r="AD88" s="3">
        <f t="shared" ca="1" si="94"/>
        <v>8.4524271696736208E-2</v>
      </c>
      <c r="AE88" s="3">
        <f t="shared" ca="1" si="94"/>
        <v>7.1283239914990942E-2</v>
      </c>
      <c r="AF88" s="3">
        <f t="shared" ca="1" si="94"/>
        <v>9.4539267146398515E-2</v>
      </c>
      <c r="AG88" s="3">
        <f t="shared" ca="1" si="94"/>
        <v>7.6070346964075886E-2</v>
      </c>
      <c r="AH88" s="3">
        <f t="shared" ca="1" si="94"/>
        <v>0.12164677503897431</v>
      </c>
      <c r="AI88" s="3">
        <f t="shared" ca="1" si="94"/>
        <v>0.10593086136708812</v>
      </c>
      <c r="AJ88" s="3">
        <f t="shared" ca="1" si="94"/>
        <v>0.18926608336829315</v>
      </c>
    </row>
    <row r="89" spans="1:36" x14ac:dyDescent="0.35">
      <c r="A89" t="s">
        <v>77</v>
      </c>
      <c r="B89" t="s">
        <v>61</v>
      </c>
      <c r="C89" s="4" t="s">
        <v>68</v>
      </c>
      <c r="D89" s="3">
        <f t="shared" ca="1" si="77"/>
        <v>3.1708431737973275E-2</v>
      </c>
      <c r="E89" s="3">
        <f t="shared" ca="1" si="100"/>
        <v>3.1914158858137059E-2</v>
      </c>
      <c r="F89" s="3">
        <f t="shared" ca="1" si="100"/>
        <v>3.2750633549250056E-2</v>
      </c>
      <c r="G89" s="3">
        <f t="shared" ca="1" si="100"/>
        <v>3.4613716964452187E-2</v>
      </c>
      <c r="H89" s="3">
        <f t="shared" ca="1" si="100"/>
        <v>3.5626299653767401E-2</v>
      </c>
      <c r="I89" s="3">
        <f t="shared" ca="1" si="100"/>
        <v>3.6192922609758101E-2</v>
      </c>
      <c r="J89" s="3">
        <f t="shared" ca="1" si="100"/>
        <v>3.8095272017823499E-2</v>
      </c>
      <c r="K89" s="3">
        <f t="shared" ca="1" si="100"/>
        <v>3.7289609381358085E-2</v>
      </c>
      <c r="L89" s="3">
        <f t="shared" ca="1" si="100"/>
        <v>3.9626356707338592E-2</v>
      </c>
      <c r="M89" s="3">
        <f t="shared" ca="1" si="100"/>
        <v>3.9809470648564979E-2</v>
      </c>
      <c r="N89" s="3">
        <f t="shared" ca="1" si="100"/>
        <v>4.139174281240364E-2</v>
      </c>
      <c r="O89" s="3">
        <f t="shared" ca="1" si="100"/>
        <v>4.0987951813989398E-2</v>
      </c>
      <c r="P89" s="3">
        <f t="shared" ca="1" si="100"/>
        <v>4.4638989119504105E-2</v>
      </c>
      <c r="Q89" s="3">
        <f t="shared" ca="1" si="100"/>
        <v>4.2423864833321299E-2</v>
      </c>
      <c r="R89" s="3">
        <f t="shared" ca="1" si="100"/>
        <v>4.642291279659444E-2</v>
      </c>
      <c r="S89" s="3">
        <f t="shared" ca="1" si="100"/>
        <v>4.5786803166332296E-2</v>
      </c>
      <c r="T89" s="3">
        <f t="shared" ca="1" si="100"/>
        <v>4.7524092272848831E-2</v>
      </c>
      <c r="U89" s="3">
        <f t="shared" ca="1" si="100"/>
        <v>4.7905242692745945E-2</v>
      </c>
      <c r="V89" s="3">
        <f t="shared" ca="1" si="100"/>
        <v>4.8518107876395003E-2</v>
      </c>
      <c r="W89" s="3">
        <f t="shared" ca="1" si="100"/>
        <v>5.0988775697220601E-2</v>
      </c>
      <c r="X89" s="3">
        <f t="shared" ca="1" si="100"/>
        <v>5.5592495878250957E-2</v>
      </c>
      <c r="Y89" s="3">
        <f t="shared" ca="1" si="100"/>
        <v>5.5432444536015459E-2</v>
      </c>
      <c r="Z89" s="3">
        <f t="shared" ca="1" si="100"/>
        <v>6.7711747457911656E-2</v>
      </c>
      <c r="AA89" s="3">
        <f t="shared" ca="1" si="100"/>
        <v>6.1464118434743635E-2</v>
      </c>
      <c r="AB89" s="3">
        <f t="shared" ref="AB89" ca="1" si="105">MIN(0.99,AB32+$O$3)</f>
        <v>7.7345955475484007E-2</v>
      </c>
      <c r="AC89" s="3">
        <f t="shared" ca="1" si="94"/>
        <v>6.6694397160940888E-2</v>
      </c>
      <c r="AD89" s="3">
        <f t="shared" ca="1" si="94"/>
        <v>8.5518290758750753E-2</v>
      </c>
      <c r="AE89" s="3">
        <f t="shared" ca="1" si="94"/>
        <v>7.2256048595480182E-2</v>
      </c>
      <c r="AF89" s="3">
        <f t="shared" ca="1" si="94"/>
        <v>9.5501390339330139E-2</v>
      </c>
      <c r="AG89" s="3">
        <f t="shared" ca="1" si="94"/>
        <v>7.6972768810459724E-2</v>
      </c>
      <c r="AH89" s="3">
        <f t="shared" ca="1" si="94"/>
        <v>0.12261022933992999</v>
      </c>
      <c r="AI89" s="3">
        <f t="shared" ca="1" si="94"/>
        <v>0.10688693687200629</v>
      </c>
      <c r="AJ89" s="3">
        <f t="shared" ca="1" si="94"/>
        <v>0.19017444105908202</v>
      </c>
    </row>
    <row r="90" spans="1:36" x14ac:dyDescent="0.35">
      <c r="A90" t="s">
        <v>77</v>
      </c>
      <c r="B90" t="s">
        <v>61</v>
      </c>
      <c r="C90" s="4">
        <v>4</v>
      </c>
      <c r="D90" s="3">
        <f t="shared" ca="1" si="77"/>
        <v>3.266771001827723E-2</v>
      </c>
      <c r="E90" s="3">
        <f t="shared" ca="1" si="100"/>
        <v>3.2913534346960122E-2</v>
      </c>
      <c r="F90" s="3">
        <f t="shared" ca="1" si="100"/>
        <v>3.3687261470318475E-2</v>
      </c>
      <c r="G90" s="3">
        <f t="shared" ca="1" si="100"/>
        <v>3.5590837431547964E-2</v>
      </c>
      <c r="H90" s="3">
        <f t="shared" ca="1" si="100"/>
        <v>3.6614074446901318E-2</v>
      </c>
      <c r="I90" s="3">
        <f t="shared" ca="1" si="100"/>
        <v>3.7173988161641913E-2</v>
      </c>
      <c r="J90" s="3">
        <f t="shared" ca="1" si="100"/>
        <v>3.9004839022599935E-2</v>
      </c>
      <c r="K90" s="3">
        <f t="shared" ca="1" si="100"/>
        <v>3.828590657645789E-2</v>
      </c>
      <c r="L90" s="3">
        <f t="shared" ca="1" si="100"/>
        <v>4.0541807990204459E-2</v>
      </c>
      <c r="M90" s="3">
        <f t="shared" ca="1" si="100"/>
        <v>4.0803565576580318E-2</v>
      </c>
      <c r="N90" s="3">
        <f t="shared" ca="1" si="100"/>
        <v>4.234430996526789E-2</v>
      </c>
      <c r="O90" s="3">
        <f t="shared" ca="1" si="100"/>
        <v>4.192816887160581E-2</v>
      </c>
      <c r="P90" s="3">
        <f t="shared" ca="1" si="100"/>
        <v>4.5587517428433991E-2</v>
      </c>
      <c r="Q90" s="3">
        <f t="shared" ca="1" si="100"/>
        <v>4.3384172015897053E-2</v>
      </c>
      <c r="R90" s="3">
        <f t="shared" ca="1" si="100"/>
        <v>4.7389367874658306E-2</v>
      </c>
      <c r="S90" s="3">
        <f t="shared" ca="1" si="100"/>
        <v>4.6751578555934162E-2</v>
      </c>
      <c r="T90" s="3">
        <f t="shared" ca="1" si="100"/>
        <v>4.8464714261268096E-2</v>
      </c>
      <c r="U90" s="3">
        <f t="shared" ca="1" si="100"/>
        <v>4.8808127986813221E-2</v>
      </c>
      <c r="V90" s="3">
        <f t="shared" ca="1" si="100"/>
        <v>4.9516033601478035E-2</v>
      </c>
      <c r="W90" s="3">
        <f t="shared" ca="1" si="100"/>
        <v>5.1922501814760186E-2</v>
      </c>
      <c r="X90" s="3">
        <f t="shared" ca="1" si="100"/>
        <v>5.6543995423398885E-2</v>
      </c>
      <c r="Y90" s="3">
        <f t="shared" ca="1" si="100"/>
        <v>5.6392047842902047E-2</v>
      </c>
      <c r="Z90" s="3">
        <f t="shared" ca="1" si="100"/>
        <v>6.8705449436738786E-2</v>
      </c>
      <c r="AA90" s="3">
        <f t="shared" ca="1" si="100"/>
        <v>6.2427592755868601E-2</v>
      </c>
      <c r="AB90" s="3">
        <f t="shared" ref="AB90" ca="1" si="106">MIN(0.99,AB33+$O$3)</f>
        <v>7.8310897289710774E-2</v>
      </c>
      <c r="AC90" s="3">
        <f t="shared" ca="1" si="94"/>
        <v>6.768980236785499E-2</v>
      </c>
      <c r="AD90" s="3">
        <f t="shared" ca="1" si="94"/>
        <v>8.6478755302205584E-2</v>
      </c>
      <c r="AE90" s="3">
        <f t="shared" ca="1" si="94"/>
        <v>7.3158401286225805E-2</v>
      </c>
      <c r="AF90" s="3">
        <f t="shared" ca="1" si="94"/>
        <v>9.6451511318269012E-2</v>
      </c>
      <c r="AG90" s="3">
        <f t="shared" ca="1" si="94"/>
        <v>7.7933855808909699E-2</v>
      </c>
      <c r="AH90" s="3">
        <f t="shared" ca="1" si="94"/>
        <v>0.12355755726151424</v>
      </c>
      <c r="AI90" s="3">
        <f t="shared" ca="1" si="94"/>
        <v>0.10788672293547447</v>
      </c>
      <c r="AJ90" s="3">
        <f t="shared" ca="1" si="94"/>
        <v>0.1910752177309564</v>
      </c>
    </row>
    <row r="91" spans="1:36" x14ac:dyDescent="0.35">
      <c r="A91" t="s">
        <v>77</v>
      </c>
      <c r="B91" t="s">
        <v>61</v>
      </c>
      <c r="C91" s="4" t="s">
        <v>69</v>
      </c>
      <c r="D91" s="3">
        <f t="shared" ca="1" si="77"/>
        <v>3.3584194710762363E-2</v>
      </c>
      <c r="E91" s="3">
        <f t="shared" ca="1" si="100"/>
        <v>3.3849201397244448E-2</v>
      </c>
      <c r="F91" s="3">
        <f t="shared" ca="1" si="100"/>
        <v>3.4626829121369607E-2</v>
      </c>
      <c r="G91" s="3">
        <f t="shared" ca="1" si="100"/>
        <v>3.6558847639654835E-2</v>
      </c>
      <c r="H91" s="3">
        <f t="shared" ca="1" si="100"/>
        <v>3.7581648252572306E-2</v>
      </c>
      <c r="I91" s="3">
        <f t="shared" ca="1" si="100"/>
        <v>3.8121003460088093E-2</v>
      </c>
      <c r="J91" s="3">
        <f t="shared" ca="1" si="100"/>
        <v>3.9968389396059165E-2</v>
      </c>
      <c r="K91" s="3">
        <f t="shared" ca="1" si="100"/>
        <v>3.9282601822707992E-2</v>
      </c>
      <c r="L91" s="3">
        <f t="shared" ca="1" si="100"/>
        <v>4.1528125036651056E-2</v>
      </c>
      <c r="M91" s="3">
        <f t="shared" ca="1" si="100"/>
        <v>4.1752972928767111E-2</v>
      </c>
      <c r="N91" s="3">
        <f t="shared" ca="1" si="100"/>
        <v>4.3274698007103068E-2</v>
      </c>
      <c r="O91" s="3">
        <f t="shared" ca="1" si="100"/>
        <v>4.2867015017448384E-2</v>
      </c>
      <c r="P91" s="3">
        <f t="shared" ca="1" si="100"/>
        <v>4.6537198093096657E-2</v>
      </c>
      <c r="Q91" s="3">
        <f t="shared" ca="1" si="100"/>
        <v>4.4334874162220747E-2</v>
      </c>
      <c r="R91" s="3">
        <f t="shared" ca="1" si="100"/>
        <v>4.8372598653691506E-2</v>
      </c>
      <c r="S91" s="3">
        <f t="shared" ca="1" si="100"/>
        <v>4.7706846782769805E-2</v>
      </c>
      <c r="T91" s="3">
        <f t="shared" ca="1" si="100"/>
        <v>4.9419041456490453E-2</v>
      </c>
      <c r="U91" s="3">
        <f t="shared" ca="1" si="100"/>
        <v>4.9734398693723092E-2</v>
      </c>
      <c r="V91" s="3">
        <f t="shared" ca="1" si="100"/>
        <v>5.051242174892201E-2</v>
      </c>
      <c r="W91" s="3">
        <f t="shared" ca="1" si="100"/>
        <v>5.2886282897960081E-2</v>
      </c>
      <c r="X91" s="3">
        <f t="shared" ca="1" si="100"/>
        <v>5.7485402574463801E-2</v>
      </c>
      <c r="Y91" s="3">
        <f t="shared" ca="1" si="100"/>
        <v>5.7319198919238014E-2</v>
      </c>
      <c r="Z91" s="3">
        <f t="shared" ca="1" si="100"/>
        <v>6.9679182807404455E-2</v>
      </c>
      <c r="AA91" s="3">
        <f t="shared" ca="1" si="100"/>
        <v>6.3356001933157713E-2</v>
      </c>
      <c r="AB91" s="3">
        <f t="shared" ref="AB91" ca="1" si="107">MIN(0.99,AB34+$O$3)</f>
        <v>7.930158318598185E-2</v>
      </c>
      <c r="AC91" s="3">
        <f t="shared" ca="1" si="94"/>
        <v>6.863527290859267E-2</v>
      </c>
      <c r="AD91" s="3">
        <f t="shared" ca="1" si="94"/>
        <v>8.7445138765231439E-2</v>
      </c>
      <c r="AE91" s="3">
        <f t="shared" ca="1" si="94"/>
        <v>7.4118769335408397E-2</v>
      </c>
      <c r="AF91" s="3">
        <f t="shared" ca="1" si="94"/>
        <v>9.7448129820980778E-2</v>
      </c>
      <c r="AG91" s="3">
        <f t="shared" ca="1" si="94"/>
        <v>7.8902818959252136E-2</v>
      </c>
      <c r="AH91" s="3">
        <f t="shared" ca="1" si="94"/>
        <v>0.12445765390513774</v>
      </c>
      <c r="AI91" s="3">
        <f t="shared" ca="1" si="94"/>
        <v>0.10886872988269336</v>
      </c>
      <c r="AJ91" s="3">
        <f t="shared" ca="1" si="94"/>
        <v>0.19197915607839866</v>
      </c>
    </row>
    <row r="92" spans="1:36" x14ac:dyDescent="0.35">
      <c r="A92" t="s">
        <v>77</v>
      </c>
      <c r="B92" t="s">
        <v>61</v>
      </c>
      <c r="C92" s="4" t="s">
        <v>70</v>
      </c>
      <c r="D92" s="3">
        <f t="shared" ca="1" si="77"/>
        <v>3.4523112061350683E-2</v>
      </c>
      <c r="E92" s="3">
        <f t="shared" ca="1" si="100"/>
        <v>3.4816882642038964E-2</v>
      </c>
      <c r="F92" s="3">
        <f t="shared" ca="1" si="100"/>
        <v>3.5599630135323732E-2</v>
      </c>
      <c r="G92" s="3">
        <f t="shared" ca="1" si="100"/>
        <v>3.7553263184614945E-2</v>
      </c>
      <c r="H92" s="3">
        <f t="shared" ca="1" si="100"/>
        <v>3.8482467910668464E-2</v>
      </c>
      <c r="I92" s="3">
        <f t="shared" ca="1" si="100"/>
        <v>3.903891172126478E-2</v>
      </c>
      <c r="J92" s="3">
        <f t="shared" ca="1" si="100"/>
        <v>4.0899360507581681E-2</v>
      </c>
      <c r="K92" s="3">
        <f t="shared" ca="1" si="100"/>
        <v>4.0208539089533299E-2</v>
      </c>
      <c r="L92" s="3">
        <f t="shared" ca="1" si="100"/>
        <v>4.2483431198743274E-2</v>
      </c>
      <c r="M92" s="3">
        <f t="shared" ca="1" si="100"/>
        <v>4.2738074974102321E-2</v>
      </c>
      <c r="N92" s="3">
        <f t="shared" ca="1" si="100"/>
        <v>4.4263701713317831E-2</v>
      </c>
      <c r="O92" s="3">
        <f t="shared" ca="1" si="100"/>
        <v>4.3775425950075789E-2</v>
      </c>
      <c r="P92" s="3">
        <f t="shared" ca="1" si="100"/>
        <v>4.7491083639963391E-2</v>
      </c>
      <c r="Q92" s="3">
        <f t="shared" ca="1" si="100"/>
        <v>4.5319204983845937E-2</v>
      </c>
      <c r="R92" s="3">
        <f t="shared" ca="1" si="100"/>
        <v>4.9307908545845255E-2</v>
      </c>
      <c r="S92" s="3">
        <f t="shared" ca="1" si="100"/>
        <v>4.8644330597377862E-2</v>
      </c>
      <c r="T92" s="3">
        <f t="shared" ca="1" si="100"/>
        <v>5.041358917475984E-2</v>
      </c>
      <c r="U92" s="3">
        <f t="shared" ca="1" si="100"/>
        <v>5.0724282230919668E-2</v>
      </c>
      <c r="V92" s="3">
        <f t="shared" ca="1" si="100"/>
        <v>5.1495899234573532E-2</v>
      </c>
      <c r="W92" s="3">
        <f t="shared" ca="1" si="100"/>
        <v>5.3824362858411232E-2</v>
      </c>
      <c r="X92" s="3">
        <f t="shared" ca="1" si="100"/>
        <v>5.8394770239329603E-2</v>
      </c>
      <c r="Y92" s="3">
        <f t="shared" ca="1" si="100"/>
        <v>5.8232931345332133E-2</v>
      </c>
      <c r="Z92" s="3">
        <f t="shared" ca="1" si="100"/>
        <v>7.0645068465414934E-2</v>
      </c>
      <c r="AA92" s="3">
        <f t="shared" ca="1" si="100"/>
        <v>6.4337076730445059E-2</v>
      </c>
      <c r="AB92" s="3">
        <f t="shared" ref="AB92" ca="1" si="108">MIN(0.99,AB35+$O$3)</f>
        <v>8.0258669423476162E-2</v>
      </c>
      <c r="AC92" s="3">
        <f t="shared" ca="1" si="94"/>
        <v>6.9580582467148142E-2</v>
      </c>
      <c r="AD92" s="3">
        <f t="shared" ca="1" si="94"/>
        <v>8.8352392710119937E-2</v>
      </c>
      <c r="AE92" s="3">
        <f t="shared" ca="1" si="94"/>
        <v>7.5024271440943646E-2</v>
      </c>
      <c r="AF92" s="3">
        <f t="shared" ca="1" si="94"/>
        <v>9.8391289563658141E-2</v>
      </c>
      <c r="AG92" s="3">
        <f t="shared" ca="1" si="94"/>
        <v>7.9815575790499166E-2</v>
      </c>
      <c r="AH92" s="3">
        <f t="shared" ca="1" si="94"/>
        <v>0.12538236159914148</v>
      </c>
      <c r="AI92" s="3">
        <f t="shared" ca="1" si="94"/>
        <v>0.10981448797878907</v>
      </c>
      <c r="AJ92" s="3">
        <f t="shared" ca="1" si="94"/>
        <v>0.19291369937451086</v>
      </c>
    </row>
    <row r="93" spans="1:36" x14ac:dyDescent="0.35">
      <c r="A93" t="s">
        <v>77</v>
      </c>
      <c r="B93" t="s">
        <v>61</v>
      </c>
      <c r="C93" s="4">
        <v>5</v>
      </c>
      <c r="D93" s="3">
        <f t="shared" ca="1" si="77"/>
        <v>3.5492190711387261E-2</v>
      </c>
      <c r="E93" s="3">
        <f t="shared" ca="1" si="100"/>
        <v>3.5757829781691501E-2</v>
      </c>
      <c r="F93" s="3">
        <f t="shared" ca="1" si="100"/>
        <v>3.6535935912396442E-2</v>
      </c>
      <c r="G93" s="3">
        <f t="shared" ca="1" si="100"/>
        <v>3.8548794499744111E-2</v>
      </c>
      <c r="H93" s="3">
        <f t="shared" ca="1" si="100"/>
        <v>3.9452822905508597E-2</v>
      </c>
      <c r="I93" s="3">
        <f t="shared" ca="1" si="100"/>
        <v>3.9975220516922094E-2</v>
      </c>
      <c r="J93" s="3">
        <f t="shared" ca="1" si="100"/>
        <v>4.1827210669389388E-2</v>
      </c>
      <c r="K93" s="3">
        <f t="shared" ca="1" si="100"/>
        <v>4.1196292521258934E-2</v>
      </c>
      <c r="L93" s="3">
        <f t="shared" ca="1" si="100"/>
        <v>4.338632831459345E-2</v>
      </c>
      <c r="M93" s="3">
        <f t="shared" ca="1" si="100"/>
        <v>4.3683003004481358E-2</v>
      </c>
      <c r="N93" s="3">
        <f t="shared" ca="1" si="100"/>
        <v>4.5263515245693997E-2</v>
      </c>
      <c r="O93" s="3">
        <f t="shared" ca="1" si="100"/>
        <v>4.4758951880278758E-2</v>
      </c>
      <c r="P93" s="3">
        <f t="shared" ca="1" si="100"/>
        <v>4.8469748278415617E-2</v>
      </c>
      <c r="Q93" s="3">
        <f t="shared" ca="1" si="100"/>
        <v>4.6314213924002777E-2</v>
      </c>
      <c r="R93" s="3">
        <f t="shared" ca="1" si="100"/>
        <v>5.0262879475122826E-2</v>
      </c>
      <c r="S93" s="3">
        <f t="shared" ca="1" si="100"/>
        <v>4.9589166453362893E-2</v>
      </c>
      <c r="T93" s="3">
        <f t="shared" ca="1" si="100"/>
        <v>5.136710555438477E-2</v>
      </c>
      <c r="U93" s="3">
        <f t="shared" ca="1" si="100"/>
        <v>5.1719100639236584E-2</v>
      </c>
      <c r="V93" s="3">
        <f t="shared" ca="1" si="100"/>
        <v>5.2425901175665424E-2</v>
      </c>
      <c r="W93" s="3">
        <f t="shared" ca="1" si="100"/>
        <v>5.4822284727731325E-2</v>
      </c>
      <c r="X93" s="3">
        <f t="shared" ca="1" si="100"/>
        <v>5.934239061207313E-2</v>
      </c>
      <c r="Y93" s="3">
        <f t="shared" ca="1" si="100"/>
        <v>5.913411588292293E-2</v>
      </c>
      <c r="Z93" s="3">
        <f t="shared" ca="1" si="100"/>
        <v>7.1580327123027615E-2</v>
      </c>
      <c r="AA93" s="3">
        <f t="shared" ca="1" si="100"/>
        <v>6.5303936951549374E-2</v>
      </c>
      <c r="AB93" s="3">
        <f t="shared" ref="AB93" ca="1" si="109">MIN(0.99,AB36+$O$3)</f>
        <v>8.1244664619405327E-2</v>
      </c>
      <c r="AC93" s="3">
        <f t="shared" ca="1" si="94"/>
        <v>7.0512824361098278E-2</v>
      </c>
      <c r="AD93" s="3">
        <f t="shared" ca="1" si="94"/>
        <v>8.9333139568749415E-2</v>
      </c>
      <c r="AE93" s="3">
        <f t="shared" ca="1" si="94"/>
        <v>7.6013341785540867E-2</v>
      </c>
      <c r="AF93" s="3">
        <f t="shared" ca="1" si="94"/>
        <v>9.9308349184547784E-2</v>
      </c>
      <c r="AG93" s="3">
        <f t="shared" ca="1" si="94"/>
        <v>8.0795013893240217E-2</v>
      </c>
      <c r="AH93" s="3">
        <f t="shared" ca="1" si="94"/>
        <v>0.12629886226862744</v>
      </c>
      <c r="AI93" s="3">
        <f t="shared" ca="1" si="94"/>
        <v>0.11071999089498677</v>
      </c>
      <c r="AJ93" s="3">
        <f t="shared" ca="1" si="94"/>
        <v>0.19388647927439454</v>
      </c>
    </row>
    <row r="94" spans="1:36" x14ac:dyDescent="0.35">
      <c r="A94" t="s">
        <v>77</v>
      </c>
      <c r="B94" t="s">
        <v>61</v>
      </c>
      <c r="C94" s="4" t="s">
        <v>71</v>
      </c>
      <c r="D94" s="3">
        <f t="shared" ca="1" si="77"/>
        <v>3.6484454900301319E-2</v>
      </c>
      <c r="E94" s="3">
        <f t="shared" ca="1" si="100"/>
        <v>3.6686051836511552E-2</v>
      </c>
      <c r="F94" s="3">
        <f t="shared" ca="1" si="100"/>
        <v>3.7478260473116851E-2</v>
      </c>
      <c r="G94" s="3">
        <f t="shared" ca="1" si="100"/>
        <v>3.9489371479568387E-2</v>
      </c>
      <c r="H94" s="3">
        <f t="shared" ca="1" si="100"/>
        <v>4.0362343993236724E-2</v>
      </c>
      <c r="I94" s="3">
        <f t="shared" ca="1" si="100"/>
        <v>4.0911255881639519E-2</v>
      </c>
      <c r="J94" s="3">
        <f t="shared" ca="1" si="100"/>
        <v>4.2777221799076566E-2</v>
      </c>
      <c r="K94" s="3">
        <f t="shared" ca="1" si="100"/>
        <v>4.2152562866536736E-2</v>
      </c>
      <c r="L94" s="3">
        <f t="shared" ca="1" si="100"/>
        <v>4.4377989724146694E-2</v>
      </c>
      <c r="M94" s="3">
        <f t="shared" ca="1" si="100"/>
        <v>4.4663672245828179E-2</v>
      </c>
      <c r="N94" s="3">
        <f t="shared" ca="1" si="100"/>
        <v>4.6257238766008402E-2</v>
      </c>
      <c r="O94" s="3">
        <f t="shared" ca="1" si="100"/>
        <v>4.5707783696861459E-2</v>
      </c>
      <c r="P94" s="3">
        <f t="shared" ca="1" si="100"/>
        <v>4.9381512587715809E-2</v>
      </c>
      <c r="Q94" s="3">
        <f t="shared" ca="1" si="100"/>
        <v>4.7273755738102927E-2</v>
      </c>
      <c r="R94" s="3">
        <f t="shared" ca="1" si="100"/>
        <v>5.1224006454352274E-2</v>
      </c>
      <c r="S94" s="3">
        <f t="shared" ca="1" si="100"/>
        <v>5.05546801410829E-2</v>
      </c>
      <c r="T94" s="3">
        <f t="shared" ca="1" si="100"/>
        <v>5.2280803373116511E-2</v>
      </c>
      <c r="U94" s="3">
        <f t="shared" ca="1" si="100"/>
        <v>5.2647362019711402E-2</v>
      </c>
      <c r="V94" s="3">
        <f t="shared" ca="1" si="100"/>
        <v>5.3391946009736166E-2</v>
      </c>
      <c r="W94" s="3">
        <f t="shared" ca="1" si="100"/>
        <v>5.5821584433293756E-2</v>
      </c>
      <c r="X94" s="3">
        <f t="shared" ca="1" si="100"/>
        <v>6.0299206174396269E-2</v>
      </c>
      <c r="Y94" s="3">
        <f t="shared" ca="1" si="100"/>
        <v>6.0077544099665155E-2</v>
      </c>
      <c r="Z94" s="3">
        <f t="shared" ca="1" si="100"/>
        <v>7.2552309449170654E-2</v>
      </c>
      <c r="AA94" s="3">
        <f t="shared" ca="1" si="100"/>
        <v>6.6292686553740696E-2</v>
      </c>
      <c r="AB94" s="3">
        <f t="shared" ref="AB94" ca="1" si="110">MIN(0.99,AB37+$O$3)</f>
        <v>8.2174241081540672E-2</v>
      </c>
      <c r="AC94" s="3">
        <f t="shared" ca="1" si="94"/>
        <v>7.1414869977706047E-2</v>
      </c>
      <c r="AD94" s="3">
        <f t="shared" ca="1" si="94"/>
        <v>9.0244362191161692E-2</v>
      </c>
      <c r="AE94" s="3">
        <f t="shared" ca="1" si="94"/>
        <v>7.6963008350562537E-2</v>
      </c>
      <c r="AF94" s="3">
        <f t="shared" ca="1" si="94"/>
        <v>0.10027168689704344</v>
      </c>
      <c r="AG94" s="3">
        <f t="shared" ca="1" si="94"/>
        <v>8.1747341133391549E-2</v>
      </c>
      <c r="AH94" s="3">
        <f t="shared" ca="1" si="94"/>
        <v>0.12723751749255069</v>
      </c>
      <c r="AI94" s="3">
        <f t="shared" ca="1" si="94"/>
        <v>0.11171464727072081</v>
      </c>
      <c r="AJ94" s="3">
        <f t="shared" ca="1" si="94"/>
        <v>0.19488108553655042</v>
      </c>
    </row>
    <row r="95" spans="1:36" x14ac:dyDescent="0.35">
      <c r="A95" t="s">
        <v>77</v>
      </c>
      <c r="B95" t="s">
        <v>61</v>
      </c>
      <c r="C95" s="4" t="s">
        <v>72</v>
      </c>
      <c r="D95" s="3">
        <f t="shared" ca="1" si="77"/>
        <v>3.7438939243967913E-2</v>
      </c>
      <c r="E95" s="3">
        <f t="shared" ca="1" si="100"/>
        <v>3.7644712168429975E-2</v>
      </c>
      <c r="F95" s="3">
        <f t="shared" ca="1" si="100"/>
        <v>3.8415597778274205E-2</v>
      </c>
      <c r="G95" s="3">
        <f t="shared" ca="1" si="100"/>
        <v>4.0473693954814004E-2</v>
      </c>
      <c r="H95" s="3">
        <f t="shared" ca="1" si="100"/>
        <v>4.1352076935953296E-2</v>
      </c>
      <c r="I95" s="3">
        <f t="shared" ca="1" si="100"/>
        <v>4.1847010510658353E-2</v>
      </c>
      <c r="J95" s="3">
        <f t="shared" ca="1" si="100"/>
        <v>4.3767276567622262E-2</v>
      </c>
      <c r="K95" s="3">
        <f t="shared" ca="1" si="100"/>
        <v>4.3072023986234095E-2</v>
      </c>
      <c r="L95" s="3">
        <f t="shared" ca="1" si="100"/>
        <v>4.5328679218008816E-2</v>
      </c>
      <c r="M95" s="3">
        <f t="shared" ca="1" si="100"/>
        <v>4.5636657786686227E-2</v>
      </c>
      <c r="N95" s="3">
        <f t="shared" ca="1" si="100"/>
        <v>4.7235393058275912E-2</v>
      </c>
      <c r="O95" s="3">
        <f t="shared" ca="1" si="100"/>
        <v>4.6693052747464929E-2</v>
      </c>
      <c r="P95" s="3">
        <f t="shared" ca="1" si="100"/>
        <v>5.0353375629964975E-2</v>
      </c>
      <c r="Q95" s="3">
        <f t="shared" ca="1" si="100"/>
        <v>4.817966698217091E-2</v>
      </c>
      <c r="R95" s="3">
        <f t="shared" ca="1" si="100"/>
        <v>5.215725819865745E-2</v>
      </c>
      <c r="S95" s="3">
        <f t="shared" ca="1" si="100"/>
        <v>5.1501915946190427E-2</v>
      </c>
      <c r="T95" s="3">
        <f t="shared" ca="1" si="100"/>
        <v>5.3280352248944882E-2</v>
      </c>
      <c r="U95" s="3">
        <f t="shared" ca="1" si="100"/>
        <v>5.3595759629499348E-2</v>
      </c>
      <c r="V95" s="3">
        <f t="shared" ca="1" si="100"/>
        <v>5.4319788123702424E-2</v>
      </c>
      <c r="W95" s="3">
        <f t="shared" ca="1" si="100"/>
        <v>5.6811262402210759E-2</v>
      </c>
      <c r="X95" s="3">
        <f t="shared" ca="1" si="100"/>
        <v>6.1237038666692889E-2</v>
      </c>
      <c r="Y95" s="3">
        <f t="shared" ca="1" si="100"/>
        <v>6.1074734196958247E-2</v>
      </c>
      <c r="Z95" s="3">
        <f t="shared" ca="1" si="100"/>
        <v>7.3477911135174712E-2</v>
      </c>
      <c r="AA95" s="3">
        <f t="shared" ca="1" si="100"/>
        <v>6.7274771267108471E-2</v>
      </c>
      <c r="AB95" s="3">
        <f t="shared" ref="AB95:AJ110" ca="1" si="111">MIN(0.99,AB38+$O$3)</f>
        <v>8.3117932869385319E-2</v>
      </c>
      <c r="AC95" s="3">
        <f t="shared" ca="1" si="111"/>
        <v>7.2414404917709979E-2</v>
      </c>
      <c r="AD95" s="3">
        <f t="shared" ca="1" si="111"/>
        <v>9.1209359896021802E-2</v>
      </c>
      <c r="AE95" s="3">
        <f t="shared" ca="1" si="111"/>
        <v>7.7932612433054771E-2</v>
      </c>
      <c r="AF95" s="3">
        <f t="shared" ca="1" si="111"/>
        <v>0.10124633726245408</v>
      </c>
      <c r="AG95" s="3">
        <f t="shared" ca="1" si="111"/>
        <v>8.2701428021291712E-2</v>
      </c>
      <c r="AH95" s="3">
        <f t="shared" ca="1" si="111"/>
        <v>0.12814310721984884</v>
      </c>
      <c r="AI95" s="3">
        <f t="shared" ca="1" si="111"/>
        <v>0.11266223769231953</v>
      </c>
      <c r="AJ95" s="3">
        <f t="shared" ca="1" si="111"/>
        <v>0.1958365499943</v>
      </c>
    </row>
    <row r="96" spans="1:36" x14ac:dyDescent="0.35">
      <c r="A96" t="s">
        <v>77</v>
      </c>
      <c r="B96" t="s">
        <v>61</v>
      </c>
      <c r="C96" s="4">
        <v>6</v>
      </c>
      <c r="D96" s="3">
        <f t="shared" ca="1" si="77"/>
        <v>3.8412748521250435E-2</v>
      </c>
      <c r="E96" s="3">
        <f t="shared" ca="1" si="100"/>
        <v>3.8563121751142182E-2</v>
      </c>
      <c r="F96" s="3">
        <f t="shared" ca="1" si="100"/>
        <v>3.9345193633923123E-2</v>
      </c>
      <c r="G96" s="3">
        <f t="shared" ca="1" si="100"/>
        <v>4.1422006573476833E-2</v>
      </c>
      <c r="H96" s="3">
        <f t="shared" ca="1" si="100"/>
        <v>4.2268702262347954E-2</v>
      </c>
      <c r="I96" s="3">
        <f t="shared" ca="1" si="100"/>
        <v>4.2770235805852444E-2</v>
      </c>
      <c r="J96" s="3">
        <f t="shared" ca="1" si="100"/>
        <v>4.4671972122494977E-2</v>
      </c>
      <c r="K96" s="3">
        <f t="shared" ca="1" si="100"/>
        <v>4.4007063927246445E-2</v>
      </c>
      <c r="L96" s="3">
        <f t="shared" ca="1" si="100"/>
        <v>4.6271303248341986E-2</v>
      </c>
      <c r="M96" s="3">
        <f t="shared" ca="1" si="100"/>
        <v>4.6610365876717658E-2</v>
      </c>
      <c r="N96" s="3">
        <f t="shared" ca="1" si="100"/>
        <v>4.8203749435113658E-2</v>
      </c>
      <c r="O96" s="3">
        <f t="shared" ca="1" si="100"/>
        <v>4.769143999502172E-2</v>
      </c>
      <c r="P96" s="3">
        <f t="shared" ca="1" si="100"/>
        <v>5.1270604251097723E-2</v>
      </c>
      <c r="Q96" s="3">
        <f t="shared" ca="1" si="100"/>
        <v>4.9179408448813446E-2</v>
      </c>
      <c r="R96" s="3">
        <f t="shared" ca="1" si="100"/>
        <v>5.314236974163003E-2</v>
      </c>
      <c r="S96" s="3">
        <f t="shared" ca="1" si="100"/>
        <v>5.2466851635476576E-2</v>
      </c>
      <c r="T96" s="3">
        <f t="shared" ca="1" si="100"/>
        <v>5.4269073544278706E-2</v>
      </c>
      <c r="U96" s="3">
        <f t="shared" ca="1" si="100"/>
        <v>5.4571096995211538E-2</v>
      </c>
      <c r="V96" s="3">
        <f t="shared" ca="1" si="100"/>
        <v>5.5289308142138886E-2</v>
      </c>
      <c r="W96" s="3">
        <f t="shared" ca="1" si="100"/>
        <v>5.7804533323171106E-2</v>
      </c>
      <c r="X96" s="3">
        <f t="shared" ca="1" si="100"/>
        <v>6.2229769125465378E-2</v>
      </c>
      <c r="Y96" s="3">
        <f t="shared" ca="1" si="100"/>
        <v>6.2001000442242958E-2</v>
      </c>
      <c r="Z96" s="3">
        <f t="shared" ref="E96:AA107" ca="1" si="112">MIN(0.99,Z39+$O$3)</f>
        <v>7.4427924377241966E-2</v>
      </c>
      <c r="AA96" s="3">
        <f t="shared" ca="1" si="112"/>
        <v>6.8250966004294894E-2</v>
      </c>
      <c r="AB96" s="3">
        <f t="shared" ref="AB96" ca="1" si="113">MIN(0.99,AB39+$O$3)</f>
        <v>8.4053966335099761E-2</v>
      </c>
      <c r="AC96" s="3">
        <f t="shared" ca="1" si="111"/>
        <v>7.338849977320866E-2</v>
      </c>
      <c r="AD96" s="3">
        <f t="shared" ca="1" si="111"/>
        <v>9.2155431487015271E-2</v>
      </c>
      <c r="AE96" s="3">
        <f t="shared" ca="1" si="111"/>
        <v>7.8920315427896973E-2</v>
      </c>
      <c r="AF96" s="3">
        <f t="shared" ca="1" si="111"/>
        <v>0.10221370873309576</v>
      </c>
      <c r="AG96" s="3">
        <f t="shared" ca="1" si="111"/>
        <v>8.3606942220334976E-2</v>
      </c>
      <c r="AH96" s="3">
        <f t="shared" ca="1" si="111"/>
        <v>0.12913563349026996</v>
      </c>
      <c r="AI96" s="3">
        <f t="shared" ca="1" si="111"/>
        <v>0.1136295919522802</v>
      </c>
      <c r="AJ96" s="3">
        <f t="shared" ca="1" si="111"/>
        <v>0.19678064281299038</v>
      </c>
    </row>
    <row r="97" spans="1:36" x14ac:dyDescent="0.35">
      <c r="A97" t="s">
        <v>77</v>
      </c>
      <c r="B97" t="s">
        <v>61</v>
      </c>
      <c r="C97" s="4" t="s">
        <v>73</v>
      </c>
      <c r="D97" s="3">
        <f t="shared" ca="1" si="77"/>
        <v>3.9405762019646157E-2</v>
      </c>
      <c r="E97" s="3">
        <f t="shared" ca="1" si="112"/>
        <v>3.9557962367549257E-2</v>
      </c>
      <c r="F97" s="3">
        <f t="shared" ca="1" si="112"/>
        <v>4.0285233794687375E-2</v>
      </c>
      <c r="G97" s="3">
        <f t="shared" ca="1" si="112"/>
        <v>4.2323191021016213E-2</v>
      </c>
      <c r="H97" s="3">
        <f t="shared" ca="1" si="112"/>
        <v>4.3190680806712893E-2</v>
      </c>
      <c r="I97" s="3">
        <f t="shared" ca="1" si="112"/>
        <v>4.372116057938856E-2</v>
      </c>
      <c r="J97" s="3">
        <f t="shared" ca="1" si="112"/>
        <v>4.566209330122336E-2</v>
      </c>
      <c r="K97" s="3">
        <f t="shared" ca="1" si="112"/>
        <v>4.4907845358551038E-2</v>
      </c>
      <c r="L97" s="3">
        <f t="shared" ca="1" si="112"/>
        <v>4.7223102569838728E-2</v>
      </c>
      <c r="M97" s="3">
        <f t="shared" ca="1" si="112"/>
        <v>4.7596153588644954E-2</v>
      </c>
      <c r="N97" s="3">
        <f t="shared" ca="1" si="112"/>
        <v>4.9179215680414418E-2</v>
      </c>
      <c r="O97" s="3">
        <f t="shared" ca="1" si="112"/>
        <v>4.8673053703103403E-2</v>
      </c>
      <c r="P97" s="3">
        <f t="shared" ca="1" si="112"/>
        <v>5.2219756104586304E-2</v>
      </c>
      <c r="Q97" s="3">
        <f t="shared" ca="1" si="112"/>
        <v>5.015538284652038E-2</v>
      </c>
      <c r="R97" s="3">
        <f t="shared" ca="1" si="112"/>
        <v>5.4092459080454083E-2</v>
      </c>
      <c r="S97" s="3">
        <f t="shared" ca="1" si="112"/>
        <v>5.3426304819436374E-2</v>
      </c>
      <c r="T97" s="3">
        <f t="shared" ca="1" si="112"/>
        <v>5.5176411470082017E-2</v>
      </c>
      <c r="U97" s="3">
        <f t="shared" ca="1" si="112"/>
        <v>5.5496388431294799E-2</v>
      </c>
      <c r="V97" s="3">
        <f t="shared" ca="1" si="112"/>
        <v>5.6229871673949279E-2</v>
      </c>
      <c r="W97" s="3">
        <f t="shared" ca="1" si="112"/>
        <v>5.8782459582558427E-2</v>
      </c>
      <c r="X97" s="3">
        <f t="shared" ca="1" si="112"/>
        <v>6.3181579702867821E-2</v>
      </c>
      <c r="Y97" s="3">
        <f t="shared" ca="1" si="112"/>
        <v>6.2902737204013542E-2</v>
      </c>
      <c r="Z97" s="3">
        <f t="shared" ca="1" si="112"/>
        <v>7.5426583367858985E-2</v>
      </c>
      <c r="AA97" s="3">
        <f t="shared" ca="1" si="112"/>
        <v>6.9225144233269531E-2</v>
      </c>
      <c r="AB97" s="3">
        <f t="shared" ref="AB97" ca="1" si="114">MIN(0.99,AB40+$O$3)</f>
        <v>8.4995697239400619E-2</v>
      </c>
      <c r="AC97" s="3">
        <f t="shared" ca="1" si="111"/>
        <v>7.4375085525391349E-2</v>
      </c>
      <c r="AD97" s="3">
        <f t="shared" ca="1" si="111"/>
        <v>9.3094084240374214E-2</v>
      </c>
      <c r="AE97" s="3">
        <f t="shared" ca="1" si="111"/>
        <v>7.9894842995068799E-2</v>
      </c>
      <c r="AF97" s="3">
        <f t="shared" ca="1" si="111"/>
        <v>0.10313619918075595</v>
      </c>
      <c r="AG97" s="3">
        <f t="shared" ca="1" si="111"/>
        <v>8.4584020613767269E-2</v>
      </c>
      <c r="AH97" s="3">
        <f t="shared" ca="1" si="111"/>
        <v>0.13005028626100149</v>
      </c>
      <c r="AI97" s="3">
        <f t="shared" ca="1" si="111"/>
        <v>0.11459613312924785</v>
      </c>
      <c r="AJ97" s="3">
        <f t="shared" ca="1" si="111"/>
        <v>0.1976939988446183</v>
      </c>
    </row>
    <row r="98" spans="1:36" x14ac:dyDescent="0.35">
      <c r="A98" t="s">
        <v>77</v>
      </c>
      <c r="B98" t="s">
        <v>61</v>
      </c>
      <c r="C98" s="4" t="s">
        <v>74</v>
      </c>
      <c r="D98" s="3">
        <f t="shared" ca="1" si="77"/>
        <v>4.0323956046054515E-2</v>
      </c>
      <c r="E98" s="3">
        <f t="shared" ca="1" si="112"/>
        <v>4.0535229102321067E-2</v>
      </c>
      <c r="F98" s="3">
        <f t="shared" ca="1" si="112"/>
        <v>4.1221165352956321E-2</v>
      </c>
      <c r="G98" s="3">
        <f t="shared" ca="1" si="112"/>
        <v>4.3264475917527426E-2</v>
      </c>
      <c r="H98" s="3">
        <f t="shared" ca="1" si="112"/>
        <v>4.4110506505250169E-2</v>
      </c>
      <c r="I98" s="3">
        <f t="shared" ca="1" si="112"/>
        <v>4.4691737270141196E-2</v>
      </c>
      <c r="J98" s="3">
        <f t="shared" ca="1" si="112"/>
        <v>4.6642517697877049E-2</v>
      </c>
      <c r="K98" s="3">
        <f t="shared" ca="1" si="112"/>
        <v>4.5867936768599016E-2</v>
      </c>
      <c r="L98" s="3">
        <f t="shared" ca="1" si="112"/>
        <v>4.8205066646935177E-2</v>
      </c>
      <c r="M98" s="3">
        <f t="shared" ca="1" si="112"/>
        <v>4.8575381582484867E-2</v>
      </c>
      <c r="N98" s="3">
        <f t="shared" ca="1" si="112"/>
        <v>5.0120671372874105E-2</v>
      </c>
      <c r="O98" s="3">
        <f t="shared" ca="1" si="112"/>
        <v>4.9611253627850044E-2</v>
      </c>
      <c r="P98" s="3">
        <f t="shared" ca="1" si="112"/>
        <v>5.3211963898851466E-2</v>
      </c>
      <c r="Q98" s="3">
        <f t="shared" ca="1" si="112"/>
        <v>5.1099948449425975E-2</v>
      </c>
      <c r="R98" s="3">
        <f t="shared" ca="1" si="112"/>
        <v>5.50289761957009E-2</v>
      </c>
      <c r="S98" s="3">
        <f t="shared" ca="1" si="112"/>
        <v>5.4407068323256889E-2</v>
      </c>
      <c r="T98" s="3">
        <f t="shared" ca="1" si="112"/>
        <v>5.6133904671322628E-2</v>
      </c>
      <c r="U98" s="3">
        <f t="shared" ca="1" si="112"/>
        <v>5.6427922067647178E-2</v>
      </c>
      <c r="V98" s="3">
        <f t="shared" ca="1" si="112"/>
        <v>5.7215559904088345E-2</v>
      </c>
      <c r="W98" s="3">
        <f t="shared" ca="1" si="112"/>
        <v>5.9771454650514796E-2</v>
      </c>
      <c r="X98" s="3">
        <f t="shared" ca="1" si="112"/>
        <v>6.4160612506787118E-2</v>
      </c>
      <c r="Y98" s="3">
        <f t="shared" ca="1" si="112"/>
        <v>6.3873468736625305E-2</v>
      </c>
      <c r="Z98" s="3">
        <f t="shared" ca="1" si="112"/>
        <v>7.6341536100527407E-2</v>
      </c>
      <c r="AA98" s="3">
        <f t="shared" ca="1" si="112"/>
        <v>7.0176968016531047E-2</v>
      </c>
      <c r="AB98" s="3">
        <f t="shared" ref="AB98" ca="1" si="115">MIN(0.99,AB41+$O$3)</f>
        <v>8.5990123550503339E-2</v>
      </c>
      <c r="AC98" s="3">
        <f t="shared" ca="1" si="111"/>
        <v>7.5309467160535243E-2</v>
      </c>
      <c r="AD98" s="3">
        <f t="shared" ca="1" si="111"/>
        <v>9.4018612671417673E-2</v>
      </c>
      <c r="AE98" s="3">
        <f t="shared" ca="1" si="111"/>
        <v>8.0894683369195933E-2</v>
      </c>
      <c r="AF98" s="3">
        <f t="shared" ca="1" si="111"/>
        <v>0.10407797767520566</v>
      </c>
      <c r="AG98" s="3">
        <f t="shared" ca="1" si="111"/>
        <v>8.5580887614734757E-2</v>
      </c>
      <c r="AH98" s="3">
        <f t="shared" ca="1" si="111"/>
        <v>0.13103892370317527</v>
      </c>
      <c r="AI98" s="3">
        <f t="shared" ca="1" si="111"/>
        <v>0.1155553544915168</v>
      </c>
      <c r="AJ98" s="3">
        <f t="shared" ca="1" si="111"/>
        <v>0.19868148716991491</v>
      </c>
    </row>
    <row r="99" spans="1:36" x14ac:dyDescent="0.35">
      <c r="A99" t="s">
        <v>77</v>
      </c>
      <c r="B99" t="s">
        <v>61</v>
      </c>
      <c r="C99" s="4">
        <v>7</v>
      </c>
      <c r="D99" s="3">
        <f t="shared" ca="1" si="77"/>
        <v>4.1249132611260175E-2</v>
      </c>
      <c r="E99" s="3">
        <f t="shared" ca="1" si="112"/>
        <v>4.1438560177040257E-2</v>
      </c>
      <c r="F99" s="3">
        <f t="shared" ca="1" si="112"/>
        <v>4.2167307037448989E-2</v>
      </c>
      <c r="G99" s="3">
        <f t="shared" ca="1" si="112"/>
        <v>4.420686627907941E-2</v>
      </c>
      <c r="H99" s="3">
        <f t="shared" ca="1" si="112"/>
        <v>4.5020857107338212E-2</v>
      </c>
      <c r="I99" s="3">
        <f t="shared" ca="1" si="112"/>
        <v>4.5615049282589568E-2</v>
      </c>
      <c r="J99" s="3">
        <f t="shared" ca="1" si="112"/>
        <v>4.7562881362628637E-2</v>
      </c>
      <c r="K99" s="3">
        <f t="shared" ca="1" si="112"/>
        <v>4.6829251414794174E-2</v>
      </c>
      <c r="L99" s="3">
        <f t="shared" ca="1" si="112"/>
        <v>4.9150841408044765E-2</v>
      </c>
      <c r="M99" s="3">
        <f t="shared" ca="1" si="112"/>
        <v>4.9546153712486947E-2</v>
      </c>
      <c r="N99" s="3">
        <f t="shared" ca="1" si="112"/>
        <v>5.1048457546872421E-2</v>
      </c>
      <c r="O99" s="3">
        <f t="shared" ca="1" si="112"/>
        <v>5.058238472403162E-2</v>
      </c>
      <c r="P99" s="3">
        <f t="shared" ca="1" si="112"/>
        <v>5.4197256956899365E-2</v>
      </c>
      <c r="Q99" s="3">
        <f t="shared" ca="1" si="112"/>
        <v>5.203395492234647E-2</v>
      </c>
      <c r="R99" s="3">
        <f t="shared" ca="1" si="112"/>
        <v>5.6000488040691028E-2</v>
      </c>
      <c r="S99" s="3">
        <f t="shared" ca="1" si="112"/>
        <v>5.537113686370982E-2</v>
      </c>
      <c r="T99" s="3">
        <f t="shared" ca="1" si="112"/>
        <v>5.7036881929668624E-2</v>
      </c>
      <c r="U99" s="3">
        <f t="shared" ca="1" si="112"/>
        <v>5.734547302668877E-2</v>
      </c>
      <c r="V99" s="3">
        <f t="shared" ca="1" si="112"/>
        <v>5.812061896288679E-2</v>
      </c>
      <c r="W99" s="3">
        <f t="shared" ca="1" si="112"/>
        <v>6.0757978177912404E-2</v>
      </c>
      <c r="X99" s="3">
        <f t="shared" ca="1" si="112"/>
        <v>6.5100155021841993E-2</v>
      </c>
      <c r="Y99" s="3">
        <f t="shared" ca="1" si="112"/>
        <v>6.485463881447262E-2</v>
      </c>
      <c r="Z99" s="3">
        <f t="shared" ca="1" si="112"/>
        <v>7.7299628502379494E-2</v>
      </c>
      <c r="AA99" s="3">
        <f t="shared" ca="1" si="112"/>
        <v>7.1152630594572996E-2</v>
      </c>
      <c r="AB99" s="3">
        <f t="shared" ref="AB99" ca="1" si="116">MIN(0.99,AB42+$O$3)</f>
        <v>8.6971554424525893E-2</v>
      </c>
      <c r="AC99" s="3">
        <f t="shared" ca="1" si="111"/>
        <v>7.6209764955341749E-2</v>
      </c>
      <c r="AD99" s="3">
        <f t="shared" ca="1" si="111"/>
        <v>9.5011199391606099E-2</v>
      </c>
      <c r="AE99" s="3">
        <f t="shared" ca="1" si="111"/>
        <v>8.1852019697130574E-2</v>
      </c>
      <c r="AF99" s="3">
        <f t="shared" ca="1" si="111"/>
        <v>0.10502710514678518</v>
      </c>
      <c r="AG99" s="3">
        <f t="shared" ca="1" si="111"/>
        <v>8.6498877495653409E-2</v>
      </c>
      <c r="AH99" s="3">
        <f t="shared" ca="1" si="111"/>
        <v>0.13195603170317866</v>
      </c>
      <c r="AI99" s="3">
        <f t="shared" ca="1" si="111"/>
        <v>0.11652383084800014</v>
      </c>
      <c r="AJ99" s="3">
        <f t="shared" ca="1" si="111"/>
        <v>0.19958775377187291</v>
      </c>
    </row>
    <row r="100" spans="1:36" x14ac:dyDescent="0.35">
      <c r="A100" t="s">
        <v>77</v>
      </c>
      <c r="B100" t="s">
        <v>61</v>
      </c>
      <c r="C100" s="4" t="s">
        <v>75</v>
      </c>
      <c r="D100" s="3">
        <f t="shared" ca="1" si="77"/>
        <v>4.2173515240078771E-2</v>
      </c>
      <c r="E100" s="3">
        <f t="shared" ca="1" si="112"/>
        <v>4.2425565539717436E-2</v>
      </c>
      <c r="F100" s="3">
        <f t="shared" ca="1" si="112"/>
        <v>4.312892050022752E-2</v>
      </c>
      <c r="G100" s="3">
        <f t="shared" ca="1" si="112"/>
        <v>4.5184058288031417E-2</v>
      </c>
      <c r="H100" s="3">
        <f t="shared" ca="1" si="112"/>
        <v>4.5970581475759185E-2</v>
      </c>
      <c r="I100" s="3">
        <f t="shared" ca="1" si="112"/>
        <v>4.6612922986726396E-2</v>
      </c>
      <c r="J100" s="3">
        <f t="shared" ca="1" si="112"/>
        <v>4.84819131143817E-2</v>
      </c>
      <c r="K100" s="3">
        <f t="shared" ca="1" si="112"/>
        <v>4.7798744670392052E-2</v>
      </c>
      <c r="L100" s="3">
        <f t="shared" ca="1" si="112"/>
        <v>5.0136351476673349E-2</v>
      </c>
      <c r="M100" s="3">
        <f t="shared" ca="1" si="112"/>
        <v>5.0524005411690068E-2</v>
      </c>
      <c r="N100" s="3">
        <f t="shared" ca="1" si="112"/>
        <v>5.1970748386507226E-2</v>
      </c>
      <c r="O100" s="3">
        <f t="shared" ca="1" si="112"/>
        <v>5.1501569718133799E-2</v>
      </c>
      <c r="P100" s="3">
        <f t="shared" ca="1" si="112"/>
        <v>5.5106118465884785E-2</v>
      </c>
      <c r="Q100" s="3">
        <f t="shared" ca="1" si="112"/>
        <v>5.302115168780324E-2</v>
      </c>
      <c r="R100" s="3">
        <f t="shared" ca="1" si="112"/>
        <v>5.6979056287930312E-2</v>
      </c>
      <c r="S100" s="3">
        <f t="shared" ca="1" si="112"/>
        <v>5.6283130039264863E-2</v>
      </c>
      <c r="T100" s="3">
        <f t="shared" ca="1" si="112"/>
        <v>5.799487536636224E-2</v>
      </c>
      <c r="U100" s="3">
        <f t="shared" ca="1" si="112"/>
        <v>5.8257359654965701E-2</v>
      </c>
      <c r="V100" s="3">
        <f t="shared" ca="1" si="112"/>
        <v>5.9102435220611524E-2</v>
      </c>
      <c r="W100" s="3">
        <f t="shared" ca="1" si="112"/>
        <v>6.1732426519784361E-2</v>
      </c>
      <c r="X100" s="3">
        <f t="shared" ca="1" si="112"/>
        <v>6.6028191410779022E-2</v>
      </c>
      <c r="Y100" s="3">
        <f t="shared" ca="1" si="112"/>
        <v>6.5841017177211761E-2</v>
      </c>
      <c r="Z100" s="3">
        <f t="shared" ca="1" si="112"/>
        <v>7.827273718904329E-2</v>
      </c>
      <c r="AA100" s="3">
        <f t="shared" ca="1" si="112"/>
        <v>7.2106211977127077E-2</v>
      </c>
      <c r="AB100" s="3">
        <f t="shared" ref="AB100" ca="1" si="117">MIN(0.99,AB43+$O$3)</f>
        <v>8.7879838066947713E-2</v>
      </c>
      <c r="AC100" s="3">
        <f t="shared" ca="1" si="111"/>
        <v>7.7155949060795731E-2</v>
      </c>
      <c r="AD100" s="3">
        <f t="shared" ca="1" si="111"/>
        <v>9.5953719039918783E-2</v>
      </c>
      <c r="AE100" s="3">
        <f t="shared" ca="1" si="111"/>
        <v>8.2792016361654258E-2</v>
      </c>
      <c r="AF100" s="3">
        <f t="shared" ca="1" si="111"/>
        <v>0.10594318969566932</v>
      </c>
      <c r="AG100" s="3">
        <f t="shared" ca="1" si="111"/>
        <v>8.7460060821368868E-2</v>
      </c>
      <c r="AH100" s="3">
        <f t="shared" ca="1" si="111"/>
        <v>0.13295166993859173</v>
      </c>
      <c r="AI100" s="3">
        <f t="shared" ca="1" si="111"/>
        <v>0.11748585798775169</v>
      </c>
      <c r="AJ100" s="3">
        <f t="shared" ca="1" si="111"/>
        <v>0.20056008038992085</v>
      </c>
    </row>
    <row r="101" spans="1:36" x14ac:dyDescent="0.35">
      <c r="A101" t="s">
        <v>77</v>
      </c>
      <c r="B101" t="s">
        <v>62</v>
      </c>
      <c r="C101" s="4">
        <v>1</v>
      </c>
      <c r="D101" s="3">
        <f t="shared" ca="1" si="77"/>
        <v>2.5996192526116492E-2</v>
      </c>
      <c r="E101" s="3">
        <f t="shared" ca="1" si="112"/>
        <v>2.6197409818184681E-2</v>
      </c>
      <c r="F101" s="3">
        <f t="shared" ca="1" si="112"/>
        <v>2.7083236323934445E-2</v>
      </c>
      <c r="G101" s="3">
        <f t="shared" ca="1" si="112"/>
        <v>2.8852670102129233E-2</v>
      </c>
      <c r="H101" s="3">
        <f t="shared" ca="1" si="112"/>
        <v>2.9839124749706417E-2</v>
      </c>
      <c r="I101" s="3">
        <f t="shared" ca="1" si="112"/>
        <v>3.0512236095044689E-2</v>
      </c>
      <c r="J101" s="3">
        <f t="shared" ca="1" si="112"/>
        <v>3.2452303136510853E-2</v>
      </c>
      <c r="K101" s="3">
        <f t="shared" ca="1" si="112"/>
        <v>3.1483956914749617E-2</v>
      </c>
      <c r="L101" s="3">
        <f t="shared" ca="1" si="112"/>
        <v>3.3813706971466788E-2</v>
      </c>
      <c r="M101" s="3">
        <f t="shared" ca="1" si="112"/>
        <v>3.4195744570271344E-2</v>
      </c>
      <c r="N101" s="3">
        <f t="shared" ca="1" si="112"/>
        <v>3.5724206565655212E-2</v>
      </c>
      <c r="O101" s="3">
        <f t="shared" ca="1" si="112"/>
        <v>3.5377714372117619E-2</v>
      </c>
      <c r="P101" s="3">
        <f t="shared" ca="1" si="112"/>
        <v>3.909865874364131E-2</v>
      </c>
      <c r="Q101" s="3">
        <f t="shared" ca="1" si="112"/>
        <v>3.6714259578835562E-2</v>
      </c>
      <c r="R101" s="3">
        <f t="shared" ca="1" si="112"/>
        <v>4.0701306611202581E-2</v>
      </c>
      <c r="S101" s="3">
        <f t="shared" ca="1" si="112"/>
        <v>4.0128887270818918E-2</v>
      </c>
      <c r="T101" s="3">
        <f t="shared" ca="1" si="112"/>
        <v>4.1872832134011488E-2</v>
      </c>
      <c r="U101" s="3">
        <f t="shared" ca="1" si="112"/>
        <v>4.2220704287567842E-2</v>
      </c>
      <c r="V101" s="3">
        <f t="shared" ca="1" si="112"/>
        <v>4.2840293164901982E-2</v>
      </c>
      <c r="W101" s="3">
        <f t="shared" ca="1" si="112"/>
        <v>4.5398351374836013E-2</v>
      </c>
      <c r="X101" s="3">
        <f t="shared" ca="1" si="112"/>
        <v>4.9938856585739134E-2</v>
      </c>
      <c r="Y101" s="3">
        <f t="shared" ca="1" si="112"/>
        <v>4.9697914449769752E-2</v>
      </c>
      <c r="Z101" s="3">
        <f t="shared" ca="1" si="112"/>
        <v>6.2139695702027258E-2</v>
      </c>
      <c r="AA101" s="3">
        <f t="shared" ca="1" si="112"/>
        <v>5.5813314714986094E-2</v>
      </c>
      <c r="AB101" s="3">
        <f t="shared" ref="AB101" ca="1" si="118">MIN(0.99,AB44+$O$3)</f>
        <v>7.1587150293817875E-2</v>
      </c>
      <c r="AC101" s="3">
        <f t="shared" ca="1" si="111"/>
        <v>6.1052930424463907E-2</v>
      </c>
      <c r="AD101" s="3">
        <f t="shared" ca="1" si="111"/>
        <v>7.9779877191821696E-2</v>
      </c>
      <c r="AE101" s="3">
        <f t="shared" ca="1" si="111"/>
        <v>6.6605562614879099E-2</v>
      </c>
      <c r="AF101" s="3">
        <f t="shared" ca="1" si="111"/>
        <v>8.9887050020770493E-2</v>
      </c>
      <c r="AG101" s="3">
        <f t="shared" ca="1" si="111"/>
        <v>7.1376729336196432E-2</v>
      </c>
      <c r="AH101" s="3">
        <f t="shared" ca="1" si="111"/>
        <v>0.11690489407020621</v>
      </c>
      <c r="AI101" s="3">
        <f t="shared" ca="1" si="111"/>
        <v>0.10131926887313139</v>
      </c>
      <c r="AJ101" s="3">
        <f t="shared" ca="1" si="111"/>
        <v>0.18460356655079077</v>
      </c>
    </row>
    <row r="102" spans="1:36" x14ac:dyDescent="0.35">
      <c r="A102" t="s">
        <v>77</v>
      </c>
      <c r="B102" t="s">
        <v>62</v>
      </c>
      <c r="C102" s="4" t="s">
        <v>64</v>
      </c>
      <c r="D102" s="3">
        <f t="shared" ca="1" si="77"/>
        <v>2.6984874233343011E-2</v>
      </c>
      <c r="E102" s="3">
        <f t="shared" ca="1" si="112"/>
        <v>2.7171667023614558E-2</v>
      </c>
      <c r="F102" s="3">
        <f t="shared" ca="1" si="112"/>
        <v>2.8001781447161894E-2</v>
      </c>
      <c r="G102" s="3">
        <f t="shared" ca="1" si="112"/>
        <v>2.9847091764261487E-2</v>
      </c>
      <c r="H102" s="3">
        <f t="shared" ca="1" si="112"/>
        <v>3.0824279110247224E-2</v>
      </c>
      <c r="I102" s="3">
        <f t="shared" ca="1" si="112"/>
        <v>3.1493090430726317E-2</v>
      </c>
      <c r="J102" s="3">
        <f t="shared" ca="1" si="112"/>
        <v>3.3353388482173341E-2</v>
      </c>
      <c r="K102" s="3">
        <f t="shared" ca="1" si="112"/>
        <v>3.2463958967972814E-2</v>
      </c>
      <c r="L102" s="3">
        <f t="shared" ca="1" si="112"/>
        <v>3.4785777443219472E-2</v>
      </c>
      <c r="M102" s="3">
        <f t="shared" ca="1" si="112"/>
        <v>3.5127051104269433E-2</v>
      </c>
      <c r="N102" s="3">
        <f t="shared" ca="1" si="112"/>
        <v>3.6648911225738753E-2</v>
      </c>
      <c r="O102" s="3">
        <f t="shared" ca="1" si="112"/>
        <v>3.6296920606186202E-2</v>
      </c>
      <c r="P102" s="3">
        <f t="shared" ca="1" si="112"/>
        <v>4.0064665053622064E-2</v>
      </c>
      <c r="Q102" s="3">
        <f t="shared" ca="1" si="112"/>
        <v>3.7711674379586627E-2</v>
      </c>
      <c r="R102" s="3">
        <f t="shared" ca="1" si="112"/>
        <v>4.1622677274524789E-2</v>
      </c>
      <c r="S102" s="3">
        <f t="shared" ca="1" si="112"/>
        <v>4.1060404341883877E-2</v>
      </c>
      <c r="T102" s="3">
        <f t="shared" ca="1" si="112"/>
        <v>4.2868454319408736E-2</v>
      </c>
      <c r="U102" s="3">
        <f t="shared" ca="1" si="112"/>
        <v>4.3217349733234878E-2</v>
      </c>
      <c r="V102" s="3">
        <f t="shared" ca="1" si="112"/>
        <v>4.3785450574590275E-2</v>
      </c>
      <c r="W102" s="3">
        <f t="shared" ca="1" si="112"/>
        <v>4.632721273151106E-2</v>
      </c>
      <c r="X102" s="3">
        <f t="shared" ca="1" si="112"/>
        <v>5.0879878861498203E-2</v>
      </c>
      <c r="Y102" s="3">
        <f t="shared" ca="1" si="112"/>
        <v>5.0676137494072092E-2</v>
      </c>
      <c r="Z102" s="3">
        <f t="shared" ca="1" si="112"/>
        <v>6.3077512684179507E-2</v>
      </c>
      <c r="AA102" s="3">
        <f t="shared" ca="1" si="112"/>
        <v>5.6802602404972362E-2</v>
      </c>
      <c r="AB102" s="3">
        <f t="shared" ref="AB102" ca="1" si="119">MIN(0.99,AB45+$O$3)</f>
        <v>7.254541805769138E-2</v>
      </c>
      <c r="AC102" s="3">
        <f t="shared" ca="1" si="111"/>
        <v>6.2006240935845537E-2</v>
      </c>
      <c r="AD102" s="3">
        <f t="shared" ca="1" si="111"/>
        <v>8.0698649372670794E-2</v>
      </c>
      <c r="AE102" s="3">
        <f t="shared" ca="1" si="111"/>
        <v>6.7548727048766841E-2</v>
      </c>
      <c r="AF102" s="3">
        <f t="shared" ca="1" si="111"/>
        <v>9.0793451296864586E-2</v>
      </c>
      <c r="AG102" s="3">
        <f t="shared" ca="1" si="111"/>
        <v>7.2364198902286986E-2</v>
      </c>
      <c r="AH102" s="3">
        <f t="shared" ca="1" si="111"/>
        <v>0.11783704349760016</v>
      </c>
      <c r="AI102" s="3">
        <f t="shared" ca="1" si="111"/>
        <v>0.10231582142111068</v>
      </c>
      <c r="AJ102" s="3">
        <f t="shared" ca="1" si="111"/>
        <v>0.18555461004394525</v>
      </c>
    </row>
    <row r="103" spans="1:36" x14ac:dyDescent="0.35">
      <c r="A103" t="s">
        <v>77</v>
      </c>
      <c r="B103" t="s">
        <v>62</v>
      </c>
      <c r="C103" s="4">
        <v>2</v>
      </c>
      <c r="D103" s="3">
        <f t="shared" ca="1" si="77"/>
        <v>2.7969507581833197E-2</v>
      </c>
      <c r="E103" s="3">
        <f t="shared" ca="1" si="112"/>
        <v>2.814771000738971E-2</v>
      </c>
      <c r="F103" s="3">
        <f t="shared" ca="1" si="112"/>
        <v>2.8987241696542911E-2</v>
      </c>
      <c r="G103" s="3">
        <f t="shared" ca="1" si="112"/>
        <v>3.0794446029262696E-2</v>
      </c>
      <c r="H103" s="3">
        <f t="shared" ca="1" si="112"/>
        <v>3.1780251402450069E-2</v>
      </c>
      <c r="I103" s="3">
        <f t="shared" ca="1" si="112"/>
        <v>3.2393785726495684E-2</v>
      </c>
      <c r="J103" s="3">
        <f t="shared" ca="1" si="112"/>
        <v>3.4305906407162502E-2</v>
      </c>
      <c r="K103" s="3">
        <f t="shared" ca="1" si="112"/>
        <v>3.3457436528860796E-2</v>
      </c>
      <c r="L103" s="3">
        <f t="shared" ca="1" si="112"/>
        <v>3.5781102689089336E-2</v>
      </c>
      <c r="M103" s="3">
        <f t="shared" ca="1" si="112"/>
        <v>3.6034081667899717E-2</v>
      </c>
      <c r="N103" s="3">
        <f t="shared" ca="1" si="112"/>
        <v>3.7648817299451597E-2</v>
      </c>
      <c r="O103" s="3">
        <f t="shared" ca="1" si="112"/>
        <v>3.7290536234283432E-2</v>
      </c>
      <c r="P103" s="3">
        <f t="shared" ca="1" si="112"/>
        <v>4.103124567490847E-2</v>
      </c>
      <c r="Q103" s="3">
        <f t="shared" ca="1" si="112"/>
        <v>3.8697542759158626E-2</v>
      </c>
      <c r="R103" s="3">
        <f t="shared" ca="1" si="112"/>
        <v>4.2621640761603775E-2</v>
      </c>
      <c r="S103" s="3">
        <f t="shared" ca="1" si="112"/>
        <v>4.1974623961019315E-2</v>
      </c>
      <c r="T103" s="3">
        <f t="shared" ca="1" si="112"/>
        <v>4.3865897829356196E-2</v>
      </c>
      <c r="U103" s="3">
        <f t="shared" ca="1" si="112"/>
        <v>4.4132622378204797E-2</v>
      </c>
      <c r="V103" s="3">
        <f t="shared" ca="1" si="112"/>
        <v>4.4775093634206009E-2</v>
      </c>
      <c r="W103" s="3">
        <f t="shared" ca="1" si="112"/>
        <v>4.7315303737024354E-2</v>
      </c>
      <c r="X103" s="3">
        <f t="shared" ca="1" si="112"/>
        <v>5.1802483611501374E-2</v>
      </c>
      <c r="Y103" s="3">
        <f t="shared" ca="1" si="112"/>
        <v>5.162287678442963E-2</v>
      </c>
      <c r="Z103" s="3">
        <f t="shared" ca="1" si="112"/>
        <v>6.3996041050596544E-2</v>
      </c>
      <c r="AA103" s="3">
        <f t="shared" ca="1" si="112"/>
        <v>5.7800642611107497E-2</v>
      </c>
      <c r="AB103" s="3">
        <f t="shared" ref="AB103" ca="1" si="120">MIN(0.99,AB46+$O$3)</f>
        <v>7.349690285388108E-2</v>
      </c>
      <c r="AC103" s="3">
        <f t="shared" ca="1" si="111"/>
        <v>6.2916897346559447E-2</v>
      </c>
      <c r="AD103" s="3">
        <f t="shared" ca="1" si="111"/>
        <v>8.1601783380544746E-2</v>
      </c>
      <c r="AE103" s="3">
        <f t="shared" ca="1" si="111"/>
        <v>6.8456434264770549E-2</v>
      </c>
      <c r="AF103" s="3">
        <f t="shared" ca="1" si="111"/>
        <v>9.1742438070994276E-2</v>
      </c>
      <c r="AG103" s="3">
        <f t="shared" ca="1" si="111"/>
        <v>7.3278311020651687E-2</v>
      </c>
      <c r="AH103" s="3">
        <f t="shared" ca="1" si="111"/>
        <v>0.11877941990015992</v>
      </c>
      <c r="AI103" s="3">
        <f t="shared" ca="1" si="111"/>
        <v>0.10324435529469408</v>
      </c>
      <c r="AJ103" s="3">
        <f t="shared" ca="1" si="111"/>
        <v>0.18652379099502633</v>
      </c>
    </row>
    <row r="104" spans="1:36" x14ac:dyDescent="0.35">
      <c r="A104" t="s">
        <v>77</v>
      </c>
      <c r="B104" t="s">
        <v>62</v>
      </c>
      <c r="C104" s="4" t="s">
        <v>65</v>
      </c>
      <c r="D104" s="3">
        <f t="shared" ca="1" si="77"/>
        <v>2.8954069971341971E-2</v>
      </c>
      <c r="E104" s="3">
        <f t="shared" ca="1" si="112"/>
        <v>2.9110136996108232E-2</v>
      </c>
      <c r="F104" s="3">
        <f t="shared" ca="1" si="112"/>
        <v>2.9948754508102225E-2</v>
      </c>
      <c r="G104" s="3">
        <f t="shared" ca="1" si="112"/>
        <v>3.17764293215618E-2</v>
      </c>
      <c r="H104" s="3">
        <f t="shared" ca="1" si="112"/>
        <v>3.2749336580337865E-2</v>
      </c>
      <c r="I104" s="3">
        <f t="shared" ca="1" si="112"/>
        <v>3.3355811040459267E-2</v>
      </c>
      <c r="J104" s="3">
        <f t="shared" ca="1" si="112"/>
        <v>3.5234537678672379E-2</v>
      </c>
      <c r="K104" s="3">
        <f t="shared" ca="1" si="112"/>
        <v>3.4444168350584788E-2</v>
      </c>
      <c r="L104" s="3">
        <f t="shared" ca="1" si="112"/>
        <v>3.6778581501296509E-2</v>
      </c>
      <c r="M104" s="3">
        <f t="shared" ca="1" si="112"/>
        <v>3.7002035166470895E-2</v>
      </c>
      <c r="N104" s="3">
        <f t="shared" ca="1" si="112"/>
        <v>3.8588906878827614E-2</v>
      </c>
      <c r="O104" s="3">
        <f t="shared" ca="1" si="112"/>
        <v>3.8289181528543464E-2</v>
      </c>
      <c r="P104" s="3">
        <f t="shared" ca="1" si="112"/>
        <v>4.1942786634161955E-2</v>
      </c>
      <c r="Q104" s="3">
        <f t="shared" ca="1" si="112"/>
        <v>3.965713682420359E-2</v>
      </c>
      <c r="R104" s="3">
        <f t="shared" ca="1" si="112"/>
        <v>4.3591319478188471E-2</v>
      </c>
      <c r="S104" s="3">
        <f t="shared" ca="1" si="112"/>
        <v>4.2944868804001536E-2</v>
      </c>
      <c r="T104" s="3">
        <f t="shared" ca="1" si="112"/>
        <v>4.4800399583439905E-2</v>
      </c>
      <c r="U104" s="3">
        <f t="shared" ca="1" si="112"/>
        <v>4.5085726551751776E-2</v>
      </c>
      <c r="V104" s="3">
        <f t="shared" ca="1" si="112"/>
        <v>4.5687093194803706E-2</v>
      </c>
      <c r="W104" s="3">
        <f t="shared" ca="1" si="112"/>
        <v>4.8247994100138969E-2</v>
      </c>
      <c r="X104" s="3">
        <f t="shared" ca="1" si="112"/>
        <v>5.27166163276604E-2</v>
      </c>
      <c r="Y104" s="3">
        <f t="shared" ca="1" si="112"/>
        <v>5.2587227003849185E-2</v>
      </c>
      <c r="Z104" s="3">
        <f t="shared" ca="1" si="112"/>
        <v>6.4920027957217116E-2</v>
      </c>
      <c r="AA104" s="3">
        <f t="shared" ca="1" si="112"/>
        <v>5.8736104808399511E-2</v>
      </c>
      <c r="AB104" s="3">
        <f t="shared" ref="AB104" ca="1" si="121">MIN(0.99,AB47+$O$3)</f>
        <v>7.4490494768695709E-2</v>
      </c>
      <c r="AC104" s="3">
        <f t="shared" ca="1" si="111"/>
        <v>6.3872059943949483E-2</v>
      </c>
      <c r="AD104" s="3">
        <f t="shared" ca="1" si="111"/>
        <v>8.2598570105742952E-2</v>
      </c>
      <c r="AE104" s="3">
        <f t="shared" ca="1" si="111"/>
        <v>6.9365763454489304E-2</v>
      </c>
      <c r="AF104" s="3">
        <f t="shared" ca="1" si="111"/>
        <v>9.2663120739429783E-2</v>
      </c>
      <c r="AG104" s="3">
        <f t="shared" ca="1" si="111"/>
        <v>7.4210434025078958E-2</v>
      </c>
      <c r="AH104" s="3">
        <f t="shared" ca="1" si="111"/>
        <v>0.11975532667284775</v>
      </c>
      <c r="AI104" s="3">
        <f t="shared" ca="1" si="111"/>
        <v>0.10419289026733988</v>
      </c>
      <c r="AJ104" s="3">
        <f t="shared" ca="1" si="111"/>
        <v>0.18743915012959736</v>
      </c>
    </row>
    <row r="105" spans="1:36" x14ac:dyDescent="0.35">
      <c r="A105" t="s">
        <v>77</v>
      </c>
      <c r="B105" t="s">
        <v>62</v>
      </c>
      <c r="C105" s="4" t="s">
        <v>66</v>
      </c>
      <c r="D105" s="3">
        <f t="shared" ca="1" si="77"/>
        <v>2.9940899862806503E-2</v>
      </c>
      <c r="E105" s="3">
        <f t="shared" ca="1" si="112"/>
        <v>3.0060829535502816E-2</v>
      </c>
      <c r="F105" s="3">
        <f t="shared" ca="1" si="112"/>
        <v>3.0879673214545732E-2</v>
      </c>
      <c r="G105" s="3">
        <f t="shared" ca="1" si="112"/>
        <v>3.2761796783720792E-2</v>
      </c>
      <c r="H105" s="3">
        <f t="shared" ca="1" si="112"/>
        <v>3.3726261079328898E-2</v>
      </c>
      <c r="I105" s="3">
        <f t="shared" ca="1" si="112"/>
        <v>3.4351324871094213E-2</v>
      </c>
      <c r="J105" s="3">
        <f t="shared" ca="1" si="112"/>
        <v>3.6172477837916731E-2</v>
      </c>
      <c r="K105" s="3">
        <f t="shared" ca="1" si="112"/>
        <v>3.5402495628977106E-2</v>
      </c>
      <c r="L105" s="3">
        <f t="shared" ca="1" si="112"/>
        <v>3.7744964077456492E-2</v>
      </c>
      <c r="M105" s="3">
        <f t="shared" ca="1" si="112"/>
        <v>3.800142820233901E-2</v>
      </c>
      <c r="N105" s="3">
        <f t="shared" ca="1" si="112"/>
        <v>3.9518915057852641E-2</v>
      </c>
      <c r="O105" s="3">
        <f t="shared" ca="1" si="112"/>
        <v>3.9191680426251152E-2</v>
      </c>
      <c r="P105" s="3">
        <f t="shared" ca="1" si="112"/>
        <v>4.2857311795233846E-2</v>
      </c>
      <c r="Q105" s="3">
        <f t="shared" ca="1" si="112"/>
        <v>4.057649902446181E-2</v>
      </c>
      <c r="R105" s="3">
        <f t="shared" ca="1" si="112"/>
        <v>4.4578529853583321E-2</v>
      </c>
      <c r="S105" s="3">
        <f t="shared" ca="1" si="112"/>
        <v>4.389460380058971E-2</v>
      </c>
      <c r="T105" s="3">
        <f t="shared" ca="1" si="112"/>
        <v>4.5712655790225001E-2</v>
      </c>
      <c r="U105" s="3">
        <f t="shared" ca="1" si="112"/>
        <v>4.6051990414317623E-2</v>
      </c>
      <c r="V105" s="3">
        <f t="shared" ca="1" si="112"/>
        <v>4.6666602015827341E-2</v>
      </c>
      <c r="W105" s="3">
        <f t="shared" ca="1" si="112"/>
        <v>4.9151863157419845E-2</v>
      </c>
      <c r="X105" s="3">
        <f t="shared" ca="1" si="112"/>
        <v>5.370305340646455E-2</v>
      </c>
      <c r="Y105" s="3">
        <f t="shared" ca="1" si="112"/>
        <v>5.3539635815050918E-2</v>
      </c>
      <c r="Z105" s="3">
        <f t="shared" ca="1" si="112"/>
        <v>6.5834900619736889E-2</v>
      </c>
      <c r="AA105" s="3">
        <f t="shared" ca="1" si="112"/>
        <v>5.9640382643401192E-2</v>
      </c>
      <c r="AB105" s="3">
        <f t="shared" ref="AB105" ca="1" si="122">MIN(0.99,AB48+$O$3)</f>
        <v>7.5391309932094863E-2</v>
      </c>
      <c r="AC105" s="3">
        <f t="shared" ca="1" si="111"/>
        <v>6.4820184770632269E-2</v>
      </c>
      <c r="AD105" s="3">
        <f t="shared" ca="1" si="111"/>
        <v>8.3576960101887768E-2</v>
      </c>
      <c r="AE105" s="3">
        <f t="shared" ca="1" si="111"/>
        <v>7.0353783483838833E-2</v>
      </c>
      <c r="AF105" s="3">
        <f t="shared" ca="1" si="111"/>
        <v>9.364398816980779E-2</v>
      </c>
      <c r="AG105" s="3">
        <f t="shared" ca="1" si="111"/>
        <v>7.5158667078643104E-2</v>
      </c>
      <c r="AH105" s="3">
        <f t="shared" ca="1" si="111"/>
        <v>0.12070987418004295</v>
      </c>
      <c r="AI105" s="3">
        <f t="shared" ca="1" si="111"/>
        <v>0.105104090294839</v>
      </c>
      <c r="AJ105" s="3">
        <f t="shared" ca="1" si="111"/>
        <v>0.18841594329408309</v>
      </c>
    </row>
    <row r="106" spans="1:36" x14ac:dyDescent="0.35">
      <c r="A106" t="s">
        <v>77</v>
      </c>
      <c r="B106" t="s">
        <v>62</v>
      </c>
      <c r="C106" s="4">
        <v>3</v>
      </c>
      <c r="D106" s="3">
        <f t="shared" ca="1" si="77"/>
        <v>3.0887770777505277E-2</v>
      </c>
      <c r="E106" s="3">
        <f t="shared" ca="1" si="112"/>
        <v>3.1044218298087189E-2</v>
      </c>
      <c r="F106" s="3">
        <f t="shared" ca="1" si="112"/>
        <v>3.1834722518521513E-2</v>
      </c>
      <c r="G106" s="3">
        <f t="shared" ca="1" si="112"/>
        <v>3.36819820530668E-2</v>
      </c>
      <c r="H106" s="3">
        <f t="shared" ca="1" si="112"/>
        <v>3.4684966909623131E-2</v>
      </c>
      <c r="I106" s="3">
        <f t="shared" ca="1" si="112"/>
        <v>3.5310749757280095E-2</v>
      </c>
      <c r="J106" s="3">
        <f t="shared" ca="1" si="112"/>
        <v>3.7157788933287916E-2</v>
      </c>
      <c r="K106" s="3">
        <f t="shared" ca="1" si="112"/>
        <v>3.6382771551394494E-2</v>
      </c>
      <c r="L106" s="3">
        <f t="shared" ca="1" si="112"/>
        <v>3.8669842556968377E-2</v>
      </c>
      <c r="M106" s="3">
        <f t="shared" ca="1" si="112"/>
        <v>3.8979525851252375E-2</v>
      </c>
      <c r="N106" s="3">
        <f t="shared" ca="1" si="112"/>
        <v>4.0440157318579209E-2</v>
      </c>
      <c r="O106" s="3">
        <f t="shared" ca="1" si="112"/>
        <v>4.0100323047467121E-2</v>
      </c>
      <c r="P106" s="3">
        <f t="shared" ca="1" si="112"/>
        <v>4.3781524616421874E-2</v>
      </c>
      <c r="Q106" s="3">
        <f t="shared" ca="1" si="112"/>
        <v>4.1510646585385114E-2</v>
      </c>
      <c r="R106" s="3">
        <f t="shared" ca="1" si="112"/>
        <v>4.5517304153261884E-2</v>
      </c>
      <c r="S106" s="3">
        <f t="shared" ca="1" si="112"/>
        <v>4.4865593929799316E-2</v>
      </c>
      <c r="T106" s="3">
        <f t="shared" ca="1" si="112"/>
        <v>4.6659002695709502E-2</v>
      </c>
      <c r="U106" s="3">
        <f t="shared" ca="1" si="112"/>
        <v>4.6979118187346014E-2</v>
      </c>
      <c r="V106" s="3">
        <f t="shared" ca="1" si="112"/>
        <v>4.7610341685468377E-2</v>
      </c>
      <c r="W106" s="3">
        <f t="shared" ca="1" si="112"/>
        <v>5.0090880708737018E-2</v>
      </c>
      <c r="X106" s="3">
        <f t="shared" ca="1" si="112"/>
        <v>5.4660460334774202E-2</v>
      </c>
      <c r="Y106" s="3">
        <f t="shared" ca="1" si="112"/>
        <v>5.4499673950878735E-2</v>
      </c>
      <c r="Z106" s="3">
        <f t="shared" ca="1" si="112"/>
        <v>6.6831002965083597E-2</v>
      </c>
      <c r="AA106" s="3">
        <f t="shared" ca="1" si="112"/>
        <v>6.0587016771370961E-2</v>
      </c>
      <c r="AB106" s="3">
        <f t="shared" ref="AB106" ca="1" si="123">MIN(0.99,AB49+$O$3)</f>
        <v>7.638105732891072E-2</v>
      </c>
      <c r="AC106" s="3">
        <f t="shared" ca="1" si="111"/>
        <v>6.577878458474945E-2</v>
      </c>
      <c r="AD106" s="3">
        <f t="shared" ca="1" si="111"/>
        <v>8.4533992833571409E-2</v>
      </c>
      <c r="AE106" s="3">
        <f t="shared" ca="1" si="111"/>
        <v>7.1330187820649801E-2</v>
      </c>
      <c r="AF106" s="3">
        <f t="shared" ca="1" si="111"/>
        <v>9.4580617085565505E-2</v>
      </c>
      <c r="AG106" s="3">
        <f t="shared" ca="1" si="111"/>
        <v>7.6091701692132974E-2</v>
      </c>
      <c r="AH106" s="3">
        <f t="shared" ca="1" si="111"/>
        <v>0.12168578564503185</v>
      </c>
      <c r="AI106" s="3">
        <f t="shared" ca="1" si="111"/>
        <v>0.10601996065402788</v>
      </c>
      <c r="AJ106" s="3">
        <f t="shared" ca="1" si="111"/>
        <v>0.18934749304180784</v>
      </c>
    </row>
    <row r="107" spans="1:36" x14ac:dyDescent="0.35">
      <c r="A107" t="s">
        <v>77</v>
      </c>
      <c r="B107" t="s">
        <v>62</v>
      </c>
      <c r="C107" s="4" t="s">
        <v>67</v>
      </c>
      <c r="D107" s="3">
        <f t="shared" ca="1" si="77"/>
        <v>3.1793320246782025E-2</v>
      </c>
      <c r="E107" s="3">
        <f t="shared" ca="1" si="112"/>
        <v>3.1992717845999864E-2</v>
      </c>
      <c r="F107" s="3">
        <f t="shared" ca="1" si="112"/>
        <v>3.2780284438381206E-2</v>
      </c>
      <c r="G107" s="3">
        <f t="shared" ca="1" si="112"/>
        <v>3.4680918048633387E-2</v>
      </c>
      <c r="H107" s="3">
        <f t="shared" ca="1" si="112"/>
        <v>3.566793392407569E-2</v>
      </c>
      <c r="I107" s="3">
        <f t="shared" ca="1" si="112"/>
        <v>3.6277335313225675E-2</v>
      </c>
      <c r="J107" s="3">
        <f t="shared" ca="1" si="112"/>
        <v>3.8155216669435457E-2</v>
      </c>
      <c r="K107" s="3">
        <f t="shared" ca="1" si="112"/>
        <v>3.7364251068100887E-2</v>
      </c>
      <c r="L107" s="3">
        <f t="shared" ca="1" si="112"/>
        <v>3.9653668166451952E-2</v>
      </c>
      <c r="M107" s="3">
        <f t="shared" ca="1" si="112"/>
        <v>3.9890467353905154E-2</v>
      </c>
      <c r="N107" s="3">
        <f t="shared" ca="1" si="112"/>
        <v>4.1439097114423576E-2</v>
      </c>
      <c r="O107" s="3">
        <f t="shared" ca="1" si="112"/>
        <v>4.1067782470166264E-2</v>
      </c>
      <c r="P107" s="3">
        <f t="shared" ca="1" si="112"/>
        <v>4.4734426177822029E-2</v>
      </c>
      <c r="Q107" s="3">
        <f t="shared" ca="1" si="112"/>
        <v>4.2500932672616516E-2</v>
      </c>
      <c r="R107" s="3">
        <f t="shared" ca="1" si="112"/>
        <v>4.6453702223788668E-2</v>
      </c>
      <c r="S107" s="3">
        <f t="shared" ca="1" si="112"/>
        <v>4.5797006871431262E-2</v>
      </c>
      <c r="T107" s="3">
        <f t="shared" ca="1" si="112"/>
        <v>4.7578868964832953E-2</v>
      </c>
      <c r="U107" s="3">
        <f t="shared" ca="1" si="112"/>
        <v>4.795401189513375E-2</v>
      </c>
      <c r="V107" s="3">
        <f t="shared" ca="1" si="112"/>
        <v>4.8518822959543739E-2</v>
      </c>
      <c r="W107" s="3">
        <f t="shared" ca="1" si="112"/>
        <v>5.1079790125747093E-2</v>
      </c>
      <c r="X107" s="3">
        <f t="shared" ca="1" si="112"/>
        <v>5.5600135549229213E-2</v>
      </c>
      <c r="Y107" s="3">
        <f t="shared" ca="1" si="112"/>
        <v>5.5446631441001121E-2</v>
      </c>
      <c r="Z107" s="3">
        <f t="shared" ca="1" si="112"/>
        <v>6.7780444080212859E-2</v>
      </c>
      <c r="AA107" s="3">
        <f t="shared" ca="1" si="112"/>
        <v>6.1497018556339496E-2</v>
      </c>
      <c r="AB107" s="3">
        <f t="shared" ref="AB107" ca="1" si="124">MIN(0.99,AB50+$O$3)</f>
        <v>7.7361753001937567E-2</v>
      </c>
      <c r="AC107" s="3">
        <f t="shared" ca="1" si="111"/>
        <v>6.6718794988542454E-2</v>
      </c>
      <c r="AD107" s="3">
        <f t="shared" ca="1" si="111"/>
        <v>8.5524271696736209E-2</v>
      </c>
      <c r="AE107" s="3">
        <f t="shared" ca="1" si="111"/>
        <v>7.2283239914990943E-2</v>
      </c>
      <c r="AF107" s="3">
        <f t="shared" ca="1" si="111"/>
        <v>9.5539267146398515E-2</v>
      </c>
      <c r="AG107" s="3">
        <f t="shared" ca="1" si="111"/>
        <v>7.7070346964075886E-2</v>
      </c>
      <c r="AH107" s="3">
        <f t="shared" ca="1" si="111"/>
        <v>0.12264677503897431</v>
      </c>
      <c r="AI107" s="3">
        <f t="shared" ca="1" si="111"/>
        <v>0.10693086136708813</v>
      </c>
      <c r="AJ107" s="3">
        <f t="shared" ca="1" si="111"/>
        <v>0.19026608336829315</v>
      </c>
    </row>
    <row r="108" spans="1:36" x14ac:dyDescent="0.35">
      <c r="A108" t="s">
        <v>77</v>
      </c>
      <c r="B108" t="s">
        <v>62</v>
      </c>
      <c r="C108" s="4" t="s">
        <v>68</v>
      </c>
      <c r="D108" s="3">
        <f t="shared" ca="1" si="77"/>
        <v>3.2708431737973276E-2</v>
      </c>
      <c r="E108" s="3">
        <f t="shared" ref="E108:AA119" ca="1" si="125">MIN(0.99,E51+$O$3)</f>
        <v>3.291415885813706E-2</v>
      </c>
      <c r="F108" s="3">
        <f t="shared" ca="1" si="125"/>
        <v>3.3750633549250057E-2</v>
      </c>
      <c r="G108" s="3">
        <f t="shared" ca="1" si="125"/>
        <v>3.5613716964452188E-2</v>
      </c>
      <c r="H108" s="3">
        <f t="shared" ca="1" si="125"/>
        <v>3.6626299653767402E-2</v>
      </c>
      <c r="I108" s="3">
        <f t="shared" ca="1" si="125"/>
        <v>3.7192922609758101E-2</v>
      </c>
      <c r="J108" s="3">
        <f t="shared" ca="1" si="125"/>
        <v>3.90952720178235E-2</v>
      </c>
      <c r="K108" s="3">
        <f t="shared" ca="1" si="125"/>
        <v>3.8289609381358086E-2</v>
      </c>
      <c r="L108" s="3">
        <f t="shared" ca="1" si="125"/>
        <v>4.0626356707338593E-2</v>
      </c>
      <c r="M108" s="3">
        <f t="shared" ca="1" si="125"/>
        <v>4.080947064856498E-2</v>
      </c>
      <c r="N108" s="3">
        <f t="shared" ca="1" si="125"/>
        <v>4.2391742812403641E-2</v>
      </c>
      <c r="O108" s="3">
        <f t="shared" ca="1" si="125"/>
        <v>4.1987951813989399E-2</v>
      </c>
      <c r="P108" s="3">
        <f t="shared" ca="1" si="125"/>
        <v>4.5638989119504106E-2</v>
      </c>
      <c r="Q108" s="3">
        <f t="shared" ca="1" si="125"/>
        <v>4.34238648333213E-2</v>
      </c>
      <c r="R108" s="3">
        <f t="shared" ca="1" si="125"/>
        <v>4.7422912796594441E-2</v>
      </c>
      <c r="S108" s="3">
        <f t="shared" ca="1" si="125"/>
        <v>4.6786803166332297E-2</v>
      </c>
      <c r="T108" s="3">
        <f t="shared" ca="1" si="125"/>
        <v>4.8524092272848832E-2</v>
      </c>
      <c r="U108" s="3">
        <f t="shared" ca="1" si="125"/>
        <v>4.8905242692745945E-2</v>
      </c>
      <c r="V108" s="3">
        <f t="shared" ca="1" si="125"/>
        <v>4.9518107876395004E-2</v>
      </c>
      <c r="W108" s="3">
        <f t="shared" ca="1" si="125"/>
        <v>5.1988775697220602E-2</v>
      </c>
      <c r="X108" s="3">
        <f t="shared" ca="1" si="125"/>
        <v>5.6592495878250958E-2</v>
      </c>
      <c r="Y108" s="3">
        <f t="shared" ca="1" si="125"/>
        <v>5.6432444536015459E-2</v>
      </c>
      <c r="Z108" s="3">
        <f t="shared" ca="1" si="125"/>
        <v>6.8711747457911657E-2</v>
      </c>
      <c r="AA108" s="3">
        <f t="shared" ca="1" si="125"/>
        <v>6.2464118434743636E-2</v>
      </c>
      <c r="AB108" s="3">
        <f t="shared" ref="AB108" ca="1" si="126">MIN(0.99,AB51+$O$3)</f>
        <v>7.8345955475484008E-2</v>
      </c>
      <c r="AC108" s="3">
        <f t="shared" ca="1" si="111"/>
        <v>6.7694397160940889E-2</v>
      </c>
      <c r="AD108" s="3">
        <f t="shared" ca="1" si="111"/>
        <v>8.6518290758750754E-2</v>
      </c>
      <c r="AE108" s="3">
        <f t="shared" ca="1" si="111"/>
        <v>7.3256048595480183E-2</v>
      </c>
      <c r="AF108" s="3">
        <f t="shared" ca="1" si="111"/>
        <v>9.650139033933014E-2</v>
      </c>
      <c r="AG108" s="3">
        <f t="shared" ca="1" si="111"/>
        <v>7.7972768810459725E-2</v>
      </c>
      <c r="AH108" s="3">
        <f t="shared" ca="1" si="111"/>
        <v>0.12361022933992999</v>
      </c>
      <c r="AI108" s="3">
        <f t="shared" ca="1" si="111"/>
        <v>0.10788693687200629</v>
      </c>
      <c r="AJ108" s="3">
        <f t="shared" ca="1" si="111"/>
        <v>0.19117444105908202</v>
      </c>
    </row>
    <row r="109" spans="1:36" x14ac:dyDescent="0.35">
      <c r="A109" t="s">
        <v>77</v>
      </c>
      <c r="B109" t="s">
        <v>62</v>
      </c>
      <c r="C109" s="4">
        <v>4</v>
      </c>
      <c r="D109" s="3">
        <f t="shared" ca="1" si="77"/>
        <v>3.366771001827723E-2</v>
      </c>
      <c r="E109" s="3">
        <f t="shared" ca="1" si="125"/>
        <v>3.3913534346960122E-2</v>
      </c>
      <c r="F109" s="3">
        <f t="shared" ca="1" si="125"/>
        <v>3.4687261470318476E-2</v>
      </c>
      <c r="G109" s="3">
        <f t="shared" ca="1" si="125"/>
        <v>3.6590837431547965E-2</v>
      </c>
      <c r="H109" s="3">
        <f t="shared" ca="1" si="125"/>
        <v>3.7614074446901319E-2</v>
      </c>
      <c r="I109" s="3">
        <f t="shared" ca="1" si="125"/>
        <v>3.8173988161641914E-2</v>
      </c>
      <c r="J109" s="3">
        <f t="shared" ca="1" si="125"/>
        <v>4.0004839022599936E-2</v>
      </c>
      <c r="K109" s="3">
        <f t="shared" ca="1" si="125"/>
        <v>3.9285906576457891E-2</v>
      </c>
      <c r="L109" s="3">
        <f t="shared" ca="1" si="125"/>
        <v>4.154180799020446E-2</v>
      </c>
      <c r="M109" s="3">
        <f t="shared" ca="1" si="125"/>
        <v>4.1803565576580319E-2</v>
      </c>
      <c r="N109" s="3">
        <f t="shared" ca="1" si="125"/>
        <v>4.3344309965267891E-2</v>
      </c>
      <c r="O109" s="3">
        <f t="shared" ca="1" si="125"/>
        <v>4.2928168871605811E-2</v>
      </c>
      <c r="P109" s="3">
        <f t="shared" ca="1" si="125"/>
        <v>4.6587517428433992E-2</v>
      </c>
      <c r="Q109" s="3">
        <f t="shared" ca="1" si="125"/>
        <v>4.4384172015897054E-2</v>
      </c>
      <c r="R109" s="3">
        <f t="shared" ca="1" si="125"/>
        <v>4.8389367874658307E-2</v>
      </c>
      <c r="S109" s="3">
        <f t="shared" ca="1" si="125"/>
        <v>4.7751578555934163E-2</v>
      </c>
      <c r="T109" s="3">
        <f t="shared" ca="1" si="125"/>
        <v>4.9464714261268097E-2</v>
      </c>
      <c r="U109" s="3">
        <f t="shared" ca="1" si="125"/>
        <v>4.9808127986813222E-2</v>
      </c>
      <c r="V109" s="3">
        <f t="shared" ca="1" si="125"/>
        <v>5.0516033601478036E-2</v>
      </c>
      <c r="W109" s="3">
        <f t="shared" ca="1" si="125"/>
        <v>5.2922501814760187E-2</v>
      </c>
      <c r="X109" s="3">
        <f t="shared" ca="1" si="125"/>
        <v>5.7543995423398886E-2</v>
      </c>
      <c r="Y109" s="3">
        <f t="shared" ca="1" si="125"/>
        <v>5.7392047842902048E-2</v>
      </c>
      <c r="Z109" s="3">
        <f t="shared" ca="1" si="125"/>
        <v>6.9705449436738787E-2</v>
      </c>
      <c r="AA109" s="3">
        <f t="shared" ca="1" si="125"/>
        <v>6.3427592755868595E-2</v>
      </c>
      <c r="AB109" s="3">
        <f t="shared" ref="AB109" ca="1" si="127">MIN(0.99,AB52+$O$3)</f>
        <v>7.9310897289710774E-2</v>
      </c>
      <c r="AC109" s="3">
        <f t="shared" ca="1" si="111"/>
        <v>6.8689802367854991E-2</v>
      </c>
      <c r="AD109" s="3">
        <f t="shared" ca="1" si="111"/>
        <v>8.7478755302205585E-2</v>
      </c>
      <c r="AE109" s="3">
        <f t="shared" ca="1" si="111"/>
        <v>7.4158401286225806E-2</v>
      </c>
      <c r="AF109" s="3">
        <f t="shared" ca="1" si="111"/>
        <v>9.7451511318269013E-2</v>
      </c>
      <c r="AG109" s="3">
        <f t="shared" ca="1" si="111"/>
        <v>7.89338558089097E-2</v>
      </c>
      <c r="AH109" s="3">
        <f t="shared" ca="1" si="111"/>
        <v>0.12455755726151424</v>
      </c>
      <c r="AI109" s="3">
        <f t="shared" ca="1" si="111"/>
        <v>0.10888672293547447</v>
      </c>
      <c r="AJ109" s="3">
        <f t="shared" ca="1" si="111"/>
        <v>0.1920752177309564</v>
      </c>
    </row>
    <row r="110" spans="1:36" x14ac:dyDescent="0.35">
      <c r="A110" t="s">
        <v>77</v>
      </c>
      <c r="B110" t="s">
        <v>62</v>
      </c>
      <c r="C110" s="4" t="s">
        <v>69</v>
      </c>
      <c r="D110" s="3">
        <f t="shared" ca="1" si="77"/>
        <v>3.4584194710762364E-2</v>
      </c>
      <c r="E110" s="3">
        <f t="shared" ca="1" si="125"/>
        <v>3.4849201397244449E-2</v>
      </c>
      <c r="F110" s="3">
        <f t="shared" ca="1" si="125"/>
        <v>3.5626829121369608E-2</v>
      </c>
      <c r="G110" s="3">
        <f t="shared" ca="1" si="125"/>
        <v>3.7558847639654835E-2</v>
      </c>
      <c r="H110" s="3">
        <f t="shared" ca="1" si="125"/>
        <v>3.8581648252572306E-2</v>
      </c>
      <c r="I110" s="3">
        <f t="shared" ca="1" si="125"/>
        <v>3.9121003460088094E-2</v>
      </c>
      <c r="J110" s="3">
        <f t="shared" ca="1" si="125"/>
        <v>4.0968389396059166E-2</v>
      </c>
      <c r="K110" s="3">
        <f t="shared" ca="1" si="125"/>
        <v>4.0282601822707993E-2</v>
      </c>
      <c r="L110" s="3">
        <f t="shared" ca="1" si="125"/>
        <v>4.2528125036651057E-2</v>
      </c>
      <c r="M110" s="3">
        <f t="shared" ca="1" si="125"/>
        <v>4.2752972928767112E-2</v>
      </c>
      <c r="N110" s="3">
        <f t="shared" ca="1" si="125"/>
        <v>4.4274698007103069E-2</v>
      </c>
      <c r="O110" s="3">
        <f t="shared" ca="1" si="125"/>
        <v>4.3867015017448385E-2</v>
      </c>
      <c r="P110" s="3">
        <f t="shared" ca="1" si="125"/>
        <v>4.7537198093096658E-2</v>
      </c>
      <c r="Q110" s="3">
        <f t="shared" ca="1" si="125"/>
        <v>4.5334874162220748E-2</v>
      </c>
      <c r="R110" s="3">
        <f t="shared" ca="1" si="125"/>
        <v>4.9372598653691507E-2</v>
      </c>
      <c r="S110" s="3">
        <f t="shared" ca="1" si="125"/>
        <v>4.8706846782769805E-2</v>
      </c>
      <c r="T110" s="3">
        <f t="shared" ca="1" si="125"/>
        <v>5.0419041456490454E-2</v>
      </c>
      <c r="U110" s="3">
        <f t="shared" ca="1" si="125"/>
        <v>5.0734398693723093E-2</v>
      </c>
      <c r="V110" s="3">
        <f t="shared" ca="1" si="125"/>
        <v>5.151242174892201E-2</v>
      </c>
      <c r="W110" s="3">
        <f t="shared" ca="1" si="125"/>
        <v>5.3886282897960082E-2</v>
      </c>
      <c r="X110" s="3">
        <f t="shared" ca="1" si="125"/>
        <v>5.8485402574463802E-2</v>
      </c>
      <c r="Y110" s="3">
        <f t="shared" ca="1" si="125"/>
        <v>5.8319198919238015E-2</v>
      </c>
      <c r="Z110" s="3">
        <f t="shared" ca="1" si="125"/>
        <v>7.0679182807404456E-2</v>
      </c>
      <c r="AA110" s="3">
        <f t="shared" ca="1" si="125"/>
        <v>6.4356001933157714E-2</v>
      </c>
      <c r="AB110" s="3">
        <f t="shared" ref="AB110" ca="1" si="128">MIN(0.99,AB53+$O$3)</f>
        <v>8.0301583185981851E-2</v>
      </c>
      <c r="AC110" s="3">
        <f t="shared" ca="1" si="111"/>
        <v>6.9635272908592671E-2</v>
      </c>
      <c r="AD110" s="3">
        <f t="shared" ca="1" si="111"/>
        <v>8.844513876523144E-2</v>
      </c>
      <c r="AE110" s="3">
        <f t="shared" ca="1" si="111"/>
        <v>7.5118769335408397E-2</v>
      </c>
      <c r="AF110" s="3">
        <f t="shared" ca="1" si="111"/>
        <v>9.8448129820980779E-2</v>
      </c>
      <c r="AG110" s="3">
        <f t="shared" ca="1" si="111"/>
        <v>7.9902818959252137E-2</v>
      </c>
      <c r="AH110" s="3">
        <f t="shared" ca="1" si="111"/>
        <v>0.12545765390513774</v>
      </c>
      <c r="AI110" s="3">
        <f t="shared" ca="1" si="111"/>
        <v>0.10986872988269336</v>
      </c>
      <c r="AJ110" s="3">
        <f t="shared" ca="1" si="111"/>
        <v>0.19297915607839866</v>
      </c>
    </row>
    <row r="111" spans="1:36" x14ac:dyDescent="0.35">
      <c r="A111" t="s">
        <v>77</v>
      </c>
      <c r="B111" t="s">
        <v>62</v>
      </c>
      <c r="C111" s="4" t="s">
        <v>70</v>
      </c>
      <c r="D111" s="3">
        <f t="shared" ca="1" si="77"/>
        <v>3.5523112061350684E-2</v>
      </c>
      <c r="E111" s="3">
        <f t="shared" ca="1" si="125"/>
        <v>3.5816882642038965E-2</v>
      </c>
      <c r="F111" s="3">
        <f t="shared" ca="1" si="125"/>
        <v>3.6599630135323732E-2</v>
      </c>
      <c r="G111" s="3">
        <f t="shared" ca="1" si="125"/>
        <v>3.8553263184614946E-2</v>
      </c>
      <c r="H111" s="3">
        <f t="shared" ca="1" si="125"/>
        <v>3.9482467910668465E-2</v>
      </c>
      <c r="I111" s="3">
        <f t="shared" ca="1" si="125"/>
        <v>4.003891172126478E-2</v>
      </c>
      <c r="J111" s="3">
        <f t="shared" ca="1" si="125"/>
        <v>4.1899360507581682E-2</v>
      </c>
      <c r="K111" s="3">
        <f t="shared" ca="1" si="125"/>
        <v>4.12085390895333E-2</v>
      </c>
      <c r="L111" s="3">
        <f t="shared" ca="1" si="125"/>
        <v>4.3483431198743275E-2</v>
      </c>
      <c r="M111" s="3">
        <f t="shared" ca="1" si="125"/>
        <v>4.3738074974102321E-2</v>
      </c>
      <c r="N111" s="3">
        <f t="shared" ca="1" si="125"/>
        <v>4.5263701713317832E-2</v>
      </c>
      <c r="O111" s="3">
        <f t="shared" ca="1" si="125"/>
        <v>4.477542595007579E-2</v>
      </c>
      <c r="P111" s="3">
        <f t="shared" ca="1" si="125"/>
        <v>4.8491083639963392E-2</v>
      </c>
      <c r="Q111" s="3">
        <f t="shared" ca="1" si="125"/>
        <v>4.6319204983845938E-2</v>
      </c>
      <c r="R111" s="3">
        <f t="shared" ca="1" si="125"/>
        <v>5.0307908545845256E-2</v>
      </c>
      <c r="S111" s="3">
        <f t="shared" ca="1" si="125"/>
        <v>4.9644330597377863E-2</v>
      </c>
      <c r="T111" s="3">
        <f t="shared" ca="1" si="125"/>
        <v>5.1413589174759841E-2</v>
      </c>
      <c r="U111" s="3">
        <f t="shared" ca="1" si="125"/>
        <v>5.1724282230919669E-2</v>
      </c>
      <c r="V111" s="3">
        <f t="shared" ca="1" si="125"/>
        <v>5.2495899234573533E-2</v>
      </c>
      <c r="W111" s="3">
        <f t="shared" ca="1" si="125"/>
        <v>5.4824362858411232E-2</v>
      </c>
      <c r="X111" s="3">
        <f t="shared" ca="1" si="125"/>
        <v>5.9394770239329604E-2</v>
      </c>
      <c r="Y111" s="3">
        <f t="shared" ca="1" si="125"/>
        <v>5.9232931345332133E-2</v>
      </c>
      <c r="Z111" s="3">
        <f t="shared" ca="1" si="125"/>
        <v>7.1645068465414935E-2</v>
      </c>
      <c r="AA111" s="3">
        <f t="shared" ca="1" si="125"/>
        <v>6.5337076730445059E-2</v>
      </c>
      <c r="AB111" s="3">
        <f t="shared" ref="AB111:AJ119" ca="1" si="129">MIN(0.99,AB54+$O$3)</f>
        <v>8.1258669423476163E-2</v>
      </c>
      <c r="AC111" s="3">
        <f t="shared" ca="1" si="129"/>
        <v>7.0580582467148142E-2</v>
      </c>
      <c r="AD111" s="3">
        <f t="shared" ca="1" si="129"/>
        <v>8.9352392710119938E-2</v>
      </c>
      <c r="AE111" s="3">
        <f t="shared" ca="1" si="129"/>
        <v>7.6024271440943647E-2</v>
      </c>
      <c r="AF111" s="3">
        <f t="shared" ca="1" si="129"/>
        <v>9.9391289563658142E-2</v>
      </c>
      <c r="AG111" s="3">
        <f t="shared" ca="1" si="129"/>
        <v>8.0815575790499167E-2</v>
      </c>
      <c r="AH111" s="3">
        <f t="shared" ca="1" si="129"/>
        <v>0.12638236159914149</v>
      </c>
      <c r="AI111" s="3">
        <f t="shared" ca="1" si="129"/>
        <v>0.11081448797878907</v>
      </c>
      <c r="AJ111" s="3">
        <f t="shared" ca="1" si="129"/>
        <v>0.19391369937451086</v>
      </c>
    </row>
    <row r="112" spans="1:36" x14ac:dyDescent="0.35">
      <c r="A112" t="s">
        <v>77</v>
      </c>
      <c r="B112" t="s">
        <v>62</v>
      </c>
      <c r="C112" s="4">
        <v>5</v>
      </c>
      <c r="D112" s="3">
        <f t="shared" ca="1" si="77"/>
        <v>3.6492190711387262E-2</v>
      </c>
      <c r="E112" s="3">
        <f t="shared" ca="1" si="125"/>
        <v>3.6757829781691502E-2</v>
      </c>
      <c r="F112" s="3">
        <f t="shared" ca="1" si="125"/>
        <v>3.7535935912396443E-2</v>
      </c>
      <c r="G112" s="3">
        <f t="shared" ca="1" si="125"/>
        <v>3.9548794499744112E-2</v>
      </c>
      <c r="H112" s="3">
        <f t="shared" ca="1" si="125"/>
        <v>4.0452822905508598E-2</v>
      </c>
      <c r="I112" s="3">
        <f t="shared" ca="1" si="125"/>
        <v>4.0975220516922095E-2</v>
      </c>
      <c r="J112" s="3">
        <f t="shared" ca="1" si="125"/>
        <v>4.2827210669389389E-2</v>
      </c>
      <c r="K112" s="3">
        <f t="shared" ca="1" si="125"/>
        <v>4.2196292521258935E-2</v>
      </c>
      <c r="L112" s="3">
        <f t="shared" ca="1" si="125"/>
        <v>4.4386328314593451E-2</v>
      </c>
      <c r="M112" s="3">
        <f t="shared" ca="1" si="125"/>
        <v>4.4683003004481359E-2</v>
      </c>
      <c r="N112" s="3">
        <f t="shared" ca="1" si="125"/>
        <v>4.6263515245693998E-2</v>
      </c>
      <c r="O112" s="3">
        <f t="shared" ca="1" si="125"/>
        <v>4.5758951880278759E-2</v>
      </c>
      <c r="P112" s="3">
        <f t="shared" ca="1" si="125"/>
        <v>4.9469748278415618E-2</v>
      </c>
      <c r="Q112" s="3">
        <f t="shared" ca="1" si="125"/>
        <v>4.7314213924002778E-2</v>
      </c>
      <c r="R112" s="3">
        <f t="shared" ca="1" si="125"/>
        <v>5.1262879475122827E-2</v>
      </c>
      <c r="S112" s="3">
        <f t="shared" ca="1" si="125"/>
        <v>5.0589166453362894E-2</v>
      </c>
      <c r="T112" s="3">
        <f t="shared" ca="1" si="125"/>
        <v>5.2367105554384771E-2</v>
      </c>
      <c r="U112" s="3">
        <f t="shared" ca="1" si="125"/>
        <v>5.2719100639236585E-2</v>
      </c>
      <c r="V112" s="3">
        <f t="shared" ca="1" si="125"/>
        <v>5.3425901175665425E-2</v>
      </c>
      <c r="W112" s="3">
        <f t="shared" ca="1" si="125"/>
        <v>5.5822284727731326E-2</v>
      </c>
      <c r="X112" s="3">
        <f t="shared" ca="1" si="125"/>
        <v>6.0342390612073131E-2</v>
      </c>
      <c r="Y112" s="3">
        <f t="shared" ca="1" si="125"/>
        <v>6.0134115882922931E-2</v>
      </c>
      <c r="Z112" s="3">
        <f t="shared" ca="1" si="125"/>
        <v>7.2580327123027616E-2</v>
      </c>
      <c r="AA112" s="3">
        <f t="shared" ca="1" si="125"/>
        <v>6.6303936951549375E-2</v>
      </c>
      <c r="AB112" s="3">
        <f t="shared" ref="AB112" ca="1" si="130">MIN(0.99,AB55+$O$3)</f>
        <v>8.2244664619405328E-2</v>
      </c>
      <c r="AC112" s="3">
        <f t="shared" ca="1" si="129"/>
        <v>7.1512824361098279E-2</v>
      </c>
      <c r="AD112" s="3">
        <f t="shared" ca="1" si="129"/>
        <v>9.0333139568749415E-2</v>
      </c>
      <c r="AE112" s="3">
        <f t="shared" ca="1" si="129"/>
        <v>7.7013341785540868E-2</v>
      </c>
      <c r="AF112" s="3">
        <f t="shared" ca="1" si="129"/>
        <v>0.10030834918454778</v>
      </c>
      <c r="AG112" s="3">
        <f t="shared" ca="1" si="129"/>
        <v>8.1795013893240218E-2</v>
      </c>
      <c r="AH112" s="3">
        <f t="shared" ca="1" si="129"/>
        <v>0.12729886226862744</v>
      </c>
      <c r="AI112" s="3">
        <f t="shared" ca="1" si="129"/>
        <v>0.11171999089498677</v>
      </c>
      <c r="AJ112" s="3">
        <f t="shared" ca="1" si="129"/>
        <v>0.19488647927439454</v>
      </c>
    </row>
    <row r="113" spans="1:36" x14ac:dyDescent="0.35">
      <c r="A113" t="s">
        <v>77</v>
      </c>
      <c r="B113" t="s">
        <v>62</v>
      </c>
      <c r="C113" s="4" t="s">
        <v>71</v>
      </c>
      <c r="D113" s="3">
        <f t="shared" ca="1" si="77"/>
        <v>3.748445490030132E-2</v>
      </c>
      <c r="E113" s="3">
        <f t="shared" ca="1" si="125"/>
        <v>3.7686051836511553E-2</v>
      </c>
      <c r="F113" s="3">
        <f t="shared" ca="1" si="125"/>
        <v>3.8478260473116851E-2</v>
      </c>
      <c r="G113" s="3">
        <f t="shared" ca="1" si="125"/>
        <v>4.0489371479568388E-2</v>
      </c>
      <c r="H113" s="3">
        <f t="shared" ca="1" si="125"/>
        <v>4.1362343993236725E-2</v>
      </c>
      <c r="I113" s="3">
        <f t="shared" ca="1" si="125"/>
        <v>4.191125588163952E-2</v>
      </c>
      <c r="J113" s="3">
        <f t="shared" ca="1" si="125"/>
        <v>4.3777221799076567E-2</v>
      </c>
      <c r="K113" s="3">
        <f t="shared" ca="1" si="125"/>
        <v>4.3152562866536737E-2</v>
      </c>
      <c r="L113" s="3">
        <f t="shared" ca="1" si="125"/>
        <v>4.5377989724146695E-2</v>
      </c>
      <c r="M113" s="3">
        <f t="shared" ca="1" si="125"/>
        <v>4.566367224582818E-2</v>
      </c>
      <c r="N113" s="3">
        <f t="shared" ca="1" si="125"/>
        <v>4.7257238766008403E-2</v>
      </c>
      <c r="O113" s="3">
        <f t="shared" ca="1" si="125"/>
        <v>4.670778369686146E-2</v>
      </c>
      <c r="P113" s="3">
        <f t="shared" ca="1" si="125"/>
        <v>5.038151258771581E-2</v>
      </c>
      <c r="Q113" s="3">
        <f t="shared" ca="1" si="125"/>
        <v>4.8273755738102928E-2</v>
      </c>
      <c r="R113" s="3">
        <f t="shared" ca="1" si="125"/>
        <v>5.2224006454352274E-2</v>
      </c>
      <c r="S113" s="3">
        <f t="shared" ca="1" si="125"/>
        <v>5.1554680141082901E-2</v>
      </c>
      <c r="T113" s="3">
        <f t="shared" ca="1" si="125"/>
        <v>5.3280803373116511E-2</v>
      </c>
      <c r="U113" s="3">
        <f t="shared" ca="1" si="125"/>
        <v>5.3647362019711403E-2</v>
      </c>
      <c r="V113" s="3">
        <f t="shared" ca="1" si="125"/>
        <v>5.439194600973616E-2</v>
      </c>
      <c r="W113" s="3">
        <f t="shared" ca="1" si="125"/>
        <v>5.6821584433293756E-2</v>
      </c>
      <c r="X113" s="3">
        <f t="shared" ca="1" si="125"/>
        <v>6.129920617439627E-2</v>
      </c>
      <c r="Y113" s="3">
        <f t="shared" ca="1" si="125"/>
        <v>6.1077544099665156E-2</v>
      </c>
      <c r="Z113" s="3">
        <f t="shared" ca="1" si="125"/>
        <v>7.3552309449170655E-2</v>
      </c>
      <c r="AA113" s="3">
        <f t="shared" ca="1" si="125"/>
        <v>6.7292686553740697E-2</v>
      </c>
      <c r="AB113" s="3">
        <f t="shared" ref="AB113" ca="1" si="131">MIN(0.99,AB56+$O$3)</f>
        <v>8.3174241081540673E-2</v>
      </c>
      <c r="AC113" s="3">
        <f t="shared" ca="1" si="129"/>
        <v>7.2414869977706048E-2</v>
      </c>
      <c r="AD113" s="3">
        <f t="shared" ca="1" si="129"/>
        <v>9.1244362191161693E-2</v>
      </c>
      <c r="AE113" s="3">
        <f t="shared" ca="1" si="129"/>
        <v>7.7963008350562538E-2</v>
      </c>
      <c r="AF113" s="3">
        <f t="shared" ca="1" si="129"/>
        <v>0.10127168689704344</v>
      </c>
      <c r="AG113" s="3">
        <f t="shared" ca="1" si="129"/>
        <v>8.274734113339155E-2</v>
      </c>
      <c r="AH113" s="3">
        <f t="shared" ca="1" si="129"/>
        <v>0.12823751749255069</v>
      </c>
      <c r="AI113" s="3">
        <f t="shared" ca="1" si="129"/>
        <v>0.11271464727072081</v>
      </c>
      <c r="AJ113" s="3">
        <f t="shared" ca="1" si="129"/>
        <v>0.19588108553655043</v>
      </c>
    </row>
    <row r="114" spans="1:36" x14ac:dyDescent="0.35">
      <c r="A114" t="s">
        <v>77</v>
      </c>
      <c r="B114" t="s">
        <v>62</v>
      </c>
      <c r="C114" s="4" t="s">
        <v>72</v>
      </c>
      <c r="D114" s="3">
        <f t="shared" ca="1" si="77"/>
        <v>3.8438939243967914E-2</v>
      </c>
      <c r="E114" s="3">
        <f t="shared" ca="1" si="125"/>
        <v>3.8644712168429976E-2</v>
      </c>
      <c r="F114" s="3">
        <f t="shared" ca="1" si="125"/>
        <v>3.9415597778274206E-2</v>
      </c>
      <c r="G114" s="3">
        <f t="shared" ca="1" si="125"/>
        <v>4.1473693954814005E-2</v>
      </c>
      <c r="H114" s="3">
        <f t="shared" ca="1" si="125"/>
        <v>4.2352076935953296E-2</v>
      </c>
      <c r="I114" s="3">
        <f t="shared" ca="1" si="125"/>
        <v>4.2847010510658354E-2</v>
      </c>
      <c r="J114" s="3">
        <f t="shared" ca="1" si="125"/>
        <v>4.4767276567622263E-2</v>
      </c>
      <c r="K114" s="3">
        <f t="shared" ca="1" si="125"/>
        <v>4.4072023986234096E-2</v>
      </c>
      <c r="L114" s="3">
        <f t="shared" ca="1" si="125"/>
        <v>4.6328679218008817E-2</v>
      </c>
      <c r="M114" s="3">
        <f t="shared" ca="1" si="125"/>
        <v>4.6636657786686228E-2</v>
      </c>
      <c r="N114" s="3">
        <f t="shared" ca="1" si="125"/>
        <v>4.8235393058275913E-2</v>
      </c>
      <c r="O114" s="3">
        <f t="shared" ca="1" si="125"/>
        <v>4.769305274746493E-2</v>
      </c>
      <c r="P114" s="3">
        <f t="shared" ca="1" si="125"/>
        <v>5.1353375629964976E-2</v>
      </c>
      <c r="Q114" s="3">
        <f t="shared" ca="1" si="125"/>
        <v>4.9179666982170911E-2</v>
      </c>
      <c r="R114" s="3">
        <f t="shared" ca="1" si="125"/>
        <v>5.315725819865745E-2</v>
      </c>
      <c r="S114" s="3">
        <f t="shared" ca="1" si="125"/>
        <v>5.2501915946190428E-2</v>
      </c>
      <c r="T114" s="3">
        <f t="shared" ca="1" si="125"/>
        <v>5.4280352248944883E-2</v>
      </c>
      <c r="U114" s="3">
        <f t="shared" ca="1" si="125"/>
        <v>5.4595759629499342E-2</v>
      </c>
      <c r="V114" s="3">
        <f t="shared" ca="1" si="125"/>
        <v>5.5319788123702425E-2</v>
      </c>
      <c r="W114" s="3">
        <f t="shared" ca="1" si="125"/>
        <v>5.781126240221076E-2</v>
      </c>
      <c r="X114" s="3">
        <f t="shared" ca="1" si="125"/>
        <v>6.223703866669289E-2</v>
      </c>
      <c r="Y114" s="3">
        <f t="shared" ca="1" si="125"/>
        <v>6.2074734196958248E-2</v>
      </c>
      <c r="Z114" s="3">
        <f t="shared" ca="1" si="125"/>
        <v>7.4477911135174713E-2</v>
      </c>
      <c r="AA114" s="3">
        <f t="shared" ca="1" si="125"/>
        <v>6.8274771267108472E-2</v>
      </c>
      <c r="AB114" s="3">
        <f t="shared" ref="AB114" ca="1" si="132">MIN(0.99,AB57+$O$3)</f>
        <v>8.411793286938532E-2</v>
      </c>
      <c r="AC114" s="3">
        <f t="shared" ca="1" si="129"/>
        <v>7.341440491770998E-2</v>
      </c>
      <c r="AD114" s="3">
        <f t="shared" ca="1" si="129"/>
        <v>9.2209359896021803E-2</v>
      </c>
      <c r="AE114" s="3">
        <f t="shared" ca="1" si="129"/>
        <v>7.8932612433054772E-2</v>
      </c>
      <c r="AF114" s="3">
        <f t="shared" ca="1" si="129"/>
        <v>0.10224633726245408</v>
      </c>
      <c r="AG114" s="3">
        <f t="shared" ca="1" si="129"/>
        <v>8.3701428021291713E-2</v>
      </c>
      <c r="AH114" s="3">
        <f t="shared" ca="1" si="129"/>
        <v>0.12914310721984884</v>
      </c>
      <c r="AI114" s="3">
        <f t="shared" ca="1" si="129"/>
        <v>0.11366223769231953</v>
      </c>
      <c r="AJ114" s="3">
        <f t="shared" ca="1" si="129"/>
        <v>0.1968365499943</v>
      </c>
    </row>
    <row r="115" spans="1:36" x14ac:dyDescent="0.35">
      <c r="A115" t="s">
        <v>77</v>
      </c>
      <c r="B115" t="s">
        <v>62</v>
      </c>
      <c r="C115" s="4">
        <v>6</v>
      </c>
      <c r="D115" s="3">
        <f t="shared" ca="1" si="77"/>
        <v>3.9412748521250436E-2</v>
      </c>
      <c r="E115" s="3">
        <f t="shared" ca="1" si="125"/>
        <v>3.9563121751142183E-2</v>
      </c>
      <c r="F115" s="3">
        <f t="shared" ca="1" si="125"/>
        <v>4.0345193633923124E-2</v>
      </c>
      <c r="G115" s="3">
        <f t="shared" ca="1" si="125"/>
        <v>4.2422006573476834E-2</v>
      </c>
      <c r="H115" s="3">
        <f t="shared" ca="1" si="125"/>
        <v>4.3268702262347955E-2</v>
      </c>
      <c r="I115" s="3">
        <f t="shared" ca="1" si="125"/>
        <v>4.3770235805852445E-2</v>
      </c>
      <c r="J115" s="3">
        <f t="shared" ca="1" si="125"/>
        <v>4.5671972122494978E-2</v>
      </c>
      <c r="K115" s="3">
        <f t="shared" ca="1" si="125"/>
        <v>4.5007063927246446E-2</v>
      </c>
      <c r="L115" s="3">
        <f t="shared" ca="1" si="125"/>
        <v>4.7271303248341986E-2</v>
      </c>
      <c r="M115" s="3">
        <f t="shared" ca="1" si="125"/>
        <v>4.7610365876717659E-2</v>
      </c>
      <c r="N115" s="3">
        <f t="shared" ca="1" si="125"/>
        <v>4.9203749435113658E-2</v>
      </c>
      <c r="O115" s="3">
        <f t="shared" ca="1" si="125"/>
        <v>4.8691439995021721E-2</v>
      </c>
      <c r="P115" s="3">
        <f t="shared" ca="1" si="125"/>
        <v>5.2270604251097724E-2</v>
      </c>
      <c r="Q115" s="3">
        <f t="shared" ca="1" si="125"/>
        <v>5.0179408448813446E-2</v>
      </c>
      <c r="R115" s="3">
        <f t="shared" ca="1" si="125"/>
        <v>5.4142369741630031E-2</v>
      </c>
      <c r="S115" s="3">
        <f t="shared" ca="1" si="125"/>
        <v>5.3466851635476577E-2</v>
      </c>
      <c r="T115" s="3">
        <f t="shared" ca="1" si="125"/>
        <v>5.5269073544278707E-2</v>
      </c>
      <c r="U115" s="3">
        <f t="shared" ca="1" si="125"/>
        <v>5.5571096995211539E-2</v>
      </c>
      <c r="V115" s="3">
        <f t="shared" ca="1" si="125"/>
        <v>5.6289308142138887E-2</v>
      </c>
      <c r="W115" s="3">
        <f t="shared" ca="1" si="125"/>
        <v>5.8804533323171107E-2</v>
      </c>
      <c r="X115" s="3">
        <f t="shared" ca="1" si="125"/>
        <v>6.3229769125465379E-2</v>
      </c>
      <c r="Y115" s="3">
        <f t="shared" ca="1" si="125"/>
        <v>6.3001000442242966E-2</v>
      </c>
      <c r="Z115" s="3">
        <f t="shared" ca="1" si="125"/>
        <v>7.5427924377241967E-2</v>
      </c>
      <c r="AA115" s="3">
        <f t="shared" ca="1" si="125"/>
        <v>6.9250966004294895E-2</v>
      </c>
      <c r="AB115" s="3">
        <f t="shared" ref="AB115" ca="1" si="133">MIN(0.99,AB58+$O$3)</f>
        <v>8.5053966335099762E-2</v>
      </c>
      <c r="AC115" s="3">
        <f t="shared" ca="1" si="129"/>
        <v>7.4388499773208661E-2</v>
      </c>
      <c r="AD115" s="3">
        <f t="shared" ca="1" si="129"/>
        <v>9.3155431487015272E-2</v>
      </c>
      <c r="AE115" s="3">
        <f t="shared" ca="1" si="129"/>
        <v>7.9920315427896974E-2</v>
      </c>
      <c r="AF115" s="3">
        <f t="shared" ca="1" si="129"/>
        <v>0.10321370873309577</v>
      </c>
      <c r="AG115" s="3">
        <f t="shared" ca="1" si="129"/>
        <v>8.4606942220334977E-2</v>
      </c>
      <c r="AH115" s="3">
        <f t="shared" ca="1" si="129"/>
        <v>0.13013563349026996</v>
      </c>
      <c r="AI115" s="3">
        <f t="shared" ca="1" si="129"/>
        <v>0.1146295919522802</v>
      </c>
      <c r="AJ115" s="3">
        <f t="shared" ca="1" si="129"/>
        <v>0.19778064281299038</v>
      </c>
    </row>
    <row r="116" spans="1:36" x14ac:dyDescent="0.35">
      <c r="A116" t="s">
        <v>77</v>
      </c>
      <c r="B116" t="s">
        <v>62</v>
      </c>
      <c r="C116" s="4" t="s">
        <v>73</v>
      </c>
      <c r="D116" s="3">
        <f t="shared" ca="1" si="77"/>
        <v>4.0405762019646158E-2</v>
      </c>
      <c r="E116" s="3">
        <f t="shared" ca="1" si="125"/>
        <v>4.0557962367549258E-2</v>
      </c>
      <c r="F116" s="3">
        <f t="shared" ca="1" si="125"/>
        <v>4.1285233794687376E-2</v>
      </c>
      <c r="G116" s="3">
        <f t="shared" ca="1" si="125"/>
        <v>4.3323191021016214E-2</v>
      </c>
      <c r="H116" s="3">
        <f t="shared" ca="1" si="125"/>
        <v>4.4190680806712894E-2</v>
      </c>
      <c r="I116" s="3">
        <f t="shared" ca="1" si="125"/>
        <v>4.4721160579388561E-2</v>
      </c>
      <c r="J116" s="3">
        <f t="shared" ca="1" si="125"/>
        <v>4.666209330122336E-2</v>
      </c>
      <c r="K116" s="3">
        <f t="shared" ca="1" si="125"/>
        <v>4.5907845358551039E-2</v>
      </c>
      <c r="L116" s="3">
        <f t="shared" ca="1" si="125"/>
        <v>4.8223102569838729E-2</v>
      </c>
      <c r="M116" s="3">
        <f t="shared" ca="1" si="125"/>
        <v>4.8596153588644955E-2</v>
      </c>
      <c r="N116" s="3">
        <f t="shared" ca="1" si="125"/>
        <v>5.0179215680414418E-2</v>
      </c>
      <c r="O116" s="3">
        <f t="shared" ca="1" si="125"/>
        <v>4.9673053703103404E-2</v>
      </c>
      <c r="P116" s="3">
        <f t="shared" ca="1" si="125"/>
        <v>5.3219756104586305E-2</v>
      </c>
      <c r="Q116" s="3">
        <f t="shared" ca="1" si="125"/>
        <v>5.1155382846520381E-2</v>
      </c>
      <c r="R116" s="3">
        <f t="shared" ca="1" si="125"/>
        <v>5.5092459080454077E-2</v>
      </c>
      <c r="S116" s="3">
        <f t="shared" ca="1" si="125"/>
        <v>5.4426304819436375E-2</v>
      </c>
      <c r="T116" s="3">
        <f t="shared" ca="1" si="125"/>
        <v>5.6176411470082017E-2</v>
      </c>
      <c r="U116" s="3">
        <f t="shared" ca="1" si="125"/>
        <v>5.64963884312948E-2</v>
      </c>
      <c r="V116" s="3">
        <f t="shared" ca="1" si="125"/>
        <v>5.722987167394928E-2</v>
      </c>
      <c r="W116" s="3">
        <f t="shared" ca="1" si="125"/>
        <v>5.9782459582558428E-2</v>
      </c>
      <c r="X116" s="3">
        <f t="shared" ca="1" si="125"/>
        <v>6.4181579702867822E-2</v>
      </c>
      <c r="Y116" s="3">
        <f t="shared" ca="1" si="125"/>
        <v>6.3902737204013543E-2</v>
      </c>
      <c r="Z116" s="3">
        <f t="shared" ca="1" si="125"/>
        <v>7.6426583367858986E-2</v>
      </c>
      <c r="AA116" s="3">
        <f t="shared" ca="1" si="125"/>
        <v>7.0225144233269532E-2</v>
      </c>
      <c r="AB116" s="3">
        <f t="shared" ref="AB116" ca="1" si="134">MIN(0.99,AB59+$O$3)</f>
        <v>8.599569723940062E-2</v>
      </c>
      <c r="AC116" s="3">
        <f t="shared" ca="1" si="129"/>
        <v>7.537508552539135E-2</v>
      </c>
      <c r="AD116" s="3">
        <f t="shared" ca="1" si="129"/>
        <v>9.4094084240374215E-2</v>
      </c>
      <c r="AE116" s="3">
        <f t="shared" ca="1" si="129"/>
        <v>8.08948429950688E-2</v>
      </c>
      <c r="AF116" s="3">
        <f t="shared" ca="1" si="129"/>
        <v>0.10413619918075595</v>
      </c>
      <c r="AG116" s="3">
        <f t="shared" ca="1" si="129"/>
        <v>8.558402061376727E-2</v>
      </c>
      <c r="AH116" s="3">
        <f t="shared" ca="1" si="129"/>
        <v>0.13105028626100149</v>
      </c>
      <c r="AI116" s="3">
        <f t="shared" ca="1" si="129"/>
        <v>0.11559613312924785</v>
      </c>
      <c r="AJ116" s="3">
        <f t="shared" ca="1" si="129"/>
        <v>0.1986939988446183</v>
      </c>
    </row>
    <row r="117" spans="1:36" x14ac:dyDescent="0.35">
      <c r="A117" t="s">
        <v>77</v>
      </c>
      <c r="B117" t="s">
        <v>62</v>
      </c>
      <c r="C117" s="4" t="s">
        <v>74</v>
      </c>
      <c r="D117" s="3">
        <f t="shared" ca="1" si="77"/>
        <v>4.1323956046054516E-2</v>
      </c>
      <c r="E117" s="3">
        <f t="shared" ca="1" si="125"/>
        <v>4.1535229102321068E-2</v>
      </c>
      <c r="F117" s="3">
        <f t="shared" ca="1" si="125"/>
        <v>4.2221165352956322E-2</v>
      </c>
      <c r="G117" s="3">
        <f t="shared" ca="1" si="125"/>
        <v>4.4264475917527427E-2</v>
      </c>
      <c r="H117" s="3">
        <f t="shared" ca="1" si="125"/>
        <v>4.511050650525017E-2</v>
      </c>
      <c r="I117" s="3">
        <f t="shared" ca="1" si="125"/>
        <v>4.5691737270141197E-2</v>
      </c>
      <c r="J117" s="3">
        <f t="shared" ca="1" si="125"/>
        <v>4.764251769787705E-2</v>
      </c>
      <c r="K117" s="3">
        <f t="shared" ca="1" si="125"/>
        <v>4.6867936768599017E-2</v>
      </c>
      <c r="L117" s="3">
        <f t="shared" ca="1" si="125"/>
        <v>4.9205066646935178E-2</v>
      </c>
      <c r="M117" s="3">
        <f t="shared" ca="1" si="125"/>
        <v>4.9575381582484868E-2</v>
      </c>
      <c r="N117" s="3">
        <f t="shared" ca="1" si="125"/>
        <v>5.1120671372874106E-2</v>
      </c>
      <c r="O117" s="3">
        <f t="shared" ca="1" si="125"/>
        <v>5.0611253627850045E-2</v>
      </c>
      <c r="P117" s="3">
        <f t="shared" ca="1" si="125"/>
        <v>5.4211963898851467E-2</v>
      </c>
      <c r="Q117" s="3">
        <f t="shared" ca="1" si="125"/>
        <v>5.2099948449425976E-2</v>
      </c>
      <c r="R117" s="3">
        <f t="shared" ca="1" si="125"/>
        <v>5.6028976195700901E-2</v>
      </c>
      <c r="S117" s="3">
        <f t="shared" ca="1" si="125"/>
        <v>5.540706832325689E-2</v>
      </c>
      <c r="T117" s="3">
        <f t="shared" ca="1" si="125"/>
        <v>5.7133904671322629E-2</v>
      </c>
      <c r="U117" s="3">
        <f t="shared" ca="1" si="125"/>
        <v>5.7427922067647179E-2</v>
      </c>
      <c r="V117" s="3">
        <f t="shared" ca="1" si="125"/>
        <v>5.8215559904088346E-2</v>
      </c>
      <c r="W117" s="3">
        <f t="shared" ca="1" si="125"/>
        <v>6.0771454650514797E-2</v>
      </c>
      <c r="X117" s="3">
        <f t="shared" ca="1" si="125"/>
        <v>6.5160612506787119E-2</v>
      </c>
      <c r="Y117" s="3">
        <f t="shared" ca="1" si="125"/>
        <v>6.4873468736625306E-2</v>
      </c>
      <c r="Z117" s="3">
        <f t="shared" ca="1" si="125"/>
        <v>7.7341536100527408E-2</v>
      </c>
      <c r="AA117" s="3">
        <f t="shared" ca="1" si="125"/>
        <v>7.1176968016531048E-2</v>
      </c>
      <c r="AB117" s="3">
        <f t="shared" ref="AB117" ca="1" si="135">MIN(0.99,AB60+$O$3)</f>
        <v>8.699012355050334E-2</v>
      </c>
      <c r="AC117" s="3">
        <f t="shared" ca="1" si="129"/>
        <v>7.6309467160535244E-2</v>
      </c>
      <c r="AD117" s="3">
        <f t="shared" ca="1" si="129"/>
        <v>9.5018612671417674E-2</v>
      </c>
      <c r="AE117" s="3">
        <f t="shared" ca="1" si="129"/>
        <v>8.1894683369195934E-2</v>
      </c>
      <c r="AF117" s="3">
        <f t="shared" ca="1" si="129"/>
        <v>0.10507797767520566</v>
      </c>
      <c r="AG117" s="3">
        <f t="shared" ca="1" si="129"/>
        <v>8.6580887614734758E-2</v>
      </c>
      <c r="AH117" s="3">
        <f t="shared" ca="1" si="129"/>
        <v>0.13203892370317527</v>
      </c>
      <c r="AI117" s="3">
        <f t="shared" ca="1" si="129"/>
        <v>0.1165553544915168</v>
      </c>
      <c r="AJ117" s="3">
        <f t="shared" ca="1" si="129"/>
        <v>0.19968148716991491</v>
      </c>
    </row>
    <row r="118" spans="1:36" x14ac:dyDescent="0.35">
      <c r="A118" t="s">
        <v>77</v>
      </c>
      <c r="B118" t="s">
        <v>62</v>
      </c>
      <c r="C118" s="4">
        <v>7</v>
      </c>
      <c r="D118" s="3">
        <f t="shared" ca="1" si="77"/>
        <v>4.2249132611260176E-2</v>
      </c>
      <c r="E118" s="3">
        <f t="shared" ca="1" si="125"/>
        <v>4.2438560177040258E-2</v>
      </c>
      <c r="F118" s="3">
        <f t="shared" ca="1" si="125"/>
        <v>4.316730703744899E-2</v>
      </c>
      <c r="G118" s="3">
        <f t="shared" ca="1" si="125"/>
        <v>4.5206866279079411E-2</v>
      </c>
      <c r="H118" s="3">
        <f t="shared" ca="1" si="125"/>
        <v>4.6020857107338213E-2</v>
      </c>
      <c r="I118" s="3">
        <f t="shared" ca="1" si="125"/>
        <v>4.6615049282589568E-2</v>
      </c>
      <c r="J118" s="3">
        <f t="shared" ca="1" si="125"/>
        <v>4.8562881362628638E-2</v>
      </c>
      <c r="K118" s="3">
        <f t="shared" ca="1" si="125"/>
        <v>4.7829251414794174E-2</v>
      </c>
      <c r="L118" s="3">
        <f t="shared" ca="1" si="125"/>
        <v>5.0150841408044766E-2</v>
      </c>
      <c r="M118" s="3">
        <f t="shared" ca="1" si="125"/>
        <v>5.0546153712486948E-2</v>
      </c>
      <c r="N118" s="3">
        <f t="shared" ca="1" si="125"/>
        <v>5.2048457546872422E-2</v>
      </c>
      <c r="O118" s="3">
        <f t="shared" ca="1" si="125"/>
        <v>5.1582384724031621E-2</v>
      </c>
      <c r="P118" s="3">
        <f t="shared" ca="1" si="125"/>
        <v>5.5197256956899358E-2</v>
      </c>
      <c r="Q118" s="3">
        <f t="shared" ca="1" si="125"/>
        <v>5.3033954922346471E-2</v>
      </c>
      <c r="R118" s="3">
        <f t="shared" ca="1" si="125"/>
        <v>5.7000488040691029E-2</v>
      </c>
      <c r="S118" s="3">
        <f t="shared" ca="1" si="125"/>
        <v>5.6371136863709821E-2</v>
      </c>
      <c r="T118" s="3">
        <f t="shared" ca="1" si="125"/>
        <v>5.8036881929668625E-2</v>
      </c>
      <c r="U118" s="3">
        <f t="shared" ca="1" si="125"/>
        <v>5.8345473026688771E-2</v>
      </c>
      <c r="V118" s="3">
        <f t="shared" ca="1" si="125"/>
        <v>5.9120618962886791E-2</v>
      </c>
      <c r="W118" s="3">
        <f t="shared" ca="1" si="125"/>
        <v>6.1757978177912405E-2</v>
      </c>
      <c r="X118" s="3">
        <f t="shared" ca="1" si="125"/>
        <v>6.6100155021841994E-2</v>
      </c>
      <c r="Y118" s="3">
        <f t="shared" ca="1" si="125"/>
        <v>6.5854638814472621E-2</v>
      </c>
      <c r="Z118" s="3">
        <f t="shared" ca="1" si="125"/>
        <v>7.8299628502379495E-2</v>
      </c>
      <c r="AA118" s="3">
        <f t="shared" ca="1" si="125"/>
        <v>7.2152630594572997E-2</v>
      </c>
      <c r="AB118" s="3">
        <f t="shared" ref="AB118" ca="1" si="136">MIN(0.99,AB61+$O$3)</f>
        <v>8.7971554424525894E-2</v>
      </c>
      <c r="AC118" s="3">
        <f t="shared" ca="1" si="129"/>
        <v>7.720976495534175E-2</v>
      </c>
      <c r="AD118" s="3">
        <f t="shared" ca="1" si="129"/>
        <v>9.60111993916061E-2</v>
      </c>
      <c r="AE118" s="3">
        <f t="shared" ca="1" si="129"/>
        <v>8.2852019697130574E-2</v>
      </c>
      <c r="AF118" s="3">
        <f t="shared" ca="1" si="129"/>
        <v>0.10602710514678518</v>
      </c>
      <c r="AG118" s="3">
        <f t="shared" ca="1" si="129"/>
        <v>8.749887749565341E-2</v>
      </c>
      <c r="AH118" s="3">
        <f t="shared" ca="1" si="129"/>
        <v>0.13295603170317866</v>
      </c>
      <c r="AI118" s="3">
        <f t="shared" ca="1" si="129"/>
        <v>0.11752383084800014</v>
      </c>
      <c r="AJ118" s="3">
        <f t="shared" ca="1" si="129"/>
        <v>0.20058775377187291</v>
      </c>
    </row>
    <row r="119" spans="1:36" x14ac:dyDescent="0.35">
      <c r="A119" t="s">
        <v>77</v>
      </c>
      <c r="B119" t="s">
        <v>62</v>
      </c>
      <c r="C119" s="4" t="s">
        <v>75</v>
      </c>
      <c r="D119" s="3">
        <f t="shared" ca="1" si="77"/>
        <v>4.3173515240078772E-2</v>
      </c>
      <c r="E119" s="3">
        <f t="shared" ca="1" si="125"/>
        <v>4.3425565539717437E-2</v>
      </c>
      <c r="F119" s="3">
        <f t="shared" ca="1" si="125"/>
        <v>4.4128920500227521E-2</v>
      </c>
      <c r="G119" s="3">
        <f t="shared" ref="G119:AB119" ca="1" si="137">MIN(0.99,G62+$O$3)</f>
        <v>4.6184058288031418E-2</v>
      </c>
      <c r="H119" s="3">
        <f t="shared" ca="1" si="137"/>
        <v>4.6970581475759186E-2</v>
      </c>
      <c r="I119" s="3">
        <f t="shared" ca="1" si="137"/>
        <v>4.7612922986726397E-2</v>
      </c>
      <c r="J119" s="3">
        <f t="shared" ca="1" si="137"/>
        <v>4.9481913114381701E-2</v>
      </c>
      <c r="K119" s="3">
        <f t="shared" ca="1" si="137"/>
        <v>4.8798744670392052E-2</v>
      </c>
      <c r="L119" s="3">
        <f t="shared" ca="1" si="137"/>
        <v>5.113635147667335E-2</v>
      </c>
      <c r="M119" s="3">
        <f t="shared" ca="1" si="137"/>
        <v>5.1524005411690069E-2</v>
      </c>
      <c r="N119" s="3">
        <f t="shared" ca="1" si="137"/>
        <v>5.2970748386507227E-2</v>
      </c>
      <c r="O119" s="3">
        <f t="shared" ca="1" si="137"/>
        <v>5.25015697181338E-2</v>
      </c>
      <c r="P119" s="3">
        <f t="shared" ca="1" si="137"/>
        <v>5.6106118465884786E-2</v>
      </c>
      <c r="Q119" s="3">
        <f t="shared" ca="1" si="137"/>
        <v>5.4021151687803241E-2</v>
      </c>
      <c r="R119" s="3">
        <f t="shared" ca="1" si="137"/>
        <v>5.7979056287930313E-2</v>
      </c>
      <c r="S119" s="3">
        <f t="shared" ca="1" si="137"/>
        <v>5.7283130039264864E-2</v>
      </c>
      <c r="T119" s="3">
        <f t="shared" ca="1" si="137"/>
        <v>5.8994875366362241E-2</v>
      </c>
      <c r="U119" s="3">
        <f t="shared" ca="1" si="137"/>
        <v>5.9257359654965702E-2</v>
      </c>
      <c r="V119" s="3">
        <f t="shared" ca="1" si="137"/>
        <v>6.0102435220611525E-2</v>
      </c>
      <c r="W119" s="3">
        <f t="shared" ca="1" si="137"/>
        <v>6.2732426519784362E-2</v>
      </c>
      <c r="X119" s="3">
        <f t="shared" ca="1" si="137"/>
        <v>6.7028191410779023E-2</v>
      </c>
      <c r="Y119" s="3">
        <f t="shared" ca="1" si="137"/>
        <v>6.6841017177211762E-2</v>
      </c>
      <c r="Z119" s="3">
        <f t="shared" ca="1" si="137"/>
        <v>7.9272737189043291E-2</v>
      </c>
      <c r="AA119" s="3">
        <f t="shared" ca="1" si="137"/>
        <v>7.3106211977127078E-2</v>
      </c>
      <c r="AB119" s="3">
        <f t="shared" ca="1" si="137"/>
        <v>8.8879838066947714E-2</v>
      </c>
      <c r="AC119" s="3">
        <f t="shared" ca="1" si="129"/>
        <v>7.8155949060795732E-2</v>
      </c>
      <c r="AD119" s="3">
        <f t="shared" ca="1" si="129"/>
        <v>9.6953719039918784E-2</v>
      </c>
      <c r="AE119" s="3">
        <f t="shared" ca="1" si="129"/>
        <v>8.3792016361654259E-2</v>
      </c>
      <c r="AF119" s="3">
        <f t="shared" ca="1" si="129"/>
        <v>0.10694318969566932</v>
      </c>
      <c r="AG119" s="3">
        <f t="shared" ca="1" si="129"/>
        <v>8.8460060821368869E-2</v>
      </c>
      <c r="AH119" s="3">
        <f t="shared" ca="1" si="129"/>
        <v>0.13395166993859173</v>
      </c>
      <c r="AI119" s="3">
        <f t="shared" ca="1" si="129"/>
        <v>0.11848585798775169</v>
      </c>
      <c r="AJ119" s="3">
        <f t="shared" ca="1" si="129"/>
        <v>0.20156008038992085</v>
      </c>
    </row>
  </sheetData>
  <phoneticPr fontId="3" type="noConversion"/>
  <dataValidations disablePrompts="1" count="2">
    <dataValidation type="list" allowBlank="1" showInputMessage="1" showErrorMessage="1" sqref="B120:B1048576" xr:uid="{3AD7662D-2C4E-4620-8B9C-64E8DA354390}">
      <mc:AlternateContent xmlns:x12ac="http://schemas.microsoft.com/office/spreadsheetml/2011/1/ac" xmlns:mc="http://schemas.openxmlformats.org/markup-compatibility/2006">
        <mc:Choice Requires="x12ac">
          <x12ac:list>"CENTRAL, STRESS, OPTIMISTE"</x12ac:list>
        </mc:Choice>
        <mc:Fallback>
          <formula1>"CENTRAL, STRESS, OPTIMISTE"</formula1>
        </mc:Fallback>
      </mc:AlternateContent>
    </dataValidation>
    <dataValidation type="list" allowBlank="1" showInputMessage="1" showErrorMessage="1" sqref="B25:B62 B82:B119" xr:uid="{E77E6BF9-14A8-417C-8DE7-4CD8A5CFA708}">
      <formula1>"CENTRAL,STRESS,OPTIMISTE"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3996-874F-4877-B17D-0F95183BBD6E}">
  <dimension ref="A1"/>
  <sheetViews>
    <sheetView workbookViewId="0">
      <selection activeCell="F12" sqref="F12"/>
    </sheetView>
  </sheetViews>
  <sheetFormatPr baseColWidth="10"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CC3C9-3F89-4887-98DE-1F48CB4DF3F3}">
  <sheetPr>
    <tabColor theme="4"/>
  </sheetPr>
  <dimension ref="A5:AJ11"/>
  <sheetViews>
    <sheetView zoomScale="70" zoomScaleNormal="70" workbookViewId="0">
      <selection activeCell="J22" sqref="J22"/>
    </sheetView>
  </sheetViews>
  <sheetFormatPr baseColWidth="10" defaultRowHeight="14.5" x14ac:dyDescent="0.35"/>
  <cols>
    <col min="1" max="1" width="18" bestFit="1" customWidth="1"/>
    <col min="3" max="3" width="22.6328125" bestFit="1" customWidth="1"/>
  </cols>
  <sheetData>
    <row r="5" spans="1:36" s="2" customFormat="1" x14ac:dyDescent="0.35">
      <c r="A5" s="2" t="s">
        <v>78</v>
      </c>
      <c r="B5" s="2" t="s">
        <v>26</v>
      </c>
      <c r="C5" s="2" t="s">
        <v>79</v>
      </c>
      <c r="D5" s="2" t="s">
        <v>28</v>
      </c>
      <c r="E5" s="2" t="s">
        <v>29</v>
      </c>
      <c r="F5" s="2" t="s">
        <v>30</v>
      </c>
      <c r="G5" s="2" t="s">
        <v>31</v>
      </c>
      <c r="H5" s="2" t="s">
        <v>32</v>
      </c>
      <c r="I5" s="2" t="s">
        <v>33</v>
      </c>
      <c r="J5" s="2" t="s">
        <v>34</v>
      </c>
      <c r="K5" s="2" t="s">
        <v>35</v>
      </c>
      <c r="L5" s="2" t="s">
        <v>36</v>
      </c>
      <c r="M5" s="2" t="s">
        <v>37</v>
      </c>
      <c r="N5" s="2" t="s">
        <v>38</v>
      </c>
      <c r="O5" s="2" t="s">
        <v>39</v>
      </c>
      <c r="P5" s="2" t="s">
        <v>40</v>
      </c>
      <c r="Q5" s="2" t="s">
        <v>41</v>
      </c>
      <c r="R5" s="2" t="s">
        <v>42</v>
      </c>
      <c r="S5" s="2" t="s">
        <v>43</v>
      </c>
      <c r="T5" s="2" t="s">
        <v>44</v>
      </c>
      <c r="U5" s="2" t="s">
        <v>45</v>
      </c>
      <c r="V5" s="2" t="s">
        <v>46</v>
      </c>
      <c r="W5" s="2" t="s">
        <v>47</v>
      </c>
      <c r="X5" s="2" t="s">
        <v>48</v>
      </c>
      <c r="Y5" s="2" t="s">
        <v>49</v>
      </c>
      <c r="Z5" s="2" t="s">
        <v>50</v>
      </c>
      <c r="AA5" s="2" t="s">
        <v>51</v>
      </c>
      <c r="AB5" s="2" t="s">
        <v>52</v>
      </c>
      <c r="AC5" s="2" t="s">
        <v>53</v>
      </c>
      <c r="AD5" s="2" t="s">
        <v>54</v>
      </c>
      <c r="AE5" s="2" t="s">
        <v>55</v>
      </c>
      <c r="AF5" s="2" t="s">
        <v>56</v>
      </c>
      <c r="AG5" s="2" t="s">
        <v>57</v>
      </c>
      <c r="AH5" s="2" t="s">
        <v>58</v>
      </c>
      <c r="AI5" s="2" t="s">
        <v>59</v>
      </c>
      <c r="AJ5" s="2" t="s">
        <v>60</v>
      </c>
    </row>
    <row r="6" spans="1:36" x14ac:dyDescent="0.35">
      <c r="A6" t="s">
        <v>80</v>
      </c>
      <c r="B6" t="s">
        <v>76</v>
      </c>
      <c r="C6" s="5">
        <v>0.43</v>
      </c>
    </row>
    <row r="7" spans="1:36" x14ac:dyDescent="0.35">
      <c r="A7" t="s">
        <v>80</v>
      </c>
      <c r="B7" t="s">
        <v>61</v>
      </c>
      <c r="C7" s="5">
        <v>0.45</v>
      </c>
    </row>
    <row r="8" spans="1:36" x14ac:dyDescent="0.35">
      <c r="A8" t="s">
        <v>80</v>
      </c>
      <c r="B8" t="s">
        <v>62</v>
      </c>
      <c r="C8" s="5">
        <v>0.46</v>
      </c>
    </row>
    <row r="9" spans="1:36" x14ac:dyDescent="0.35">
      <c r="A9" t="s">
        <v>81</v>
      </c>
      <c r="B9" t="s">
        <v>76</v>
      </c>
      <c r="D9" s="5">
        <v>0.33</v>
      </c>
      <c r="E9" s="5">
        <f>D9+0.012</f>
        <v>0.34200000000000003</v>
      </c>
      <c r="F9" s="5">
        <f t="shared" ref="F9:L9" si="0">E9+0.01</f>
        <v>0.35200000000000004</v>
      </c>
      <c r="G9" s="5">
        <f t="shared" si="0"/>
        <v>0.36200000000000004</v>
      </c>
      <c r="H9" s="5">
        <f t="shared" si="0"/>
        <v>0.37200000000000005</v>
      </c>
      <c r="I9" s="5">
        <f t="shared" si="0"/>
        <v>0.38200000000000006</v>
      </c>
      <c r="J9" s="5">
        <f t="shared" si="0"/>
        <v>0.39200000000000007</v>
      </c>
      <c r="K9" s="5">
        <f t="shared" si="0"/>
        <v>0.40200000000000008</v>
      </c>
      <c r="L9" s="5">
        <f t="shared" si="0"/>
        <v>0.41200000000000009</v>
      </c>
      <c r="M9" s="6">
        <v>0.36000000000000004</v>
      </c>
      <c r="N9" s="6">
        <v>0.36000000000000004</v>
      </c>
      <c r="O9" s="6">
        <v>0.36000000000000004</v>
      </c>
      <c r="P9" s="6">
        <v>0.36000000000000004</v>
      </c>
      <c r="Q9" s="6">
        <v>0.36000000000000004</v>
      </c>
      <c r="R9" s="6">
        <v>0.36000000000000004</v>
      </c>
      <c r="S9" s="6">
        <v>0.36000000000000004</v>
      </c>
      <c r="T9" s="6">
        <v>0.36000000000000004</v>
      </c>
      <c r="U9" s="6">
        <v>0.36000000000000004</v>
      </c>
      <c r="V9" s="6">
        <v>0.36000000000000004</v>
      </c>
      <c r="W9" s="6">
        <v>0.36000000000000004</v>
      </c>
      <c r="X9" s="6">
        <v>0.36000000000000004</v>
      </c>
      <c r="Y9" s="6">
        <v>0.36000000000000004</v>
      </c>
      <c r="Z9" s="6">
        <v>0.36000000000000004</v>
      </c>
      <c r="AA9" s="6">
        <v>0.36000000000000004</v>
      </c>
      <c r="AB9" s="6">
        <v>0.36000000000000004</v>
      </c>
      <c r="AC9" s="6">
        <v>0.36000000000000004</v>
      </c>
      <c r="AD9" s="6">
        <v>0.36000000000000004</v>
      </c>
      <c r="AE9" s="6">
        <v>0.36000000000000004</v>
      </c>
      <c r="AF9" s="6">
        <v>0.36000000000000004</v>
      </c>
      <c r="AG9" s="6">
        <v>0.36000000000000004</v>
      </c>
      <c r="AH9" s="6">
        <v>0.36000000000000004</v>
      </c>
      <c r="AI9" s="6">
        <v>0.36000000000000004</v>
      </c>
      <c r="AJ9" s="6">
        <v>0.36000000000000004</v>
      </c>
    </row>
    <row r="10" spans="1:36" x14ac:dyDescent="0.35">
      <c r="A10" t="s">
        <v>81</v>
      </c>
      <c r="B10" t="s">
        <v>61</v>
      </c>
      <c r="D10" s="5">
        <f>D9+0.02</f>
        <v>0.35000000000000003</v>
      </c>
      <c r="E10" s="5">
        <f t="shared" ref="E10:E11" si="1">D10+0.012</f>
        <v>0.36200000000000004</v>
      </c>
      <c r="F10" s="5">
        <f t="shared" ref="F10:L10" si="2">E10+0.01</f>
        <v>0.37200000000000005</v>
      </c>
      <c r="G10" s="5">
        <f t="shared" si="2"/>
        <v>0.38200000000000006</v>
      </c>
      <c r="H10" s="5">
        <f t="shared" si="2"/>
        <v>0.39200000000000007</v>
      </c>
      <c r="I10" s="5">
        <f t="shared" si="2"/>
        <v>0.40200000000000008</v>
      </c>
      <c r="J10" s="5">
        <f t="shared" si="2"/>
        <v>0.41200000000000009</v>
      </c>
      <c r="K10" s="5">
        <f t="shared" si="2"/>
        <v>0.4220000000000001</v>
      </c>
      <c r="L10" s="5">
        <f t="shared" si="2"/>
        <v>0.43200000000000011</v>
      </c>
      <c r="M10" s="6">
        <v>0.38000000000000006</v>
      </c>
      <c r="N10" s="6">
        <v>0.38000000000000006</v>
      </c>
      <c r="O10" s="6">
        <v>0.38000000000000006</v>
      </c>
      <c r="P10" s="6">
        <v>0.38000000000000006</v>
      </c>
      <c r="Q10" s="6">
        <v>0.38000000000000006</v>
      </c>
      <c r="R10" s="6">
        <v>0.38000000000000006</v>
      </c>
      <c r="S10" s="6">
        <v>0.38000000000000006</v>
      </c>
      <c r="T10" s="6">
        <v>0.38000000000000006</v>
      </c>
      <c r="U10" s="6">
        <v>0.38000000000000006</v>
      </c>
      <c r="V10" s="6">
        <v>0.38000000000000006</v>
      </c>
      <c r="W10" s="6">
        <v>0.38000000000000006</v>
      </c>
      <c r="X10" s="6">
        <v>0.38000000000000006</v>
      </c>
      <c r="Y10" s="6">
        <v>0.38000000000000006</v>
      </c>
      <c r="Z10" s="6">
        <v>0.38000000000000006</v>
      </c>
      <c r="AA10" s="6">
        <v>0.38000000000000006</v>
      </c>
      <c r="AB10" s="6">
        <v>0.38000000000000006</v>
      </c>
      <c r="AC10" s="6">
        <v>0.38000000000000006</v>
      </c>
      <c r="AD10" s="6">
        <v>0.38000000000000006</v>
      </c>
      <c r="AE10" s="6">
        <v>0.38000000000000006</v>
      </c>
      <c r="AF10" s="6">
        <v>0.38000000000000006</v>
      </c>
      <c r="AG10" s="6">
        <v>0.38000000000000006</v>
      </c>
      <c r="AH10" s="6">
        <v>0.38000000000000006</v>
      </c>
      <c r="AI10" s="6">
        <v>0.38000000000000006</v>
      </c>
      <c r="AJ10" s="6">
        <v>0.38000000000000006</v>
      </c>
    </row>
    <row r="11" spans="1:36" x14ac:dyDescent="0.35">
      <c r="A11" t="s">
        <v>81</v>
      </c>
      <c r="B11" t="s">
        <v>62</v>
      </c>
      <c r="D11" s="5">
        <f>D10+0.02</f>
        <v>0.37000000000000005</v>
      </c>
      <c r="E11" s="5">
        <f t="shared" si="1"/>
        <v>0.38200000000000006</v>
      </c>
      <c r="F11" s="5">
        <f t="shared" ref="F11:L11" si="3">E11+0.01</f>
        <v>0.39200000000000007</v>
      </c>
      <c r="G11" s="5">
        <f t="shared" si="3"/>
        <v>0.40200000000000008</v>
      </c>
      <c r="H11" s="5">
        <f t="shared" si="3"/>
        <v>0.41200000000000009</v>
      </c>
      <c r="I11" s="5">
        <f t="shared" si="3"/>
        <v>0.4220000000000001</v>
      </c>
      <c r="J11" s="5">
        <f t="shared" si="3"/>
        <v>0.43200000000000011</v>
      </c>
      <c r="K11" s="5">
        <f t="shared" si="3"/>
        <v>0.44200000000000012</v>
      </c>
      <c r="L11" s="5">
        <f t="shared" si="3"/>
        <v>0.45200000000000012</v>
      </c>
      <c r="M11" s="6">
        <v>0.40000000000000008</v>
      </c>
      <c r="N11" s="6">
        <v>0.40000000000000008</v>
      </c>
      <c r="O11" s="6">
        <v>0.40000000000000008</v>
      </c>
      <c r="P11" s="6">
        <v>0.40000000000000008</v>
      </c>
      <c r="Q11" s="6">
        <v>0.40000000000000008</v>
      </c>
      <c r="R11" s="6">
        <v>0.40000000000000008</v>
      </c>
      <c r="S11" s="6">
        <v>0.40000000000000008</v>
      </c>
      <c r="T11" s="6">
        <v>0.40000000000000008</v>
      </c>
      <c r="U11" s="6">
        <v>0.40000000000000008</v>
      </c>
      <c r="V11" s="6">
        <v>0.40000000000000008</v>
      </c>
      <c r="W11" s="6">
        <v>0.40000000000000008</v>
      </c>
      <c r="X11" s="6">
        <v>0.40000000000000008</v>
      </c>
      <c r="Y11" s="6">
        <v>0.40000000000000008</v>
      </c>
      <c r="Z11" s="6">
        <v>0.40000000000000008</v>
      </c>
      <c r="AA11" s="6">
        <v>0.40000000000000008</v>
      </c>
      <c r="AB11" s="6">
        <v>0.40000000000000008</v>
      </c>
      <c r="AC11" s="6">
        <v>0.40000000000000008</v>
      </c>
      <c r="AD11" s="6">
        <v>0.40000000000000008</v>
      </c>
      <c r="AE11" s="6">
        <v>0.40000000000000008</v>
      </c>
      <c r="AF11" s="6">
        <v>0.40000000000000008</v>
      </c>
      <c r="AG11" s="6">
        <v>0.40000000000000008</v>
      </c>
      <c r="AH11" s="6">
        <v>0.40000000000000008</v>
      </c>
      <c r="AI11" s="6">
        <v>0.40000000000000008</v>
      </c>
      <c r="AJ11" s="6">
        <v>0.40000000000000008</v>
      </c>
    </row>
  </sheetData>
  <dataValidations disablePrompts="1" count="1">
    <dataValidation type="list" allowBlank="1" showInputMessage="1" showErrorMessage="1" sqref="B7:B8 B10:B11" xr:uid="{BFCBCF19-90FD-4691-AB1E-CE37FBE69399}">
      <formula1>"CENTRAL,STRESS,OPTIMISTE"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A04D4-A3B9-4E98-B784-F6887AB075C1}">
  <dimension ref="A1"/>
  <sheetViews>
    <sheetView workbookViewId="0">
      <selection activeCell="H18" sqref="H18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A168-FDB0-4BB0-9919-99127FD258AD}">
  <dimension ref="A1"/>
  <sheetViews>
    <sheetView workbookViewId="0">
      <selection activeCell="I17" sqref="I17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66C9F-CD81-44C6-ACB0-D5AD55CFFAC9}">
  <dimension ref="A1"/>
  <sheetViews>
    <sheetView workbookViewId="0">
      <selection activeCell="K13" sqref="K13"/>
    </sheetView>
  </sheetViews>
  <sheetFormatPr baseColWidth="10" defaultRowHeight="14.5" x14ac:dyDescent="0.3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CCE34-FA11-450B-9586-D7E6F764AA80}">
  <sheetPr>
    <tabColor theme="4"/>
  </sheetPr>
  <dimension ref="A5:AJ11"/>
  <sheetViews>
    <sheetView zoomScale="90" workbookViewId="0">
      <selection activeCell="I18" sqref="I18"/>
    </sheetView>
  </sheetViews>
  <sheetFormatPr baseColWidth="10" defaultRowHeight="14.5" x14ac:dyDescent="0.35"/>
  <cols>
    <col min="1" max="1" width="18" bestFit="1" customWidth="1"/>
    <col min="3" max="3" width="18.08984375" bestFit="1" customWidth="1"/>
  </cols>
  <sheetData>
    <row r="5" spans="1:36" s="2" customFormat="1" x14ac:dyDescent="0.35">
      <c r="A5" s="2" t="s">
        <v>78</v>
      </c>
      <c r="B5" s="2" t="s">
        <v>26</v>
      </c>
      <c r="C5" s="2" t="s">
        <v>130</v>
      </c>
      <c r="D5" s="2" t="s">
        <v>28</v>
      </c>
      <c r="E5" s="2" t="s">
        <v>29</v>
      </c>
      <c r="F5" s="2" t="s">
        <v>30</v>
      </c>
      <c r="G5" s="2" t="s">
        <v>31</v>
      </c>
      <c r="H5" s="2" t="s">
        <v>32</v>
      </c>
      <c r="I5" s="2" t="s">
        <v>33</v>
      </c>
      <c r="J5" s="2" t="s">
        <v>34</v>
      </c>
      <c r="K5" s="2" t="s">
        <v>35</v>
      </c>
      <c r="L5" s="2" t="s">
        <v>36</v>
      </c>
      <c r="M5" s="2" t="s">
        <v>37</v>
      </c>
      <c r="N5" s="2" t="s">
        <v>38</v>
      </c>
      <c r="O5" s="2" t="s">
        <v>39</v>
      </c>
      <c r="P5" s="2" t="s">
        <v>40</v>
      </c>
      <c r="Q5" s="2" t="s">
        <v>41</v>
      </c>
      <c r="R5" s="2" t="s">
        <v>42</v>
      </c>
      <c r="S5" s="2" t="s">
        <v>43</v>
      </c>
      <c r="T5" s="2" t="s">
        <v>44</v>
      </c>
      <c r="U5" s="2" t="s">
        <v>45</v>
      </c>
      <c r="V5" s="2" t="s">
        <v>46</v>
      </c>
      <c r="W5" s="2" t="s">
        <v>47</v>
      </c>
      <c r="X5" s="2" t="s">
        <v>48</v>
      </c>
      <c r="Y5" s="2" t="s">
        <v>49</v>
      </c>
      <c r="Z5" s="2" t="s">
        <v>50</v>
      </c>
      <c r="AA5" s="2" t="s">
        <v>51</v>
      </c>
      <c r="AB5" s="2" t="s">
        <v>52</v>
      </c>
      <c r="AC5" s="2" t="s">
        <v>53</v>
      </c>
      <c r="AD5" s="2" t="s">
        <v>54</v>
      </c>
      <c r="AE5" s="2" t="s">
        <v>55</v>
      </c>
      <c r="AF5" s="2" t="s">
        <v>56</v>
      </c>
      <c r="AG5" s="2" t="s">
        <v>57</v>
      </c>
      <c r="AH5" s="2" t="s">
        <v>58</v>
      </c>
      <c r="AI5" s="2" t="s">
        <v>59</v>
      </c>
      <c r="AJ5" s="2" t="s">
        <v>60</v>
      </c>
    </row>
    <row r="6" spans="1:36" x14ac:dyDescent="0.35">
      <c r="C6" s="5"/>
    </row>
    <row r="7" spans="1:36" x14ac:dyDescent="0.35">
      <c r="C7" s="5"/>
    </row>
    <row r="8" spans="1:36" x14ac:dyDescent="0.35">
      <c r="C8" s="5"/>
    </row>
    <row r="9" spans="1:36" x14ac:dyDescent="0.35">
      <c r="D9" s="5"/>
      <c r="E9" s="5"/>
      <c r="F9" s="5"/>
      <c r="G9" s="5"/>
      <c r="H9" s="5"/>
      <c r="I9" s="5"/>
      <c r="J9" s="5"/>
      <c r="K9" s="5"/>
      <c r="L9" s="5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 x14ac:dyDescent="0.35">
      <c r="D10" s="5"/>
      <c r="E10" s="5"/>
      <c r="F10" s="5"/>
      <c r="G10" s="5"/>
      <c r="H10" s="5"/>
      <c r="I10" s="5"/>
      <c r="J10" s="5"/>
      <c r="K10" s="5"/>
      <c r="L10" s="5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</row>
    <row r="11" spans="1:36" x14ac:dyDescent="0.35">
      <c r="D11" s="5"/>
      <c r="E11" s="5"/>
      <c r="F11" s="5"/>
      <c r="G11" s="5"/>
      <c r="H11" s="5"/>
      <c r="I11" s="5"/>
      <c r="J11" s="5"/>
      <c r="K11" s="5"/>
      <c r="L11" s="5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</row>
  </sheetData>
  <dataValidations count="1">
    <dataValidation type="list" allowBlank="1" showInputMessage="1" showErrorMessage="1" sqref="B7:B8 B10:B11" xr:uid="{004D243F-8B2B-4B8E-B450-DEFF82CA03C9}">
      <formula1>"CENTRAL,STRESS,OPTIMISTE"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0bb37-bc95-4fbe-a9dd-c586fa949031}" enabled="0" method="" siteId="{9ef0bb37-bc95-4fbe-a9dd-c586fa94903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F1-Mapping fields Non Retail</vt:lpstr>
      <vt:lpstr>F2-Mapping time steps</vt:lpstr>
      <vt:lpstr>F3-Mapping Segment SICR</vt:lpstr>
      <vt:lpstr>F4-Histo PD Multi Non Retail</vt:lpstr>
      <vt:lpstr>Histo PD Multi Retail</vt:lpstr>
      <vt:lpstr>Perimeters Segmentation</vt:lpstr>
      <vt:lpstr>F6-PD S1S2 Non Retail</vt:lpstr>
      <vt:lpstr>PD S1S2 Retail</vt:lpstr>
      <vt:lpstr>F8-LGD S1S2 Non Retail</vt:lpstr>
      <vt:lpstr>LGD S1S2 Retail</vt:lpstr>
      <vt:lpstr>LGD S3 Retail</vt:lpstr>
      <vt:lpstr>CCF Retail</vt:lpstr>
      <vt:lpstr>F12-CCF Non Retail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Hong-Cuong LE</dc:creator>
  <cp:lastModifiedBy>Hong-Cuong LE</cp:lastModifiedBy>
  <dcterms:created xsi:type="dcterms:W3CDTF">2025-08-01T14:39:19Z</dcterms:created>
  <dcterms:modified xsi:type="dcterms:W3CDTF">2025-08-20T20:13:30Z</dcterms:modified>
</cp:coreProperties>
</file>